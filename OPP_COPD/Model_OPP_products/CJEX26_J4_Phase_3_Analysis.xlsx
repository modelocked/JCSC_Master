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C:\Users\User\Documents\JCSC\10. OPP\cjex\Products\"/>
    </mc:Choice>
  </mc:AlternateContent>
  <xr:revisionPtr revIDLastSave="1061" documentId="8_{75BA3959-CA31-4DFC-9FDD-24851EB7BE63}" xr6:coauthVersionLast="47" xr6:coauthVersionMax="47" xr10:uidLastSave="{BB1422B0-128E-4C86-AA1C-A2CE5E629964}"/>
  <bookViews>
    <workbookView xWindow="-110" yWindow="-110" windowWidth="19420" windowHeight="10300" firstSheet="5" activeTab="5" xr2:uid="{00000000-000D-0000-FFFF-FFFF00000000}"/>
  </bookViews>
  <sheets>
    <sheet name="Read Me" sheetId="1" r:id="rId1"/>
    <sheet name="ASCOPE-PMESII Matrix" sheetId="2" r:id="rId2"/>
    <sheet name="Factor Analysis" sheetId="3" r:id="rId3"/>
    <sheet name="Key Factors" sheetId="13" r:id="rId4"/>
    <sheet name="Problem Statement" sheetId="14" r:id="rId5"/>
    <sheet name="Supply" sheetId="11" r:id="rId6"/>
    <sheet name="Supply DATA" sheetId="12" r:id="rId7"/>
    <sheet name="Risk Analysis Matrix" sheetId="4" r:id="rId8"/>
    <sheet name="MAB J4 Outputs" sheetId="5" r:id="rId9"/>
    <sheet name="Assumptions" sheetId="6" r:id="rId10"/>
    <sheet name="Information Requests" sheetId="7" r:id="rId11"/>
    <sheet name="J4 Summary" sheetId="8" r:id="rId12"/>
    <sheet name="Source Register" sheetId="9" r:id="rId13"/>
    <sheet name="Acronyms" sheetId="10" r:id="rId14"/>
  </sheets>
  <definedNames>
    <definedName name="_xlnm._FilterDatabase" localSheetId="2" hidden="1">'Factor Analysis'!$A$3:$K$3</definedName>
    <definedName name="_xlnm._FilterDatabase" localSheetId="8" hidden="1">'MAB J4 Outputs'!$A$3:$H$3</definedName>
    <definedName name="_xlnm._FilterDatabase" localSheetId="10" hidden="1">'Information Requests'!$A$3:$D$3</definedName>
    <definedName name="_xlnm._FilterDatabase" localSheetId="9" hidden="1">Assumptions!$A$2:$C$2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7" i="11" l="1"/>
  <c r="N18" i="11" s="1"/>
  <c r="P18" i="11" s="1"/>
  <c r="N11" i="11"/>
  <c r="N8" i="11"/>
  <c r="P8" i="11" s="1"/>
  <c r="N12" i="11"/>
  <c r="P12" i="11" s="1"/>
  <c r="H8" i="11"/>
  <c r="D4" i="11"/>
  <c r="J8" i="11"/>
  <c r="D3" i="11"/>
  <c r="D7" i="11"/>
  <c r="H17" i="11"/>
  <c r="H13" i="11"/>
  <c r="H12" i="11"/>
  <c r="H11" i="11"/>
  <c r="H14" i="11" s="1"/>
  <c r="C12" i="11" s="1"/>
  <c r="C11" i="11" l="1"/>
  <c r="H18" i="11"/>
  <c r="J18" i="11" s="1"/>
  <c r="C13" i="11" s="1"/>
  <c r="H5" i="11"/>
  <c r="H4" i="11"/>
  <c r="J4" i="11" s="1"/>
  <c r="N5" i="11"/>
  <c r="P5" i="11" s="1"/>
  <c r="N4" i="11"/>
  <c r="P4" i="11" s="1"/>
  <c r="N20" i="11" s="1"/>
  <c r="N21" i="11" s="1"/>
  <c r="N22" i="11" s="1"/>
  <c r="J14" i="11"/>
  <c r="J5" i="11"/>
  <c r="H20" i="11"/>
  <c r="H21" i="11" s="1"/>
  <c r="C17" i="11" l="1"/>
  <c r="C19" i="11" s="1"/>
  <c r="C20" i="11" s="1"/>
  <c r="C21" i="11" s="1"/>
  <c r="H22" i="11"/>
  <c r="D17" i="11" s="1"/>
  <c r="D19" i="11" s="1"/>
  <c r="D20" i="11" s="1"/>
  <c r="D21" i="11" s="1"/>
  <c r="C10" i="11"/>
</calcChain>
</file>

<file path=xl/sharedStrings.xml><?xml version="1.0" encoding="utf-8"?>
<sst xmlns="http://schemas.openxmlformats.org/spreadsheetml/2006/main" count="1508" uniqueCount="1057">
  <si>
    <t>CJEX 26 — ASCOPE/PMESII LOGISTICS MATRIX | Read Me | CCR/J4 | 04 May 2026 | NATO UNCLASSIFIED</t>
  </si>
  <si>
    <t>Risk Assessment Method: AJP-5 Edition A Version 2, para 4.59, Table 4.8 — 5×5 Alphanumeric Matrix</t>
  </si>
  <si>
    <t>Workbook Purpose</t>
  </si>
  <si>
    <t>Maps CJEX 26 exercise source material into an ASCOPE/PMESII matrix with CCR/J4 logistics analysis. Supports COPD Phase 3a Operational Environment analysis (para 4.25) and J4 input to the Mission Analysis Brief.</t>
  </si>
  <si>
    <t>Sheets</t>
  </si>
  <si>
    <t>1. Read Me — this sheet.
2. ASCOPE-PMESII Matrix — 6×6 matrix, concise logistics assessment per cell.
3. FDC Log Analysis — full Factor–Deduction–Conclusion with hierarchical numbering and risk ratings.
4. Risk Analysis Matrix — 5×5 alphanumeric risk grid with all factors plotted by ID.
5. MAB J4 Outputs — Phase 3a outputs: OL, OR, PS, IFC, RFI, CCIR, RS, Assumptions.
6. J4 Summary — commander-facing conclusions for the MAB.
7. Source Register — source serials with scope.
8. Acronyms.</t>
  </si>
  <si>
    <t>COPD Basis</t>
  </si>
  <si>
    <t>COPD V3.1 para 4.25 — OE Analysis (J4 input: infrastructure, terrain, climate, HNS, entry points).
COPD V3.1 Fig 4.8 — Factor/Deduction/Conclusion analytical format.
COPD V3.1 para 4.28 — Initial Force/Capability/C2 requirements (J4 CJSOR input).
COPD V3.1 para 4.30 — Mission Analysis Brief (J4 presentation format).
COPD V3.1 para 4.21(b)(3) — Preconditions for Success.</t>
  </si>
  <si>
    <t>Risk Assessment Method — AJP-5 para 4.59, Table 4.8</t>
  </si>
  <si>
    <t>Risk code = PROBABILITY NUMBER (1-5) + SEVERITY LETTER (A-E).
Example: 5E = Almost Certain probability + Catastrophic severity = Extremely High risk.
The 5×5 matrix is on the Risk Analysis Matrix sheet with all factors plotted.
Citation: 'Risk assessed per AJP-5 Edition A Version 2, para 4.59 and Table 4.8.'
AJP-5 para 4.59: 'COA comparison remains a subjective process and should not be turned into a mathematical equation' — ratings reflect J4 professional judgement.</t>
  </si>
  <si>
    <t>Probability Scale (1–5)</t>
  </si>
  <si>
    <t>1 = RARE — Event may occur only in exceptional circumstances.
2 = UNLIKELY — Event unlikely but could occur at some time.
3 = POSSIBLE — Event might occur at some time.
4 = LIKELY — Event will probably occur in most circumstances.
5 = ALMOST CERTAIN — Event expected to occur in most circumstances.</t>
  </si>
  <si>
    <t>Severity Scale (A–E)</t>
  </si>
  <si>
    <t>A = NEGLIGIBLE — Negligible impact on mission accomplishment.
B = MARGINAL — Minimal impact on mission accomplishment.
C = MODERATE — Failure to meet criteria for success or exceed time/space/force limits.
D = CRITICAL — Failure to achieve objectives.
E = CATASTROPHIC — Failure to accomplish the mission.</t>
  </si>
  <si>
    <t>AJP-5 Risk Ratings (from 5×5 grid)</t>
  </si>
  <si>
    <t>E — EXTREMELY HIGH: Mission Likely to Fail. UNACCEPTABLE.
H — HIGH: Inability to Accomplish all Parts of the Mission. Conditionally acceptable.
M — MODERATE: Mission Accomplishment likely, reduced capability. Conditionally acceptable.
L — LOW: Little or No Impact. Acceptable.</t>
  </si>
  <si>
    <t>FDC Numbering Convention</t>
  </si>
  <si>
    <t>FACTOR ID = the base analytical unit (e.g. EP-02a, MSR-01b).
FACTOR-n = the nth deduction from that factor (e.g. EP-02a-1, MSR-01b-1).
FACTOR-n-m = the mth conclusion from deduction n (e.g. EP-02a-1-1, EP-02a-1-2).
EP-02 has been split into EP-02a (FREETOWN SPOD), EP-02b (CONAKRY SPOD/GUINEA), EP-02c (BONTHE contingency).
MSR-01 has been split into MSR-01a (FREETOWN-Bo), MSR-01b (FREETOWN-Kabala), MSR-01c (Bo-Yonibana).</t>
  </si>
  <si>
    <t>Output Types (COPD Annex D)</t>
  </si>
  <si>
    <t>OL = Operational Limitation | OR = Operational Risk | PS = Precondition for Success (para 4.21(b)(3)) | IFC = Initial Force/Capability/C2 Requirement (para 4.28) | RFI = Request for Information | CCIR = Commander Critical Information Requirement | RS = Request to SACEUR | A = Assumption.</t>
  </si>
  <si>
    <t>Source References</t>
  </si>
  <si>
    <t>[S3]=Serial 3 Scenario | [S3A]=Serial 3A IJE | [S3B]=Serial 3B UN Report | [S4]=Serial 4 SSA/Legal | [S5]=Serial 5 MROs | [S6]=Serial 6 SPD | [S7]=Serial 7 COMJFC Guidance | [S8]=Serial 8 Logistics | [S12]=Serial 12 Forces Available | [F]=AJP-4(A)/JDP 4-00.</t>
  </si>
  <si>
    <t>Classification</t>
  </si>
  <si>
    <t>NATO UNCLASSIFIED / EXERCISE EXERCISE EXERCISE | Releasable to PfP/EU.</t>
  </si>
  <si>
    <t>COLOUR KEY — AJP-5 Para 4.59, Table 4.8</t>
  </si>
  <si>
    <t>E — EXTREMELY HIGH (5E, 4E, 5D etc.)</t>
  </si>
  <si>
    <t>Mission Likely to Fail. Unacceptable. Deep red.</t>
  </si>
  <si>
    <t>H — HIGH (4D, 3E, 4C, 5C etc.)</t>
  </si>
  <si>
    <t>Inability to Accomplish all Parts. Conditionally acceptable. Light red.</t>
  </si>
  <si>
    <t>M — MODERATE (3C, 4B, 5B etc.)</t>
  </si>
  <si>
    <t>Accomplishment likely, reduced capability. Conditionally acceptable. Amber.</t>
  </si>
  <si>
    <t>L — LOW (1A–3B etc.)</t>
  </si>
  <si>
    <t>Little or No Impact. Acceptable. Green.</t>
  </si>
  <si>
    <t>CJEX 26 — ASCOPE / PMESII MATRIX: Logistics Implications | CCR/J4 | 04 May 2026 | NATO UNCLASSIFIED</t>
  </si>
  <si>
    <t>Each cell: logistics assessment with risk rating per AJP-5 para 4.59, Table 4.8. E = Extremely High (Mission Likely to Fail, deep red) | H = High (Inability to Accomplish all Parts, light red) | M = Moderate (Accomplishment likely, amber) | L = Low (Little or no impact, green). Expand to FDC Log Analysis for full Factor–Deduction–Conclusion detail.</t>
  </si>
  <si>
    <t>PMESII \ ASCOPE</t>
  </si>
  <si>
    <t>AREAS
Physical terrain, geography, JOA extent</t>
  </si>
  <si>
    <t>STRUCTURES
Physical infrastructure, ports, roads, networks</t>
  </si>
  <si>
    <t>CAPABILITIES
What actors can do: military, civil, commercial, HNS</t>
  </si>
  <si>
    <t>ORGANISATIONS
Actors in the OE: NATO, UN, NGO, AFRC/RUF, LIBERIA, GoSL</t>
  </si>
  <si>
    <t>PEOPLE
Population, workforce, decision-makers, IDPs</t>
  </si>
  <si>
    <t>EVENTS
Scheduled or likely events affecting logistics</t>
  </si>
  <si>
    <t>POLITICAL</t>
  </si>
  <si>
    <t>GUINEA (CONAKRY) and GAMBIA are politically conditioned logistics depth. CONAKRY cannot be treated as confirmed until the Technical Agreement is signed; GAMBIA is a contingency/third-entry option. Both require J5 diplomatic action before J4 can plan them as firm assets. [S7][S8]</t>
  </si>
  <si>
    <t>SOFA/TA/HNSA are enabling structures. Legal authority for SIERRA LEONE exists, but operational access, force protection permissions (no lethal force in GUINEA) and transit arrangements must be translated into usable logistics agreements before D-Day. [S4][S8]</t>
  </si>
  <si>
    <t>COMJFC must engage SACEUR/NAC for authorisations, CRMs, enabling budget and ACTPRED actions. Enabling budget (EUR 300–450M, common-funded) is not yet authorised; pre-execution contracting cannot begin without it. [S6][S7]</t>
  </si>
  <si>
    <t>GoSL on the verge of collapse — primary HNS provider. GUINEA willing but politically conditioned. J4/CIMIC/J5 liaison is required to prevent HNS arrangements becoming competing demands rather than logistics enablers. [S4][S7]</t>
  </si>
  <si>
    <t>IDPs, refugees and local power brokers affect route access, labour availability, convoy deconfliction and the legitimacy of military logistics activity. Provincial civil authority outside FREETOWN is effectively absent. [S3][S4]</t>
  </si>
  <si>
    <t>NAC/NID/COMJFC planning milestones compress decisions. GUINEA TA, GAMBIA access, JLSG D-7 requirement and fuel lead nation decisions must all be resolved before force-flow commitments are made. [S7]</t>
  </si>
  <si>
    <t>MILITARY</t>
  </si>
  <si>
    <t>Eastern and Southern provinces (including diamond areas and LIBERIAN border) define the outer limit of logistics reach. MRO 2 and 3 extend sustainment beyond FREETOWN into contested terrain where no organic support infrastructure exists. MSR interdiction by AFRC/RUF is current, not potential. [S3][S3A]</t>
  </si>
  <si>
    <t>APOD LUNGI, SPOD FREETOWN, SPOD CONAKRY (GUINEA), staging areas, MSRs, CSCs and JLSG base are the decisive logistics structures. LUNGI is under active MANPAD threat; FREETOWN SPOD is near capacity due to humanitarian use; CONAKRY is conditional. [S3][S8]</t>
  </si>
  <si>
    <t>WAFOR must generate JLSG, LBU, RSOI, handling units, route security, counter-MANPAD, engineer and medical enablers before main force flow. LIBERIA has assessed submarine and air interdiction capability threatening strategic RoRo lift. [S3][S12]</t>
  </si>
  <si>
    <t>JLSG/JLSN/NSEs/TCNs must be integrated under clear JLSG coordinating authority. Without that authority, scarce port capacity, storage, convoy slots and fuel default to national competition. JLSG authority over NSEs must be explicit in COMJFC direction. [F][S12]</t>
  </si>
  <si>
    <t>AFRC/RUF attacks threaten logistics personnel on convoys, at APODs, SPODs and RoRo vessels in transit. AFRC/RUF use of child combatants requires specific convoy force protection ROE. LIBERIAN intelligence services can identify logistics personnel and node locations. [S3]</t>
  </si>
  <si>
    <t>Deployment phase is the window of maximum logistics vulnerability. Handling units require D-7. RoRo naval escort, APOD defence and MSR security must precede or accompany force arrival. A single SPOD or APOD loss in this window is non-recoverable. [S3][S8]</t>
  </si>
  <si>
    <t>ECONOMIC</t>
  </si>
  <si>
    <t>FREETOWN is the economic and logistics centre but is already under humanitarian and commercial pressure. Diamond areas (Eastern Province, AFRC/RUF controlled) drive political-military objectives and MSR exposure. No functioning commercial economy outside FREETOWN. [S3][S3B]</t>
  </si>
  <si>
    <t>FREETOWN/QEII port, CONAKRY (GUINEA) harbour, warehouses, fuel farms, local markets, water systems and communications are economic structures with direct logistics value. QE II Quay civilian capacity is near-zero — military use competes with humanitarian imports. [S3A][S8]</t>
  </si>
  <si>
    <t>Local contracting can supplement fuel, water, food, port handling and engineering but cannot be assumed in a near-collapsed economy. No functioning national fuel distribution infrastructure in SIERRA LEONE. Enabling budget must be authorised before pre-execution contracting can begin. [S7][S8]</t>
  </si>
  <si>
    <t>Commercial providers, port authorities, NGOs and UN logistics bodies compete for labour, fuel, warehousing, vehicles and communications. UNJLC has logistics coordination expertise that WAFOR should exploit rather than compete with. [S4]</t>
  </si>
  <si>
    <t>Local labour essential but vulnerable to insecurity, AFRC/RUF intimidation, displacement and corruption. Port workers available 12 hours per day only — a hard planning constraint. Contractor vetting and force protection are J4 issues, not administrative ones. [S8]</t>
  </si>
  <si>
    <t>Rainy season onset (May 2026 — immediately) closes feeder roads and degrades secondary routes. Humanitarian demand spikes, market disruption and AFRC/RUF attacks can create artificial scarcity and price escalation before WAFOR logistics stabilises. [S7][S8]</t>
  </si>
  <si>
    <t>SOCIAL</t>
  </si>
  <si>
    <t>FREETOWN, Bo, MAKENI, KENEMA and IDP/refugee locations shape logistics routes, convoy priorities and the requirement to protect civilian infrastructure. Ethnic geography (SHERBRO in east/south; TEMNE/LIMBA in north) affects local support and route security. [S3]</t>
  </si>
  <si>
    <t>Hospitals, water points, IDP camps, refugee centres and humanitarian distribution hubs compete with military sustainment for fuel, water, route access and engineer effort. IDP camps at KABALA, Bo and MAKENI are located on primary MSRs. [S3B][S4]</t>
  </si>
  <si>
    <t>Civil capacity for health, water, food distribution and transport is fragile. WAFOR must be self-sufficient and protect minimum civilian allocations to avoid worsening the humanitarian crisis and generating political risk. IDP humanitarian demand could equate to sustaining an additional brigade-equivalent of non-combatants. [S3B][S4]</t>
  </si>
  <si>
    <t>UNMSL, UNOCHA, UNJLC, NGOs and local civil authorities require formal deconfliction with J4/CIMIC to separate military and humanitarian logistics flows. Properly coordinated, IO/NGO logistics capacity supplements WAFOR; uncoordinated, it competes for the same ports, fuel and roads. [S4]</t>
  </si>
  <si>
    <t>IDPs, refugees, civilians, port labourers and local communities can block, enable or absorb logistics activity. Civilian movement on MSRs reduces convoy speed and route availability unpredictably. AFRC/RUF information operations can undermine willingness of local workers to support WAFOR. [S3][S3A]</t>
  </si>
  <si>
    <t>Attacks on refugee centres and aid convoys increase MEDEVAC, force protection and humanitarian support requests that compete directly with WAFOR sustainment. GoSL collapse, AFRC/RUF offensive on FREETOWN, and LIBERIAN intervention each require a distinct logistics contingency response. [S4]</t>
  </si>
  <si>
    <t>INFORMATION</t>
  </si>
  <si>
    <t>LUNGI, FREETOWN SPOD, CONAKRY (GUINEA), MSRs and the LUNGI–FREETOWN crossing are observable nodes. LIBERIA receives Russian ISR (EO, SAR, SIGINT) providing near-real-time visibility of logistics build-up patterns. [S3][S4]</t>
  </si>
  <si>
    <t>Cargo tracking, port scheduling, fuel management, airfield systems and movement control are logistics information structures under active cyber threat. LUNGI Airport management systems are being targeted now. Manual fallback procedures for all systems must be validated before D-Day. [S3][S3A]</t>
  </si>
  <si>
    <t>WAFOR must maintain logistics visibility, movement control, cargo prioritisation and information resilience despite cyber attack, propaganda and commercial network disruption. Loss of JLSG cargo visibility causes fuel and ammunition to be misallocated. [S3][F]</t>
  </si>
  <si>
    <t>J4, J6, J2, CIMIC, UNJLC and commercial telecom actors must share logistics-relevant information without exposing critical vulnerabilities. OPSEC around RoRo arrival timings, fuel storage locations and convoy schedules is essential. [S3A]</t>
  </si>
  <si>
    <t>Local staff, contractors and TCNs can be sources of logistics information leakage. 70% of the population is illiterate — cash-based contracting and physical documentation are required for all local supplier arrangements. [S3A]</t>
  </si>
  <si>
    <t>Cyber attacks, MANPAD incidents, SPOD congestion, aid disruption or civilian harm can immediately affect political support and WAFOR logistics freedom of action. LIBERIA's cyber capability will mature during the operation — cyber protection must be treated as an evolving threat. [S3][S4]</t>
  </si>
  <si>
    <t>INFRASTRUCTURE</t>
  </si>
  <si>
    <t>Theatre is approximately 3,000nm from Europe. Primary roads: 2,332km (925km paved). Secondary: 2,091km (46km paved). Feeder: 4,277km (0% paved). No functioning common-carrier railway. Distance and degraded infrastructure constrain force projection and sustainment. [S3A][S8]</t>
  </si>
  <si>
    <t>LUNGI APOD (sole, MANPAD-threatened, 7-day handling preparation). SPOD FREETOWN (2 NATO berths, 12hr/day, 1 brigade staging). SPOD CONAKRY/GUINEA (TA unsigned). LUNGI–FREETOWN ferry crossing (no bridge). Bridges on primary MSRs assessed as poor quality/chokepoints. BONTHE: potential contingency SPOD/APOD, security conditions required. [S3A][S8]</t>
  </si>
  <si>
    <t>Throughput, staging, road movement, engineer repair, water production, fuel storage and distribution are the hard limits on MRO feasibility. Nominal port capacity overstates real military throughput — apply minimum 25% friction reduction. Maintenance capacity will be exceeded at MRO 2/3 scale in a high-humidity, high-heat environment. [S8]</t>
  </si>
  <si>
    <t>Port operators, JLSG, engineers, movement control, HNS authorities and contractors must function as a single logistics system under J4 coordination. JLSG, LBU and RSOI Unit in ARF Tier 1. Log Support Group and Role 3 MTF in ARF Tier 2 (30 days NTM) — creating a critical capability gap in the opening phase. NSE positioning directive required before deployment. [S12][F]</t>
  </si>
  <si>
    <t>Engineer, port-handling, movement control, medical and transport personnel are scarce enabling people. Late arrival of any causes non-recoverable delays. Local labour for base construction and vehicle maintenance is unreliable. No skilled engineering or maintenance workforce available outside FREETOWN. [S8]</t>
  </si>
  <si>
    <t>Rainy season (May–November) closes all feeder roads immediately and degrades secondary routes within weeks. MSR interdiction, APOD closure, ferry disruption, SPOD congestion or RoRo loss can trigger logistics culmination before tactical failure. Bridge classification by OLRT and engineer repair must precede first supply column movement. [S3A][S7][S8]</t>
  </si>
  <si>
    <t>CJEX 26 — J4 LOGISTICS FACTOR–DEDUCTION–CONCLUSION ANALYSIS | CCR/J4 | 04 May 2026 | NATO UNCLASSIFIED | Analytical basis: COPD V3.1 para 4.25 (OE Analysis) and Fig 4.8. Risk per AJP-5 Edition A Version 2, para 4.59, Table 4.8.</t>
  </si>
  <si>
    <t>NUMBERING: FACTOR-n = nth deduction of that factor. FACTOR-n-m = mth conclusion of deduction n. COLUMNS G/H/I/J: Severity (A-E, most severe=E) | Probability (1-5, most likely=5) | Risk Code (prob+sev e.g. 5E) | AJP-5 Rating (E/H/M/L). SEVERITY: A=Negligible B=Marginal C=Moderate D=Critical E=Catastrophic. PROBABILITY: 1=Rare 2=Unlikely 3=Possible 4=Likely 5=Almost Certain. OUTPUT TYPES (COPD Annex D): OL=Operational Limitation OR=Operational Risk PS=Precondition for Success IFC=Initial Force/Capability RFI=Request for Information CCIR=Cdr Critical Info Req RS=Request to SACEUR A=Assumption.</t>
  </si>
  <si>
    <t>ID</t>
  </si>
  <si>
    <t>PMESII</t>
  </si>
  <si>
    <t>ASCOPE</t>
  </si>
  <si>
    <t>FACTOR
(Significant factual statement)</t>
  </si>
  <si>
    <t>DEDUCTION
(So what is the significance?)</t>
  </si>
  <si>
    <t>CONCLUSION
(So what can/should/must be done?)</t>
  </si>
  <si>
    <t>SEVERITY
(A–E)
A=Negligible
↕
E=Catastrophic</t>
  </si>
  <si>
    <t>PROBABILITY
(1–5)
1=Rare
↕
5=Almost Certain</t>
  </si>
  <si>
    <t>RISK
CODE
(e.g. 5E)</t>
  </si>
  <si>
    <t>AJP-5
RATING
(para 4.59
Table 4.8)</t>
  </si>
  <si>
    <t>J-BRANCH</t>
  </si>
  <si>
    <t>SOURCE MATERIAL</t>
  </si>
  <si>
    <t>OUTPUT TYPE
(COPD Annex D)</t>
  </si>
  <si>
    <t>EP-01</t>
  </si>
  <si>
    <t>Infrastructure</t>
  </si>
  <si>
    <t>Structures</t>
  </si>
  <si>
    <t>APOD LUNGI is the sole wide-body APOD in the JOA. Under active MANPAD (SA-14 Gremlin, supplied by LIBERIA) attack; intermittently closed. Handling unit requires 7 days in-theatre preparation before receiving troops (Serial 8, para 2.a(1)). LUNGI Airport management systems under active cyber and denial-of-service attack by AFRC/RUF. No alternative APOD confirmed in SIERRA LEONE.</t>
  </si>
  <si>
    <t>Catastrophic</t>
  </si>
  <si>
    <t>Almost Certain</t>
  </si>
  <si>
    <t>5E</t>
  </si>
  <si>
    <t>Extremely High</t>
  </si>
  <si>
    <t>J4/J3/J6</t>
  </si>
  <si>
    <t>Serial 3; Serial 7 para b(3); Serial 8 para 2.a(1)-(3)</t>
  </si>
  <si>
    <t>FACTOR</t>
  </si>
  <si>
    <t>EP-01-1</t>
  </si>
  <si>
    <t>Single APOD with active kinetic and cyber threat = single point of failure for all time-sensitive air logistics, personnel reinforcement and MEDEVAC. 7-day handling unit preparation is a hard planning constraint. [COPD para 4.25]</t>
  </si>
  <si>
    <t>DEDUCTION</t>
  </si>
  <si>
    <t>EP-01-1-1</t>
  </si>
  <si>
    <t>WAFOR MUST deploy APOD handling unit at D-7. Mission Essential Force Capability for CJSOR. [COPD para 4.28; Serial 8 para 2.a(1)]</t>
  </si>
  <si>
    <t>IFC / OL</t>
  </si>
  <si>
    <t>EP-01-1-2</t>
  </si>
  <si>
    <t>WAFOR MUST implement Counter-MANPAD measures before LUNGI can be treated as reliable. Capability must be in ARF Tier 1 CJSOR. [COPD para 4.28; Serial 3]</t>
  </si>
  <si>
    <t>IFC / OR</t>
  </si>
  <si>
    <t>EP-01-2</t>
  </si>
  <si>
    <t>LUNGI closure during deployment phase leaves no fallback APOD in SIERRA LEONE — gap in air sustainment and strategic MEDEVAC.</t>
  </si>
  <si>
    <t>EP-01-2-1</t>
  </si>
  <si>
    <t>WAFOR MUST formalise GAMBIA (GAMBIA) as contingency APOD. Technical Agreement is a Precondition for Success. [COPD para 4.21(b)(3); Serial 7; Serial 8]</t>
  </si>
  <si>
    <t>PS / RS</t>
  </si>
  <si>
    <t>EP-01-2-2</t>
  </si>
  <si>
    <t>RFI to J6/J2: Status of cyber protection on LUNGI Airport management systems. Timeline for J6 hardening. Required before MAB. [COPD para 4.25; Serial 3A]</t>
  </si>
  <si>
    <t>RFI</t>
  </si>
  <si>
    <t>EP-02a</t>
  </si>
  <si>
    <t>SPOD FREETOWN (SLFNA): 4 General/RoRo berths total; half rounded up = 2 available to NATO (Serial 8, para 2.b). Working day 12 hours only. Planning rule: 150m berth = 1 RoRo = 6 hours offload (Serial 8). Berth breakdown: Berth 2 (155m) — highlighted green in Serial 8 as available for debarkation/embarkation ops; Berth 1 (135m) — below the 150m planning threshold, CANNOT receive a RoRo. EFFECTIVE THROUGHPUT: 1 usable RoRo berth × (12hr ÷ 6hr) = 2 RoRo per day. No friction factor applied — Serial 8 planning rule only. Staging area: ONE brigade simultaneously, 3-day minimum before onward movement. QE II Quay remaining free capacity assessed as near-zero due to humanitarian use (Serial 3A).</t>
  </si>
  <si>
    <t>J4/J1</t>
  </si>
  <si>
    <t>Serial 8 para 2.b(1)-(4)</t>
  </si>
  <si>
    <t>EP-02a-1</t>
  </si>
  <si>
    <t>FREETOWN SPOD throughput ceiling is 2 RoRo/day (Serial 8 planning rule; 1 usable berth). Deployment timelines at FREETOWN alone: MRO 1 (9 RoRo) = 4.5 days; MRO 2 (18 RoRo) = 9 days; MRO 3 (42 RoRo) = 21 days — before staging rotation is added. Staging constraint (1 Bde simultaneously, 3-day minimum) extends these timelines further. CONAKRY running in parallel halves the SPOD timeline but is not yet confirmed. Any COA requiring 2+ brigades simultaneously must plan sequential force flow. [COPD para 4.25; Serial 8 para 2.b]</t>
  </si>
  <si>
    <t>EP-02a-1-1</t>
  </si>
  <si>
    <t>Staging constraint at FREETOWN SPOD (1 Bde, 3-day minimum) and throughput ceiling (2 RoRo/day per Serial 8) are operational limitations on any COA at MRO 2/3 scale. MRO 2 alone requires 9 days of FREETOWN SPOD operations before staging begins — CONAKRY is essential, not optional. Force flow sequence MUST be designed around these ceilings. [COPD para 4.25; Serial 8 para 2.b]</t>
  </si>
  <si>
    <t>OL</t>
  </si>
  <si>
    <t>EP-02a-1-2</t>
  </si>
  <si>
    <t>Purple gate/coupling bridge arrangements MUST be formally agreed with all TCNs before first ship arrives. JLSG to publish Port Reception Authority document before D-Day. [COPD para 4.57; AJP-4(A) para 2.13]</t>
  </si>
  <si>
    <t>OL / IFC</t>
  </si>
  <si>
    <t>EP-02b</t>
  </si>
  <si>
    <t>SPOD CONAKRY (GNCKY), GUINEA: Technical Agreement NOT YET SIGNED. No lethal force authorised on GUINEAN territory. 4 berths, 2 available to NATO. Berth lengths 113-270m, max draft 10.5/13m (better than FREETOWN). Operating conditions: same as FREETOWN (12hr/day, workers available). GUINEA has indicated willingness to provide logistic support subject to Technical Agreement. Protection of CONAKRY harbour is a key GUINEAN national interest.</t>
  </si>
  <si>
    <t>J4/J5</t>
  </si>
  <si>
    <t>Serial 8 para 2.b(5)-(6); Serial 4</t>
  </si>
  <si>
    <t>EP-02b-1</t>
  </si>
  <si>
    <t>CONAKRY SPOD is essential for MRO 2 and 3 — this is arithmetic from the planning factors. FREETOWN alone cannot deliver MRO 2/3 Class III demand within available throughput capacity. However, the unsigned Technical Agreement means CONAKRY cannot appear in any MRO 2/3 logistics plan as a confirmed asset. This is a Precondition for Success beyond COMJFC's authority. [COPD para 4.21(b)(3)]</t>
  </si>
  <si>
    <t>EP-02b-1-1</t>
  </si>
  <si>
    <t>WAFOR SHOULD NOT plan MRO 2 or 3 without CONAKRY (GUINEA) confirmed. GUINEA Technical Agreement MUST be raised as Precondition for Success to SACEUR before deployment orders are issued. [COPD para 4.21(b)(3); Serial 8]</t>
  </si>
  <si>
    <t>EP-02b-1-2</t>
  </si>
  <si>
    <t>Force protection model at CONAKRY must not rely on armed WAFOR ashore — GUINEA's 'no lethal force' constraint is absolute. J4/J5 to confirm viable force protection model for JLSG elements at CONAKRY. [COPD para 4.25; Serial 4]</t>
  </si>
  <si>
    <t>OR / RFI</t>
  </si>
  <si>
    <t>EP-02b-1-3</t>
  </si>
  <si>
    <t>RFI to J5: Current status of GUINEA Technical Agreement negotiations and realistic timeline for signature. J4 CANNOT confirm CONAKRY as a planning asset until TA is signed. [COPD para 4.26; Serial 4]</t>
  </si>
  <si>
    <t>EP-02c</t>
  </si>
  <si>
    <t>BONTHE: identified in Serial 8 as a potential contingency SPOD/APOD. Located in Southern Province. AFRC/RUF controls parts of Southern Province including BONTHE District (Serial 3). Security conditions currently do not permit use. Technical Agreement and security clearance would be required before activation.</t>
  </si>
  <si>
    <t>Moderate</t>
  </si>
  <si>
    <t>Possible</t>
  </si>
  <si>
    <t>3C</t>
  </si>
  <si>
    <t>High</t>
  </si>
  <si>
    <t>J4/J3</t>
  </si>
  <si>
    <t>Serial 8</t>
  </si>
  <si>
    <t>EP-02c-1</t>
  </si>
  <si>
    <t>BONTHE provides potential third entry-point redundancy but is currently inaccessible due to AFRC/RUF activity in the area. Its value is contingency depth — not a current planning asset. Activating BONTHE requires security conditions that do not yet exist. [COPD para 4.25]</t>
  </si>
  <si>
    <t>EP-02c-1-1</t>
  </si>
  <si>
    <t>WAFOR SHOULD assess BONTHE as a contingency SPOD/APOD via OLRT once MSR-01 (Southern Province security) is addressed. Not a current planning asset. [COPD para 4.24 ACTPRED; Serial 8]</t>
  </si>
  <si>
    <t>EP-03</t>
  </si>
  <si>
    <t>Areas</t>
  </si>
  <si>
    <t>APOD LUNGI is separated from FREETOWN logistics base by the SIERRA LEONE River estuary. There is no bridge. Movement depends entirely on ferry, water taxi or craft capacity. This is the sole physical link between the APOD and the JLSG logistics base. No serial explicitly describes the crossing capacity or vulnerability — it is an assumed connection with no stated redundancy.</t>
  </si>
  <si>
    <t>Likely</t>
  </si>
  <si>
    <t>4E</t>
  </si>
  <si>
    <t>J4/J3 Maritime</t>
  </si>
  <si>
    <t>Serial 3A; CCR analysis</t>
  </si>
  <si>
    <t>EP-03-1</t>
  </si>
  <si>
    <t>Even with LUNGI open, APOD cargo has no operational value if the crossing is congested, interdicted, sabotaged or weather-limited. The crossing is not treated as a separate logistics node in any serial — a planning gap. [COPD para 4.25]</t>
  </si>
  <si>
    <t>EP-03-1-1</t>
  </si>
  <si>
    <t>WAFOR MUST designate LUNGI-FREETOWN crossing as a named critical logistics node with J4/J3 Maritime protection responsibility. [COPD para 4.25; Serial 3A]</t>
  </si>
  <si>
    <t>EP-03-1-2</t>
  </si>
  <si>
    <t>WAFOR MUST establish rotary-wing and maritime contingency transfer plans for time-critical cargo (medical, munitions, spares) if crossing is interdicted. Plan MUST be in place before D-Day. [COPD para 4.57]</t>
  </si>
  <si>
    <t>OR / IFC</t>
  </si>
  <si>
    <t>EP-03-1-3</t>
  </si>
  <si>
    <t>RFI to J3 Maritime: Ferry crossing capacity, vulnerability assessment and force protection options. Required before JLSG deployment order. [Serial 3A]</t>
  </si>
  <si>
    <t>F-01</t>
  </si>
  <si>
    <t>Capabilities</t>
  </si>
  <si>
    <t xml:space="preserve">30 DOS/CDOS required before operations: 7 CDOS in combat zone, 23 available (Serial 8, para 3.a). Class III base rate: 70 MT/brigade/DOS. CDOS multiplier: PSO (1.0) × hilly terrain (1.2) × hot climate (0.9) = 1.08. Effective rate: 75.6 MT/brigade/DOS. No functioning national fuel distribution infrastructure in SIERRA LEONE. MRO 1 daily demand: ~113 MT. MRO 2: ~227 MT. MRO 3 (with aviation and armour uplift): ~418 MT. Separate fuel terminal in FREETOWN bay for fuel. Fuel tanker capacity 10000-40000 MT. </t>
  </si>
  <si>
    <t>J4</t>
  </si>
  <si>
    <t>Serial 8 paras 3.a-3.f; COPD para 4.25</t>
  </si>
  <si>
    <t>F-01-1</t>
  </si>
  <si>
    <t>Fuel demand grows arithmetically with force scale and competes with all other commodity classes for finite SPOD/APOD capacity. Pre-positioning 30 CDOS must complete before IOC can be declared. PELE port in FREETOWN bay mitigates the use of FREETOWN SPOD for fuel.</t>
  </si>
  <si>
    <t>F-01-1-1</t>
  </si>
  <si>
    <t>WAFOR MUST treat Class III as the priority commodity in the deployment schedule for all MROs. WAFOR CANNOT declare IOC until minimum 7 CDOS combat zone stocks are established. [COPD para 4.28; Serial 8 para 3.a]</t>
  </si>
  <si>
    <t>F-01-1-2</t>
  </si>
  <si>
    <t>Fuel lead nation MUST be confirmed in CJSOR with bulk storage and distribution capability. Possible Mission Essential Force Capability. [COPD para 4.28; AJP-4(A)]</t>
  </si>
  <si>
    <t>IFC / PS</t>
  </si>
  <si>
    <t>F-01-2</t>
  </si>
  <si>
    <t>At MRO 3 scale (~418 MT/day), FREETOWN SPOD cannot deliver sufficient fuel alongside other commodity classes. CONAKRY is essential for MRO 2/3 fuel sustainability — arithmetic, not judgement.</t>
  </si>
  <si>
    <t>F-01-2-1</t>
  </si>
  <si>
    <t>Fuel should not be a problem</t>
  </si>
  <si>
    <t>F-01-2-2</t>
  </si>
  <si>
    <t>F-02</t>
  </si>
  <si>
    <t>Fuel risk is not limited to import tonnage. Bulk storage capacity, fuel quality control, tanker vehicle availability, forward fuel points and distribution assets determine whether imported fuel becomes usable operational reach. No fuel lead nation designated. MRO 2 and 3 create a forward distribution problem that SPOD throughput alone cannot solve.</t>
  </si>
  <si>
    <t>Critical</t>
  </si>
  <si>
    <t>5D</t>
  </si>
  <si>
    <t>Serial 8; AJP-4(A) para 0105; COPD para 4.25</t>
  </si>
  <si>
    <t>F-02-1</t>
  </si>
  <si>
    <t>Without a fuel lead nation, Class III defaults to parallel national procurement — competing contracts, incompatible grades, no single J4 fuel priority authority. Artificial scarcity generated even with adequate import tonnage. [COPD para 4.57; AJP-4(A)]</t>
  </si>
  <si>
    <t>F-02-1-1</t>
  </si>
  <si>
    <t>WAFOR MUST confirm fuel role-specialisation nation in CJSOR — must include bulk storage and distribution capability, not procurement only. [COPD para 4.28; AJP-4(A); Serial 8]</t>
  </si>
  <si>
    <t>IFC</t>
  </si>
  <si>
    <t>F-02-1-2</t>
  </si>
  <si>
    <t>RFI to J1/Force Generation: Nations with bulk fuel tanker and forward fuel point capability for fuel lead nation role. Required before force generation conference. [COPD para 4.28; Serial 8]</t>
  </si>
  <si>
    <t>MSR-01a</t>
  </si>
  <si>
    <t>Military</t>
  </si>
  <si>
    <t>MSR FREETOWN–Bo: under active AFRC/RUF attack. UN convoys have been attacked on this route. Primary supply axis to Southern Province (Bo, BONTHE District). Distance approximately 240km, mostly asphalted primary road. Convoy Support Centre required for every day of transport movement (Serial 8 para 2.c).</t>
  </si>
  <si>
    <t>Serial 3; Serial 7 para b(3); Serial 8 para 2.c</t>
  </si>
  <si>
    <t>MSR-01a-1</t>
  </si>
  <si>
    <t>FREETOWN-Bo is the primary supply axis to Southern Province. Active interdiction now means supply columns cannot move without dedicated route security. At contested rate (150km/day), round-trip to Bo = 3-4 days — a day of lost supply per additional day of contest. [COPD para 4.25]</t>
  </si>
  <si>
    <t>MSR-01a-1-1</t>
  </si>
  <si>
    <t>WAFOR CANNOT sustain forces in Southern Province without securing FREETOWN-Bo. Route security MUST precede first logistics column movement on this axis. [COPD para 4.25; Serial 3; Serial 8 para 2.c]</t>
  </si>
  <si>
    <t>MSR-01a-1-2</t>
  </si>
  <si>
    <t>CSC MUST be established on FREETOWN-Bo before first supply column movement. Engineer priority of work must sequence this task. [COPD para 4.28; Serial 8 para 2.c]</t>
  </si>
  <si>
    <t>MSR-01b</t>
  </si>
  <si>
    <t>MSR FREETOWN–Kabala: under AFRC/RUF attack. Primary supply axis to Northern Province (MAKENI area). Distance approximately 250km. Passes through partially contested terrain. Essential for supply to Northern Province once feeder roads become impassable in rainy season.</t>
  </si>
  <si>
    <t>MSR-01b-1</t>
  </si>
  <si>
    <t>Northern Province supply depends entirely on FREETOWN-Kabala once rainy season closes feeder alternatives. AFRC/RUF interdiction of this axis simultaneously with FREETOWN-Bo isolates both Northern and Southern Provinces from logistics support. [COPD para 4.25]</t>
  </si>
  <si>
    <t>MSR-01b-1-1</t>
  </si>
  <si>
    <t>WAFOR MUST pre-position minimum 14 DOS at MAKENI before advancing forces to Northern Province. Route security for FREETOWN-Kabala must be planned as concurrent with logistics movement. [COPD para 4.28; Serial 8]</t>
  </si>
  <si>
    <t>MSR-01b-1-2</t>
  </si>
  <si>
    <t>CCIR proposal: 'Is FREETOWN-Kabala clear and secure for logistics column movement?' Trigger for Northern Province advance. [COPD para 4.26; Serial 7 para b(3)]</t>
  </si>
  <si>
    <t>CCIR</t>
  </si>
  <si>
    <t>MSR-01c</t>
  </si>
  <si>
    <t>MSR Bo–Yonibana: under active AFRC/RUF attack. Secondary but important lateral route connecting Southern Province to central area. Loss of this route removes lateral LOC flexibility between southern and central supply areas, forcing a purely radial logistics structure from FREETOWN.</t>
  </si>
  <si>
    <t>4C</t>
  </si>
  <si>
    <t>Serial 3; Serial 8 para 2.c</t>
  </si>
  <si>
    <t>MSR-01c-1</t>
  </si>
  <si>
    <t>Bo-Yonibana provides lateral logistics flexibility. Its loss forces all distribution onto radial spokes from FREETOWN — increasing single-point vulnerability. Relevant for MRO 2/3 when forces are distributed across multiple provinces. [COPD para 4.25]</t>
  </si>
  <si>
    <t>MSR-01c-1-1</t>
  </si>
  <si>
    <t>WAFOR SHOULD designate Bo-Yonibana as secondary supply route and pre-position stocks at Bo to reduce dependency. Not a primary logistics axis. [COPD para 4.25; Serial 8 para 2.c]</t>
  </si>
  <si>
    <t>MSR-02</t>
  </si>
  <si>
    <t>Events</t>
  </si>
  <si>
    <t>Rainy season commences May 2026 — immediately. Feeder roads (4,277km, 0% paved): inaccessible during rainy season. Secondary roads (2,091km, 46km paved): poor condition and degrading now. Only 925km primary roads paved. Bridges on primary routes assessed as poor quality/chokepoints (Serial 3A). Allies committed to repair and maintain road network throughout mission (Serial 8 para 2.c).</t>
  </si>
  <si>
    <t>5C</t>
  </si>
  <si>
    <t>J4/J3 Engr</t>
  </si>
  <si>
    <t>Serial 7 para b(12); Serial 8 para 2.c(2)-(4); Serial 3A</t>
  </si>
  <si>
    <t>MSR-02-1</t>
  </si>
  <si>
    <t>Logistics reach contracts immediately on arrival and continues contracting throughout the operation. Secondary and feeder road access cannot be assumed after May. [COPD para 4.25; Serial 7 para b(12)]</t>
  </si>
  <si>
    <t>MSR-02-1-1</t>
  </si>
  <si>
    <t>WAFOR MUST base all logistics planning on primary paved roads only from May 2026. Operational limitation on distribution reach. [COPD para 4.25; Serial 7 para b(12); Serial 8 para 2.c(2)]</t>
  </si>
  <si>
    <t>MSR-02-1-2</t>
  </si>
  <si>
    <t>Forces beyond primary road reach MUST be air-supplied or pre-positioned with minimum 30 DOS before rainy season closes secondary approach routes. [COPD para 4.28; Serial 8]</t>
  </si>
  <si>
    <t>MSR-02-2</t>
  </si>
  <si>
    <t>Bridges on primary MSRs are poor quality and represent chokepoints. Bridge failure = non-recoverable route interruption with no alternative.</t>
  </si>
  <si>
    <t>MSR-02-2-1</t>
  </si>
  <si>
    <t>OLRT MUST conduct bridge classification on all primary MSRs as ACTPRED task. Engineer bridge repair MUST be sequenced before first supply column movement. [COPD para 4.24; Serial 3A; Serial 8]</t>
  </si>
  <si>
    <t>RFI / IFC</t>
  </si>
  <si>
    <t>HNS-01</t>
  </si>
  <si>
    <t>Political</t>
  </si>
  <si>
    <t>Organisations</t>
  </si>
  <si>
    <t>GoSL is assessed as on the verge of collapse (Serial 4; Serial 7 para a(3)) and is the primary HNS provider — port workers, local contracts, infrastructure access, civil authority over logistics facilities. Legal HNS basis exists but functional delivery is unreliable and may deteriorate to zero.</t>
  </si>
  <si>
    <t>J4/J5/CIMIC</t>
  </si>
  <si>
    <t>Serial 7 para a(3); Serial 8 para 4; Serial 4</t>
  </si>
  <si>
    <t>HNS-01-1</t>
  </si>
  <si>
    <t>Any logistics plan treating GoSL HNS as a reliable baseline has a false foundation. Port workers, warehouse staff, fuel distributors and local engineering contractors depend on a functioning civil authority that may not exist at execution. [COPD para 4.25]</t>
  </si>
  <si>
    <t>HNS-01-1-1</t>
  </si>
  <si>
    <t>WAFOR MUST NOT plan GoSL HNS as a baseline assumption. Restate as Assumption requiring confirmation: 'GoSL HNS available at basic level — if NOT, commercial alternatives activate.' [COPD para 4.26; Serial 7 para a(3)]</t>
  </si>
  <si>
    <t>OR / A</t>
  </si>
  <si>
    <t>HNS-01-1-2</t>
  </si>
  <si>
    <t>Commercial alternatives MUST be contracted for every GoSL HNS dependency before deployment. Enabling budget required. [COPD para 4.57; Serial 8 para 4]</t>
  </si>
  <si>
    <t>HNS-01-1-3</t>
  </si>
  <si>
    <t>OLRT MUST confirm actual GoSL HNS status within 72 hours of arrival. This is an ACTPRED task and CCIR trigger. [COPD para 4.24; Serial 7]</t>
  </si>
  <si>
    <t>RFI / CCIR</t>
  </si>
  <si>
    <t>HNS-02</t>
  </si>
  <si>
    <t>Economic</t>
  </si>
  <si>
    <t>External support from HNS, CSO (Contractor Support to Operations), CUI (Common User Item) and IO/NGO logistics bodies can supplement WAFOR sustainment but requires active coordination. 30+ humanitarian organisations in FREETOWN competing for same ports, fuel, warehousing and labour. UNJLC has logistics coordination expertise.</t>
  </si>
  <si>
    <t>3D</t>
  </si>
  <si>
    <t>J4/CIMIC</t>
  </si>
  <si>
    <t>Serial 7 para b(6); Serial 8 para 4.b; COPD para 4.57</t>
  </si>
  <si>
    <t>HNS-02-1</t>
  </si>
  <si>
    <t>External support is a management task, not a background capability. Uncoordinated, these actors generate artificial scarcity and increase costs. UNJLC logistics expertise can supplement WAFOR if properly integrated. [COPD para 4.57]</t>
  </si>
  <si>
    <t>HNS-02-1-1</t>
  </si>
  <si>
    <t>WAFOR MUST establish J4/CIMIC coordination authority and early contracting before D-Day. JLSG to act as single point of coordination for all commodity contracting. [COPD para 4.57; AJP-4(A); Serial 7 para b(6)]</t>
  </si>
  <si>
    <t>HNS-02-1-2</t>
  </si>
  <si>
    <t>RFI to CIMIC/J5: UNJLC coordination capacity, NGO logistics assets, and IO/NGO port access requirements at FREETOWN SPOD. Required before MAB. [Serial 7 para b(6); Serial 4]</t>
  </si>
  <si>
    <t>CD-01</t>
  </si>
  <si>
    <t>Social</t>
  </si>
  <si>
    <t>People</t>
  </si>
  <si>
    <t>Active humanitarian crisis: hundreds of thousands of IDPs/refugees within SIERRA LEONE. Attacks on refugee centres at KABALA, Bo and MAKENI — all on primary MSRs. 30+ organisations in FREETOWN competing for same logistics resources. At MRO 3 scale, IDP humanitarian demand could equate to sustaining an additional brigade-equivalent of non-combatants on the same logistics system.</t>
  </si>
  <si>
    <t>J4/CIMIC/J3</t>
  </si>
  <si>
    <t>Serial 3B; Serial 7 para b(3) and b(5); Serial 4; COPD para 4.25</t>
  </si>
  <si>
    <t>CD-01-1</t>
  </si>
  <si>
    <t>IDP movement on MSRs degrades supply column movement rates unpredictably. IDP camps at KABALA, Bo and MAKENI are on primary supply routes. Attacks on IDP camps generate mass casualty events demanding MEDEVAC capacity. [COPD para 4.25; Serial 7 para b(5)]</t>
  </si>
  <si>
    <t>CD-01-1-1</t>
  </si>
  <si>
    <t>WAFOR MUST coordinate humanitarian logistics and deconflict IDP movement corridors with supply routes via J4/CIMIC mechanism before D-Day. Plan 50% degraded MSR movement rates during peak IDP movement. [COPD para 4.25; Serial 7 para b(5); Serial 3B]</t>
  </si>
  <si>
    <t>CD-01-1-2</t>
  </si>
  <si>
    <t>IO/NGO sustainment support policy MUST be published before first forces arrive — approval authority, capacity limits. [COPD para 4.57; Serial 7 para b(6)]</t>
  </si>
  <si>
    <t>MED-01</t>
  </si>
  <si>
    <t>Role 3 MTF arrives with ARF Tier 2 (30 days NTM — Serial 12) — 10-30 days after initial lodgement. LUNGI APOD under MANPAD threat may close intermittently, severing primary strategic MEDEVAC route. Austere/challenging medical environment noted in Serial 5. Role 2 Enhanced is Tier 1 but Role 3 is not.</t>
  </si>
  <si>
    <t>J4/JMED/J3 Air</t>
  </si>
  <si>
    <t>Serial 5; Serial 8 para 5; Serial 12; COPD para 4.28</t>
  </si>
  <si>
    <t>MED-01-1</t>
  </si>
  <si>
    <t>Initial lodgement forces may operate with only Role 1/Role 2 Enhanced care for up to 30 days. LUNGI closure removes the primary strategic MEDEVAC pathway during exactly this period. Mass casualty event without a viable MEDEVAC route is a strategic-level event. [COPD para 4.28]</t>
  </si>
  <si>
    <t>MED-01-1-1</t>
  </si>
  <si>
    <t>WAFOR MUST identify interim MEDEVAC pathway before D-Day — including maritime or GAMBIA (GAMBIA) routing if LUNGI is unavailable. Operational limitation on forward operations before Role 3 arrives. [COPD para 4.28; Serial 8 para 5; Serial 12]</t>
  </si>
  <si>
    <t>MED-01-1-2</t>
  </si>
  <si>
    <t>Role 3 lead nation MUST be confirmed in CJSOR. Mission Essential Force Capability. [COPD para 4.28; Serial 12]</t>
  </si>
  <si>
    <t>MED-01-1-3</t>
  </si>
  <si>
    <t>RFI to JMED: Interim MEDEVAC routing options (maritime / GAMBIA) and feasibility of expedited Role 3 deployment. Required before MAB. [Serial 5; Serial 12]</t>
  </si>
  <si>
    <t>ENG-01</t>
  </si>
  <si>
    <t>Engineer tasks include: route repair, bridge assessment/repair, base construction, water production support, force protection works, SPOD/APOD improvement and CSC construction — all simultaneously demanded from one Engineer Battalion (Tier 1) plus one additional Engineer Bn (Tier 2, 30 days NTM — Serial 12).</t>
  </si>
  <si>
    <t>Serial 7 para b(3); Serial 8 para 2.c; COPD para 4.28</t>
  </si>
  <si>
    <t>ENG-01-1</t>
  </si>
  <si>
    <t>Engineer demand exceeds organic capacity in Tier 1. Without a priority of work linked to logistics sequencing, engineer assets will be simultaneously demanded for mobility, sustainment and force protection — delivering none effectively. [COPD para 4.28; Serial 7 para b(3)]</t>
  </si>
  <si>
    <t>ENG-01-1-1</t>
  </si>
  <si>
    <t>WAFOR MUST publish engineer priority of work linked to logistics sequencing before deployment. Route repair, bridge classification and CSC construction take precedence over base construction. [COPD para 4.28; Serial 7 para b(3); Serial 8 para 2.c]</t>
  </si>
  <si>
    <t>ENG-01-1-2</t>
  </si>
  <si>
    <t>Engineer Bridge capability MUST be confirmed in CJSOR — currently Tier 2 (30 days NTM); this gap requires addressing in Phase 3 force generation. [COPD para 4.28; Serial 12]</t>
  </si>
  <si>
    <t>C2LOG-01</t>
  </si>
  <si>
    <t>JLSG/JLSN must integrate TCN/NSE logistics, HNS, contractors and movement control. AJP-4(A) para 2.22 requires NSEs to co-locate in theatre main support areas and place LOs at appropriate command levels. No NSE positioning directive issued. JLSG's coordinating authority over NSEs is not currently explicit in COMJFC direction.</t>
  </si>
  <si>
    <t>AJP-4(A) para 2.22; Serial 8; Serial 12; COPD para 4.57</t>
  </si>
  <si>
    <t>C2LOG-01-1</t>
  </si>
  <si>
    <t>Without JLSG coordinating authority from COMJFC, NSEs default to national logistics chains — parallel contracts, port congestion, artificial scarcity. Compounds the staging area constraint at FREETOWN SPOD. [COPD para 4.57; AJP-4(A) para 2.22]</t>
  </si>
  <si>
    <t>C2LOG-01-1-1</t>
  </si>
  <si>
    <t>COMJFC MUST grant JLSG clear coordinating authority over theatre logistics from D-Day. NSE positioning, LO requirements and common-user logistics priorities MUST be issued before deployment. [COPD para 4.57; AJP-4(A) para 2.22; Serial 8]</t>
  </si>
  <si>
    <t>C2LOG-01-1-2</t>
  </si>
  <si>
    <t>NSE positioning directive MUST be issued: NSEs co-locate in FREETOWN logistics base area, NSE LOs embedded in JLSG from D-Day. [COPD para 4.57; AJP-4(A) para 2.22; Serial 12]</t>
  </si>
  <si>
    <t>INFO-01</t>
  </si>
  <si>
    <t>Information</t>
  </si>
  <si>
    <t>Cargo tracking, port scheduling, fuel management, LUNGI airfield management and movement control all depend on information systems. LUNGI Airport systems are under active cyber and DoS attack by AFRC/RUF. LIBERIA developing offensive cyber capability. Russian ISR provides LIBERIA near-real-time visibility of logistics build-up.</t>
  </si>
  <si>
    <t>J4/J6/J2</t>
  </si>
  <si>
    <t>Serial 3A; Serial 7 para b(5); COPD para 4.25</t>
  </si>
  <si>
    <t>INFO-01-1</t>
  </si>
  <si>
    <t>Cyber or information-system failure can collapse logistics throughput without a kinetic attack. Loss of JLSG cargo visibility causes fuel and ammunition to be misallocated in a resource-scarce environment. [COPD para 4.25]</t>
  </si>
  <si>
    <t>INFO-01-1-1</t>
  </si>
  <si>
    <t>WAFOR MUST include all logistics information systems in J6 cyber protection plan. Manual fallback procedures for LUNGI, FREETOWN SPOD, fuel management and movement control MUST be validated before D-Day. [COPD para 4.25; Serial 3A; Serial 7 para b(5)]</t>
  </si>
  <si>
    <t>INFO-01-1-2</t>
  </si>
  <si>
    <t>RFI to J6/J2: Cyber threat assessment against LUNGI Airport management, FREETOWN SPOD scheduling and JLSG cargo tracking. Timeline for J6 hardening. Required before MAB. [Serial 3A; Serial 7]</t>
  </si>
  <si>
    <t>EP-04</t>
  </si>
  <si>
    <t>Strategic RoRo sealift: MRO 2 = 18 RoRo; MRO 3 = 42+ RoRo. LIBERIA has assessed submarine capability and 10+ combat aircraft capable of interdiction (Serial 3A). Russian ISR to LIBERIA provides near-real-time visibility of RoRo movements. Serial 8 para 2.b(7) states naval escort must be considered.</t>
  </si>
  <si>
    <t>3E</t>
  </si>
  <si>
    <t>Serial 3A; Serial 8 para 2.b(7); COPD para 4.25</t>
  </si>
  <si>
    <t>EP-04-1</t>
  </si>
  <si>
    <t>Deployment phase is the window of maximum logistics vulnerability: force fragmented, logistics base incomplete, combat power below threshold. LIBERIAN strike on RoRo in transit = loss of brigade equipment — irreplaceable in the operational timeline. Moderate probability × catastrophic consequence = Extremely High risk (AJP-5 para 4.59). [COPD para 4.25]</t>
  </si>
  <si>
    <t>EP-04-1-1</t>
  </si>
  <si>
    <t>WAFOR MUST task naval escort for ALL strategic RoRo lift from D-Day as named primary mission for SNMG/SSK. Not a supporting task — a precondition for the deployment sequence. [COPD para 4.28; Serial 8 para 2.b(7)]</t>
  </si>
  <si>
    <t>EP-04-1-2</t>
  </si>
  <si>
    <t>Logistics base hardening, stock dispersal and deception re: deployment sequence MUST be planned from D-Day given LIBERIAN ISR capability. [COPD para 4.25; Serial 3A]</t>
  </si>
  <si>
    <t>OR</t>
  </si>
  <si>
    <t>ENV-01</t>
  </si>
  <si>
    <t>SIERRA LEONE: tropical disease (malaria, cholera, Lassa fever), high heat and humidity, poor sanitation, degraded civil health infrastructure. Water requirement: 85 litres/person/day (Serial 8, para 5). No reliable local water system. Water production is entirely organic.</t>
  </si>
  <si>
    <t>Marginal</t>
  </si>
  <si>
    <t>5B</t>
  </si>
  <si>
    <t>J4/JMED</t>
  </si>
  <si>
    <t>Serial 3A; Serial 8 para 5; COPD para 4.25</t>
  </si>
  <si>
    <t>ENV-01-1</t>
  </si>
  <si>
    <t>Disease and heat casualties can degrade force availability and logistics labour — potentially faster than enemy action. Water at 85L/person/day is not a luxury — it is a medical requirement. At MRO 3 scale: 1.7 million litres/day required. [COPD para 4.25]</t>
  </si>
  <si>
    <t>ENV-01-1-1</t>
  </si>
  <si>
    <t>WAFOR MUST treat force health protection as a sustainment requirement. Organic water production (ROWPU), sanitation, vector control and heat injury prevention MUST be in the JLSG base plan from D-Day. [COPD para 4.57; Serial 8 para 5]</t>
  </si>
  <si>
    <t>ENV-01-1-2</t>
  </si>
  <si>
    <t>ROWPU capability MUST appear in CJSOR as Mission Essential Force Capability. 85L/person/day requirement must drive the CJSOR water production entry. [COPD para 4.28; Serial 8 para 5]</t>
  </si>
  <si>
    <t>TRANS-01</t>
  </si>
  <si>
    <t>UNSCR 2198 sets a 24-month mandate ceiling. UNMSL and GoSL may be expected to inherit parts of the sustainment architecture. Serial 3B warns that follow-on UN support will be required.</t>
  </si>
  <si>
    <t>Unlikely</t>
  </si>
  <si>
    <t>2B</t>
  </si>
  <si>
    <t>Low</t>
  </si>
  <si>
    <t>Serial 3B; Serial 7; UNSCR 2198; COPD para 4.25</t>
  </si>
  <si>
    <t>TRANS-01-1</t>
  </si>
  <si>
    <t>Sustainment architecture too large or NATO-specific for UNMSL/GoSL creates transition risk and extends NATO commitment beyond the mandate ceiling. [COPD para 4.25]</t>
  </si>
  <si>
    <t>TRANS-01-1-1</t>
  </si>
  <si>
    <t>WAFOR SHOULD design sustainment arrangements with transition in mind from Phase 2. J4 MUST identify which logistics functions can be handed over and which must remain NATO responsibilities. [COPD para 4.25; Serial 3B; Serial 7]</t>
  </si>
  <si>
    <t>MAINT-01</t>
  </si>
  <si>
    <t>High heat, humidity and poor roads generate above-temperate equipment and vehicle maintenance rates. No functioning local repair industry outside FREETOWN. Organic maintenance capacity (integral to BGs and Engineer Bn) will be overwhelmed at MRO 2/3 scale without a theatre maintenance facility or contracted support.</t>
  </si>
  <si>
    <t>Serial 8; COPD para 4.28</t>
  </si>
  <si>
    <t>MAINT-01-1</t>
  </si>
  <si>
    <t>Maintenance failure rate will exceed temperate planning norms significantly. Every vehicle not returned to service is a permanent capability reduction unless a theatre-level repair solution exists. [COPD para 4.28]</t>
  </si>
  <si>
    <t>MAINT-01-1-1</t>
  </si>
  <si>
    <t>WAFOR MUST include maintenance lead nation or Role 4 equivalent in CJSOR for MRO 2 and 3. Pre-positioned spares and contracted maintenance MUST be in the pre-execution contracting plan. [COPD para 4.28; Serial 8]</t>
  </si>
  <si>
    <t>MAINT-01-1-2</t>
  </si>
  <si>
    <t>RFI to J1/Force Generation: Nations with maintenance lead nation capability for armoured and wheeled vehicles. Required before force generation conference. [COPD para 4.28; Serial 8]</t>
  </si>
  <si>
    <t>ECON-01</t>
  </si>
  <si>
    <t>Enabling budget (EUR 300-450M, common-funded over 24 months) identified in Serial 7 para a(6) as required for contracting preparation, OLRT, engineering setup and initial information activities. Budget NOT YET AUTHORISED. Without NAC authority, pre-execution contracting for fuel, water, port handling and engineering cannot begin.</t>
  </si>
  <si>
    <t>Serial 6; Serial 7 para a(6); COPD para 4.21(b)(3)</t>
  </si>
  <si>
    <t>ECON-01-1</t>
  </si>
  <si>
    <t>Commercial contracts cannot be established at execution. Pre-execution contracting is the entire external sustainment baseline. Without it, WAFOR arrives in theatre with no contracted external support — in a country where organic military logistics is insufficient for any MRO at scale. [COPD para 4.21(b)(3)]</t>
  </si>
  <si>
    <t>ECON-01-1-1</t>
  </si>
  <si>
    <t>Enabling budget authority MUST be raised as a Precondition for Success to SACEUR. NAC-level decision — COMJFC cannot authorise it. Request to SACEUR. [COPD para 4.21(b)(3); Serial 7 para a(6); Serial 6]</t>
  </si>
  <si>
    <t>ECON-01-1-2</t>
  </si>
  <si>
    <t>J4 MUST submit pre-execution contracting plan to COMJFC before Operational Advice is finalised. Priority contracts: bulk fuel, water production, port handling, engineering services. [COPD para 4.57; Serial 7 para a(6)]</t>
  </si>
  <si>
    <t>Resources Contribution to Key Factors / Factor Analysis</t>
  </si>
  <si>
    <t>Key Factors</t>
  </si>
  <si>
    <t>Factor Analysis</t>
  </si>
  <si>
    <t>Factor</t>
  </si>
  <si>
    <t>So What</t>
  </si>
  <si>
    <t>Assumptions</t>
  </si>
  <si>
    <t>Associated Risks</t>
  </si>
  <si>
    <t>SPOD processing time</t>
  </si>
  <si>
    <t>First unit must arrive @ D-6</t>
  </si>
  <si>
    <t>Key assumption: NGOs are able to organise IDP movements &amp; camps such that they do NOT impact WAFOR</t>
  </si>
  <si>
    <t>Resupply and onward movement hampered -&gt; bottleneck</t>
  </si>
  <si>
    <t>We don't have container berths FREETOWN &amp; CONAKRY</t>
  </si>
  <si>
    <t>Two brigades every 6 days without sustainment significantly hampered</t>
  </si>
  <si>
    <t>Due to poor MSRs, BONTHE CANNOT be used during phase 1</t>
  </si>
  <si>
    <t>No alternative SPOD in SIERRA LEONE. Risk to deployment timeline</t>
  </si>
  <si>
    <t>100 km per day combat unit / 150 km per day logistics unit</t>
  </si>
  <si>
    <t>Convoy support centre needed every 150 km</t>
  </si>
  <si>
    <t>Combat forces can move further than 100 km per day in GUINEA</t>
  </si>
  <si>
    <t>Risk to deployment timeline</t>
  </si>
  <si>
    <t>Tier 1 unit requires 166 containers per day (16k land soldiers) for defensive operations</t>
  </si>
  <si>
    <t>Guarantee MSR security</t>
  </si>
  <si>
    <t>CONAKRY -&gt; border = 1 day (140 km); border -&gt; FREETOWN = 1 day (123 km)</t>
  </si>
  <si>
    <t>NL planning factor</t>
  </si>
  <si>
    <t>Civilian infrastructure in SPOD, FREETOWN &amp; BONTHE and MSRs are insufficiently developed for long-term WAFOR use</t>
  </si>
  <si>
    <t>Require container SPOD berths; strains civilian port access</t>
  </si>
  <si>
    <t>23 DOS held on JLSG level</t>
  </si>
  <si>
    <t>MANPAD threat exists</t>
  </si>
  <si>
    <t>APOD LUNGI must be secured and in good condition</t>
  </si>
  <si>
    <t>Force Prot - MSR + CSC</t>
  </si>
  <si>
    <t>Cagefootprint TP; impact on needed engineering focus</t>
  </si>
  <si>
    <t>Repairs roads / bridges overlap</t>
  </si>
  <si>
    <t>Constraints</t>
  </si>
  <si>
    <t>Budget of EUR300-450m</t>
  </si>
  <si>
    <t>CCIR -&gt; DP</t>
  </si>
  <si>
    <t>Key Information Requests</t>
  </si>
  <si>
    <t>Associated Decision Point</t>
  </si>
  <si>
    <t>Limitations</t>
  </si>
  <si>
    <t>Are MSRs CLEAR and SECURE for movement of logs</t>
  </si>
  <si>
    <t>Two brigades processed concurrently and must depart staging area immediately when ready</t>
  </si>
  <si>
    <t>Use of APOD / SPOD Gambia as alternate</t>
  </si>
  <si>
    <t>Movement of material &amp; forces will take time. Initial footprint LIMITED to IVO SPODs</t>
  </si>
  <si>
    <t>IOT build up</t>
  </si>
  <si>
    <t>Resources Contribution to Problem Statement</t>
  </si>
  <si>
    <t>Own Assets</t>
  </si>
  <si>
    <t>Operating Environment</t>
  </si>
  <si>
    <t>JLSG HQ</t>
  </si>
  <si>
    <t>MSRs -&gt; contested -&gt; force protection</t>
  </si>
  <si>
    <t>1 x APOD JLE</t>
  </si>
  <si>
    <t>150 km / 100 km per day</t>
  </si>
  <si>
    <t>2 x SPOD JLE</t>
  </si>
  <si>
    <t>No rail - must repair MSRs we damage</t>
  </si>
  <si>
    <t>Rainy season: all regional roads impassable</t>
  </si>
  <si>
    <t>CSC every 150 km</t>
  </si>
  <si>
    <t>Current Situation</t>
  </si>
  <si>
    <t>Acceptable Conditions</t>
  </si>
  <si>
    <t>30+ concentration of NGO in FREETOWN</t>
  </si>
  <si>
    <t>JFC has local sea CONTROL</t>
  </si>
  <si>
    <t>300 km from JOA -&gt; 5 days by sea/air</t>
  </si>
  <si>
    <t>GUINEA T.A. permits combat-ready troops</t>
  </si>
  <si>
    <t>No resources (fuel) in SIERRA LEONE</t>
  </si>
  <si>
    <t>GUINEA T.A. provides HNS</t>
  </si>
  <si>
    <t>No HNS to move fuel by road in S.L.</t>
  </si>
  <si>
    <t>XPOD / MSR secured</t>
  </si>
  <si>
    <t>JLSN established</t>
  </si>
  <si>
    <t>Unacceptable Conditions</t>
  </si>
  <si>
    <t>Key Limitations / Factors</t>
  </si>
  <si>
    <t>MSRs NOT secured</t>
  </si>
  <si>
    <t>7 days APOD handling JLE</t>
  </si>
  <si>
    <t>LIBERIAN submarine threat</t>
  </si>
  <si>
    <t>1 brigade: 8-3 days staging + 3 day unload</t>
  </si>
  <si>
    <t>XPODs NOT secured</t>
  </si>
  <si>
    <t>341 m/T fuel p/brigade p/day</t>
  </si>
  <si>
    <t>MANPAD threat @ APOD</t>
  </si>
  <si>
    <t>NO resources in theatre</t>
  </si>
  <si>
    <t>Statement of Logistics Problem</t>
  </si>
  <si>
    <t>IOC: 7 days CDOS. FOC: 30 days CDOS / NO RSN</t>
  </si>
  <si>
    <t>No HNS in S.L.</t>
  </si>
  <si>
    <t>Bottleneck in deployment -&gt; impact JF timings</t>
  </si>
  <si>
    <t>Internal RFIs</t>
  </si>
  <si>
    <t>J5 deployment priorities (tiers)</t>
  </si>
  <si>
    <t>GUINEA T.A.</t>
  </si>
  <si>
    <t>PROTEST -&gt; CCK</t>
  </si>
  <si>
    <t>Key Actors</t>
  </si>
  <si>
    <t>GUINEA technical agreement (RFI submitted)</t>
  </si>
  <si>
    <t>NGOs</t>
  </si>
  <si>
    <t>Tiers forces</t>
  </si>
  <si>
    <t>FORCE DEPLOYED</t>
  </si>
  <si>
    <t>LAND</t>
  </si>
  <si>
    <t>AIR</t>
  </si>
  <si>
    <t>ARMY BGD</t>
  </si>
  <si>
    <t>CLASS I - Food, Water</t>
  </si>
  <si>
    <t>CLASS I</t>
  </si>
  <si>
    <t>AIR SQN</t>
  </si>
  <si>
    <t>Rations</t>
  </si>
  <si>
    <t>4 Kg / Soldier</t>
  </si>
  <si>
    <t>MT/Day</t>
  </si>
  <si>
    <t>TEU (40ft)</t>
  </si>
  <si>
    <t>Water</t>
  </si>
  <si>
    <t>85 l / Soldier</t>
  </si>
  <si>
    <t>APPROX</t>
  </si>
  <si>
    <t>CLASS II - spare parts</t>
  </si>
  <si>
    <t>CLASS II</t>
  </si>
  <si>
    <t xml:space="preserve"> One Class II DOS</t>
  </si>
  <si>
    <t> 10 MT / BGD</t>
  </si>
  <si>
    <t> 10 MT / SQN</t>
  </si>
  <si>
    <t>TOTAL FOR ALL CLASS / DAY</t>
  </si>
  <si>
    <t>TEU</t>
  </si>
  <si>
    <t>CLASS III - Fuel</t>
  </si>
  <si>
    <t>CLASS III</t>
  </si>
  <si>
    <t>Type of Operation</t>
  </si>
  <si>
    <t>Offensive</t>
  </si>
  <si>
    <t>DCA</t>
  </si>
  <si>
    <t>M³ Fuel</t>
  </si>
  <si>
    <t>Terrain Factor</t>
  </si>
  <si>
    <t>Mountainous</t>
  </si>
  <si>
    <t>M³</t>
  </si>
  <si>
    <t>CLASS V</t>
  </si>
  <si>
    <t>Climate Factor</t>
  </si>
  <si>
    <t>Hot</t>
  </si>
  <si>
    <t>Container surface needed for 10 DOS in theater</t>
  </si>
  <si>
    <t>NOT CLASS III</t>
  </si>
  <si>
    <t>NOT CLASS I &amp; III</t>
  </si>
  <si>
    <t>CLASS V - Ammunition</t>
  </si>
  <si>
    <t>TOTAL TEU (NOT CLASS III)</t>
  </si>
  <si>
    <t>10 DOS in THEATER</t>
  </si>
  <si>
    <t xml:space="preserve">MT / Day </t>
  </si>
  <si>
    <t>Total TEU for 10 DOS</t>
  </si>
  <si>
    <t>TEU STACK IN 3 LEVELS</t>
  </si>
  <si>
    <t>TOTAL</t>
  </si>
  <si>
    <t>TEU / Day with Fuel</t>
  </si>
  <si>
    <t>30m² per containers give total surface needed</t>
  </si>
  <si>
    <t>TEU / Day exept Fuel</t>
  </si>
  <si>
    <t>TEU / Day exept Fuel and Water</t>
  </si>
  <si>
    <t>MAX TEU SPOD CONAKRY</t>
  </si>
  <si>
    <t>70000 m²</t>
  </si>
  <si>
    <t>100000m²</t>
  </si>
  <si>
    <t>MAX TEU SPOD FREEPORT</t>
  </si>
  <si>
    <t>30000 m²</t>
  </si>
  <si>
    <t>Defensive</t>
  </si>
  <si>
    <t>Peace keeping</t>
  </si>
  <si>
    <t>Flat</t>
  </si>
  <si>
    <t>Hilly</t>
  </si>
  <si>
    <t>Cold</t>
  </si>
  <si>
    <t>Temperate</t>
  </si>
  <si>
    <t>OCA</t>
  </si>
  <si>
    <t>CJEX 26 — J4 LOGISTICS RISK ANALYSIS MATRIX | CCR/J4 | 04 May 2026 | NATO UNCLASSIFIED | Per AJP-5 Edition A Version 2, para 4.59, Table 4.8</t>
  </si>
  <si>
    <t>Probability (horizontal): 1=Rare → 5=Almost Certain. Severity (vertical): A=Negligible → E=Catastrophic. Risk code = probability + severity (e.g. 5E = Almost Certain + Catastrophic). AJP-5 ratings: E=Extremely High (deep red) H=High (light red) M=Moderate (amber) L=Low (green). Factors plotted by ID. Source: AJP-5 para 4.59, Table 4.8. Cite as: 'Risk assessed per AJP-5 para 4.59 and Table 4.8.'</t>
  </si>
  <si>
    <t> </t>
  </si>
  <si>
    <t>PROBABILITY 1
RARE
(Event may occur only in exceptional circumstances)</t>
  </si>
  <si>
    <t>PROBABILITY 2
UNLIKELY
(Event unlikely but could occur at some time)</t>
  </si>
  <si>
    <t>PROBABILITY 3
POSSIBLE
(Event might occur at some time)</t>
  </si>
  <si>
    <t>PROBABILITY 4
LIKELY
(Event will probably occur in most circumstances)</t>
  </si>
  <si>
    <t>PROBABILITY 5
ALMOST CERTAIN
(Event expected to occur in most circumstances)</t>
  </si>
  <si>
    <t>RISK
CODE</t>
  </si>
  <si>
    <t>AJP-5
RATING</t>
  </si>
  <si>
    <t>FACTOR SUMMARY</t>
  </si>
  <si>
    <t>SEVERITY E
CATASTROPHIC
(Could result in failure to
accomplish mission)</t>
  </si>
  <si>
    <t>1E
LOW</t>
  </si>
  <si>
    <t>2E
LOW</t>
  </si>
  <si>
    <t>3E
EXTREMELY HIGH
──────
EP-04</t>
  </si>
  <si>
    <t>4E
EXTREMELY HIGH
──────
EP-03</t>
  </si>
  <si>
    <t>5E
EXTREMELY HIGH
──────
EP-01
EP-02a
EP-02b
F-01</t>
  </si>
  <si>
    <t>APOD LUNGI: sole wide-body APOD. Under active MANPAD threat. Cannot be used until secured and threat mitigated.</t>
  </si>
  <si>
    <t>SEVERITY D
CRITICAL
(Could result in failure to
achieve objectives)</t>
  </si>
  <si>
    <t>1D
LOW</t>
  </si>
  <si>
    <t>2D
HIGH</t>
  </si>
  <si>
    <t>3D
EXTREMELY HIGH
──────
HNS-02</t>
  </si>
  <si>
    <t>4D
EXTREMELY HIGH</t>
  </si>
  <si>
    <t>5D
EXTREMELY HIGH
──────
F-02
MSR-01a
MSR-03
HNS-01
ECON-01</t>
  </si>
  <si>
    <t>SPOD FREETOWN: 1 usable RoRo berth (Berth 2, 155m), 2 RoRo/day, staging 1 Bde simultaneously.</t>
  </si>
  <si>
    <t>SEVERITY C
MODERATE
(Could result in failure to
meet criteria for success
or exceed time/space/force limits)</t>
  </si>
  <si>
    <t>1C
MODERATE</t>
  </si>
  <si>
    <t>2C
HIGH</t>
  </si>
  <si>
    <t>3C
HIGH
──────
EP-02c</t>
  </si>
  <si>
    <t>4C
EXTREMELY HIGH
──────
MSR-01c</t>
  </si>
  <si>
    <t>5C
EXTREMELY HIGH
──────
MSR-02
CD-01
MED-01
ENG-01
INFO-01
C2LOG-01</t>
  </si>
  <si>
    <t>SPOD CONAKRY (GUINEA): TA NOW SIGNED. Armed forces may transit GAMBIA. Superior berths, draft and HNS. Natural JLSG location.</t>
  </si>
  <si>
    <t>SEVERITY B
MARGINAL
(Minimal impact on
mission accomplishment)</t>
  </si>
  <si>
    <t>1B
LOW</t>
  </si>
  <si>
    <t>2B
LOW
──────
TRANS-01</t>
  </si>
  <si>
    <t>3B
MODERATE</t>
  </si>
  <si>
    <t>4B
MODERATE</t>
  </si>
  <si>
    <t>5B
MODERATE
──────
ENV-01
MAINT-01</t>
  </si>
  <si>
    <t>BONTHE: may be required but cannot be logistically supported without rebuilding roads and SPOD.</t>
  </si>
  <si>
    <t>SEVERITY A
NEGLIGIBLE
(Negligible impact)</t>
  </si>
  <si>
    <t>1A
LOW</t>
  </si>
  <si>
    <t>2A
LOW</t>
  </si>
  <si>
    <t>3A
LOW</t>
  </si>
  <si>
    <t>4A
LOW</t>
  </si>
  <si>
    <t>5A
LOW</t>
  </si>
  <si>
    <t>LUNGI APOD cannot accommodate all Tier 1-3 air forces. Requires reconstruction and fuel depot.</t>
  </si>
  <si>
    <t>Strategic RoRo sealift: MRO 2 = 18 RoRo; MRO 3 = 42+ RoRo. LIBERIA has assessed submarine threat.</t>
  </si>
  <si>
    <t>LEGEND — AJP-5 Edition A Version 2, para 4.59, Table 4.8</t>
  </si>
  <si>
    <t>30 DOS/CDOS required before ops: 7 CDOS combat zone, 23 available.</t>
  </si>
  <si>
    <t>E — EXTREMELY HIGH RISK</t>
  </si>
  <si>
    <t>Mission Likely to Fail. UNACCEPTABLE — risk mitigation cannot reduce to acceptable level. Immediate SACEUR action required.</t>
  </si>
  <si>
    <t>Fuel risk: bulk storage, quality control, distribution and forward fuel points all required.</t>
  </si>
  <si>
    <t>H — HIGH RISK</t>
  </si>
  <si>
    <t>Inability to Accomplish all Parts of the Mission. CONDITIONALLY ACCEPTABLE — requires mitigation: modify force, adjust ops, prepare branch plan.</t>
  </si>
  <si>
    <t>MSRs under active AFRC/RUF attack.</t>
  </si>
  <si>
    <t>M — MODERATE RISK</t>
  </si>
  <si>
    <t>Mission Accomplishment likely but reduced capability. CONDITIONALLY ACCEPTABLE — mitigation desirable.</t>
  </si>
  <si>
    <t>MSR-03</t>
  </si>
  <si>
    <t>No alternative SPOD in SIERRA LEONE to FREETOWN. Must be SECURED or everything relies on CONAKRY.</t>
  </si>
  <si>
    <t>L — LOW RISK</t>
  </si>
  <si>
    <t>Little or No Impact on Mission Accomplishment. ACCEPTABLE — no action required.</t>
  </si>
  <si>
    <t>MSR Bo–Yonibana: under active AFRC/RUF attack. Secondary lateral route.</t>
  </si>
  <si>
    <t>Rainy season May 2026. Only 3 paved roads passable. No direct road to BONTHE.</t>
  </si>
  <si>
    <t>GoSL on verge of collapse. HNS cannot be relied upon.</t>
  </si>
  <si>
    <t>External HNS/CSO/IO-NGO requires active coordination — uncoordinated generates artificial scarcity.</t>
  </si>
  <si>
    <t>Active humanitarian crisis: hundreds of thousands of IDPs may clog the already limited LLOCs.</t>
  </si>
  <si>
    <t>Role 3 MTF arrives with ARF Tier 2 (30 days NTM) — 10-30 days after initial lodgement.</t>
  </si>
  <si>
    <t>Engineer tasks: route repair, bridge assessment/repair, SPOD/APOD construction, road building.</t>
  </si>
  <si>
    <t>JLSG/JLSN must integrate TCN/NSE logistics, HNS, contractors and movement control.</t>
  </si>
  <si>
    <t>Bottleneck of RSOMI: reception, staging, onward movement and integration.</t>
  </si>
  <si>
    <t>Tropical disease, high heat. WAFOR must be water self-sufficient.</t>
  </si>
  <si>
    <t>24-month mandate ceiling. UNMSL and GoSL may inherit sustainment architecture.</t>
  </si>
  <si>
    <t>High heat, humidity and poor roads generate above-temperate maintenance rates.</t>
  </si>
  <si>
    <t>Enabling budget (EUR 300-450M) identified in Serial 7. Not yet authorised by NAC.</t>
  </si>
  <si>
    <t>CJEX 26 — J4 MISSION ANALYSIS OUTPUTS | CCR/J4 | 04 May 2026 | COPD para 4.26, 4.28, 4.30 | NATO UNCLASSIFIED</t>
  </si>
  <si>
    <t>Output types per COPD Annex D: OL=Operational Limitation | OR=Operational Risk | PS=Precondition for Success (COPD para 4.21(b)(3)) | IFC=Initial Force/Capability/C2 requirement (COPD para 4.28) | RFI=Information Request | CCIR=Commander Critical Information Requirement | RS=Request to SACEUR | A=Assumption. For the MAB (COPD para 4.30), J4 conclusions MUST be labelled with these output types and presented as commander-facing decisions.</t>
  </si>
  <si>
    <t>OUTPUT
ID</t>
  </si>
  <si>
    <t>OUTPUT
TYPE</t>
  </si>
  <si>
    <t>J4 STATEMENT
(Commander-facing; labelled per COPD Annex D)</t>
  </si>
  <si>
    <t>ANALYTICAL BASIS
(Conclusion ID from FDC + source serials)</t>
  </si>
  <si>
    <t>RISK
(AJP-5 4.8)</t>
  </si>
  <si>
    <t>COMMANDER DECISION
REQUIRED?</t>
  </si>
  <si>
    <t>DEADLINE /
TRIGGER</t>
  </si>
  <si>
    <t>COPD REFERENCE</t>
  </si>
  <si>
    <t xml:space="preserve">  1. OPERATIONAL LIMITATIONS (OL) — Factors that constrain freedom of action. [COPD para 4.25; Annex D]</t>
  </si>
  <si>
    <t>OL-01</t>
  </si>
  <si>
    <t>WAFOR CANNOT sustain forward forces on MSRs FREETOWN–Bo, FREETOWN–Kabala, or Bo–Yonibana without dedicated route security. These are under active AFRC/RUF attack NOW. Any COA that deploys forces beyond FREETOWN without first securing MSRs creates a logistics culmination point by design.</t>
  </si>
  <si>
    <t>MSR-01-1-1; MSR-01-1-2
Serial 3; Serial 7 para b(3); Serial 8 para 2.c</t>
  </si>
  <si>
    <t>E</t>
  </si>
  <si>
    <t>YES — sequencing of route security vs force deployment is a Commander decision</t>
  </si>
  <si>
    <t>Before advance beyond FREETOWN</t>
  </si>
  <si>
    <t>COPD paras 4.25, 4.28; Serial 7 para b(3)</t>
  </si>
  <si>
    <t>OL-02</t>
  </si>
  <si>
    <t>WAFOR CANNOT plan logistics distribution beyond primary paved roads from May 2026. Feeder roads (4,277km, 0% paved) are inaccessible; secondary roads (2,091km, 46km paved) are degrading now. Any COA that requires logistics reach beyond primary roads must plan organic aviation or pre-positioned stocks.</t>
  </si>
  <si>
    <t>MSR-02-1-1
Serial 7 para b(12); Serial 8 para 2.c(2)</t>
  </si>
  <si>
    <t>H</t>
  </si>
  <si>
    <t>YES — implications for force deployment areas and pre-positioning tasks</t>
  </si>
  <si>
    <t>Immediate — rainy season has begun</t>
  </si>
  <si>
    <t>COPD para 4.25; Serial 7 para b(12)</t>
  </si>
  <si>
    <t>OL-03</t>
  </si>
  <si>
    <t>Staging area at FREETOWN SPOD accommodates ONE brigade simultaneously (3-day minimum staging). Any COA requiring 2+ brigades in theatre simultaneously must plan for sequential force flow. This is a hard constraint that cannot be changed by the commander.</t>
  </si>
  <si>
    <t>EP-02-1-2
Serial 8 para 2.b(4)</t>
  </si>
  <si>
    <t>YES — affects COA force flow sequencing and deployment timeline</t>
  </si>
  <si>
    <t>Before force flow planning</t>
  </si>
  <si>
    <t>COPD para 4.25; Serial 8 para 2.b(4)</t>
  </si>
  <si>
    <t>OL-04</t>
  </si>
  <si>
    <t>WAFOR CANNOT treat GoSL HNS as a planning baseline. GoSL is assessed as on the verge of collapse. Port workers, warehousing, fuel distribution and local contracts dependent on GoSL may be unavailable at execution.</t>
  </si>
  <si>
    <t>HNS-01-1-1; HNS-01-1-2
Serial 7 para a(3); Serial 4</t>
  </si>
  <si>
    <t>YES — commercial alternatives must be directed and funded</t>
  </si>
  <si>
    <t>Before deployment orders</t>
  </si>
  <si>
    <t>COPD para 4.26; Serial 7 para a(3)</t>
  </si>
  <si>
    <t>OL-05</t>
  </si>
  <si>
    <t>WAFOR CANNOT rely on LUNGI APOD as a dependable logistics node without Counter-MANPAD measures in place and cyber protection of airport management systems. LUNGI is under active kinetic and cyber attack.</t>
  </si>
  <si>
    <t>EP-01-1-1; EP-01-1-2; INFO-01-1-1
Serial 3; Serial 3A</t>
  </si>
  <si>
    <t>YES — Counter-MANPAD capability must be in CJSOR</t>
  </si>
  <si>
    <t>Before CJSOR finalisation</t>
  </si>
  <si>
    <t>COPD para 4.28; Serial 3A</t>
  </si>
  <si>
    <t xml:space="preserve">  2. OPERATIONAL RISKS (OR) — Risks requiring Commander's risk acceptance or mitigation direction. [COPD para 4.59, Table 4.8; AJP-5]</t>
  </si>
  <si>
    <t>OR-01</t>
  </si>
  <si>
    <t>LIBERIAN strike on RoRo vessels during deployment phase: Moderate probability, Extreme consequence. Loss of a brigade's equipment at sea is irreplaceable within the operational timeline. Deployment phase is the window of maximum logistics vulnerability.</t>
  </si>
  <si>
    <t>EP-04-1-1; EP-04-1-2
Serial 3A; Serial 8 para 2.b(7)</t>
  </si>
  <si>
    <t>YES — Commander must accept this risk explicitly or direct naval escort as a named mission</t>
  </si>
  <si>
    <t>COPD para 4.59, Table 4.8; AJP-5 para 4.59</t>
  </si>
  <si>
    <t>OR-02</t>
  </si>
  <si>
    <t>No MEDEVAC pathway if LUNGI closes during initial lodgement phase. Role 3 MTF not available for 10-30 days. Mass casualty event without viable MEDEVAC routing is a strategic-level event.</t>
  </si>
  <si>
    <t>MED-01-1-1; MED-01-1-2
Serial 5; Serial 8 para 5; Serial 12</t>
  </si>
  <si>
    <t>YES — Commander must approve interim MEDEVAC routing and accept residual risk</t>
  </si>
  <si>
    <t>Before initial entry forces deploy</t>
  </si>
  <si>
    <t>COPD paras 4.28, 4.59</t>
  </si>
  <si>
    <t>OR-03</t>
  </si>
  <si>
    <t>AFRC/RUF or LIBERIAN cyber attack on LUNGI Airport management systems and FREETOWN SPOD scheduling could collapse logistics throughput without kinetic action. Manual fallback procedures must be validated before D-Day.</t>
  </si>
  <si>
    <t>INFO-01-1-1; INFO-01-1-2
Serial 3A; Serial 7 para b(5)</t>
  </si>
  <si>
    <t>YES — J6 cyber protection plan must be directed by COMJFC</t>
  </si>
  <si>
    <t>Before D-Day</t>
  </si>
  <si>
    <t>COPD para 4.25; Serial 7 para b(5)</t>
  </si>
  <si>
    <t xml:space="preserve">  3. PRECONDITIONS FOR SUCCESS (PS) — Essential conditions beyond COMJFC's authority. Must be raised to SACEUR. [COPD para 4.21(b)(3)]</t>
  </si>
  <si>
    <t>PS-01</t>
  </si>
  <si>
    <t>PS</t>
  </si>
  <si>
    <t>GUINEA (CONAKRY) Technical Agreement must be signed before deployment orders are issued. FREETOWN SPOD alone cannot sustain MRO 2 or 3. Without CONAKRY, MRO 2/3 are not logistically executable. This is beyond COMJFC's authority to resolve — requires SACEUR to raise with GUINEA.</t>
  </si>
  <si>
    <t>EP-02-1-1; F-01-2-1
Serial 4; Serial 8 para 2.b</t>
  </si>
  <si>
    <t>YES — SACEUR action required</t>
  </si>
  <si>
    <t>COPD para 4.21(b)(3); Serial 7</t>
  </si>
  <si>
    <t>PS-02</t>
  </si>
  <si>
    <t>Enabling budget (EUR 300-450M) must be authorised by NAC before force deployment. Pre-execution contracting for fuel, water, port handling and engineering cannot begin without budget authority. Serial 7 para a(6) identifies this as a named requirement.</t>
  </si>
  <si>
    <t>ECON-01-1-1
Serial 6; Serial 7 para a(6)</t>
  </si>
  <si>
    <t>YES — NAC/SACEUR action required</t>
  </si>
  <si>
    <t>Before ACTPRED phase</t>
  </si>
  <si>
    <t>COPD para 4.21(b)(3); Serial 7 para a(6)</t>
  </si>
  <si>
    <t>PS-03</t>
  </si>
  <si>
    <t>GAMBIA (GAMBIA) must be confirmed as a contingency APOD and third logistics entry point for MRO 3. Without GAMBIA, MRO 3 deployment cannot be completed within an operationally relevant timeframe and LUNGI APOD loss has no fallback.</t>
  </si>
  <si>
    <t>EP-01-2-1; EP-04-1-1
Serial 8; CCR analysis</t>
  </si>
  <si>
    <t>YES — SACEUR to pursue GAMBIA Technical Agreement</t>
  </si>
  <si>
    <t>Before MRO 3 deployment orders</t>
  </si>
  <si>
    <t>COPD para 4.21(b)(3); Serial 8</t>
  </si>
  <si>
    <t xml:space="preserve">  4. INITIAL FORCE / CAPABILITY / C2 REQUIREMENTS (IFC) — J4 input to CJSOR. [COPD para 4.28]</t>
  </si>
  <si>
    <t>IFC-01</t>
  </si>
  <si>
    <t>JLSG HQ: must deploy minimum D-7 before main force. Required to control APOD/SPOD, establish JLSN, and exercise coordinating authority over NSEs. Without JLSG, port operations default to national competition.</t>
  </si>
  <si>
    <t>C2LOG-01-1-1; EP-02-2-1
Serial 12; AJP-4(A) para 2.13</t>
  </si>
  <si>
    <t>YES — CJSOR entry; NTM to be directed</t>
  </si>
  <si>
    <t>D-7 — non-negotiable hard constraint</t>
  </si>
  <si>
    <t>COPD para 4.28; AJP-4(A) para 2.13</t>
  </si>
  <si>
    <t>IFC-02</t>
  </si>
  <si>
    <t>APOD and SPOD Handling Units: must deploy D-7. LUNGI APOD handling unit and FREETOWN/CONAKRY SPOD handling units each require 7 days in-theatre preparation before receiving troops.</t>
  </si>
  <si>
    <t>EP-01-1-1; EP-02-1-1
Serial 8 para 2.a(1)</t>
  </si>
  <si>
    <t>YES — CJSOR entry; must be in ACTPRED package</t>
  </si>
  <si>
    <t>D-7 — hard planning constraint per Serial 8</t>
  </si>
  <si>
    <t>COPD para 4.28; Serial 8 para 2.a(1)</t>
  </si>
  <si>
    <t>IFC-03</t>
  </si>
  <si>
    <t>Fuel Lead Nation: must be confirmed in CJSOR with bulk tanker capability, forward fuel point management and JLSG integration. Without a fuel lead nation, Class III — the first-order sustainment constraint — defaults to parallel national procurement.</t>
  </si>
  <si>
    <t>F-01-1-2; F-02-1-1
Serial 8; AJP-4(A)</t>
  </si>
  <si>
    <t>YES — CJSOR entry; force generation conference action</t>
  </si>
  <si>
    <t>Before force generation conference</t>
  </si>
  <si>
    <t>COPD para 4.28; Serial 8; AJP-4(A)</t>
  </si>
  <si>
    <t>IFC-04</t>
  </si>
  <si>
    <t>Naval Escort for Strategic RoRo: named primary mission for SNMG/SSK from D-Day. LIBERIAN submarine and air interdiction threat makes naval escort a precondition for the deployment sequence to function, not a supporting effort.</t>
  </si>
  <si>
    <t>EP-04-1-1
Serial 8 para 2.b(7); Serial 3A</t>
  </si>
  <si>
    <t>YES — CJSOR tasking; COMJFC direction to SNMG</t>
  </si>
  <si>
    <t>COPD para 4.28; Serial 8 para 2.b(7)</t>
  </si>
  <si>
    <t>IFC-05</t>
  </si>
  <si>
    <t>Role 3 Lead Nation: must be confirmed in CJSOR. Role 3 MTF is in ARF Tier 2 (30 days NTM) — a 10-30 day gap in the opening phase. Lead nation must be identified before the force generation conference.</t>
  </si>
  <si>
    <t>MED-01-1-2
Serial 12; Serial 5</t>
  </si>
  <si>
    <t>YES — CJSOR entry</t>
  </si>
  <si>
    <t>COPD para 4.28; Serial 12</t>
  </si>
  <si>
    <t>IFC-06</t>
  </si>
  <si>
    <t>Counter-MANPAD Capability at LUNGI: must be in CJSOR as Tier 1 capability. LUNGI is under active MANPAD threat. Without Counter-MANPAD, LUNGI cannot be treated as a reliable APOD for planning purposes.</t>
  </si>
  <si>
    <t>EP-01-1-2
Serial 3; Serial 3A</t>
  </si>
  <si>
    <t>YES — CJSOR entry; Tier 1 requirement</t>
  </si>
  <si>
    <t>COPD para 4.28; Serial 3</t>
  </si>
  <si>
    <t>IFC-07</t>
  </si>
  <si>
    <t>NSE Positioning Directive: must be issued before deployment. NSEs to co-locate in FREETOWN logistics base area per AJP-4(A) para 2.22. NSE LOs embedded in JLSG from D-Day. Without this, port congestion from dispersed NSEs will compound the staging area constraint.</t>
  </si>
  <si>
    <t>C2LOG-01-1-2
AJP-4(A) para 2.22; Serial 12</t>
  </si>
  <si>
    <t>YES — COMJFC direction required</t>
  </si>
  <si>
    <t>COPD para 4.57; AJP-4(A) para 2.22</t>
  </si>
  <si>
    <t>IFC-08</t>
  </si>
  <si>
    <t>Maintenance Lead Nation (MRO 2/3): must appear in CJSOR. High heat, humidity and poor roads generate above-temperate maintenance rates. Organic maintenance capacity will be overwhelmed at MRO 2/3 scale without a theatre maintenance facility.</t>
  </si>
  <si>
    <t>MAINT-01-1-1
Serial 8; CCR analysis</t>
  </si>
  <si>
    <t>M</t>
  </si>
  <si>
    <t>YES — CJSOR entry for MRO 2/3</t>
  </si>
  <si>
    <t>COPD para 4.28; Serial 8</t>
  </si>
  <si>
    <t xml:space="preserve">  5. REQUESTS FOR INFORMATION (RFI) — Outstanding information gaps affecting J4 analysis. [COPD para 4.26]</t>
  </si>
  <si>
    <t>RFI-01</t>
  </si>
  <si>
    <t>RFI to J5: Current status of GUINEA (CONAKRY) Technical Agreement negotiations and realistic timeline for signature. J4 CANNOT confirm CONAKRY as a planning asset until TA is signed.</t>
  </si>
  <si>
    <t>EP-02-2-2; F-01-2-1
Serial 4; Serial 8</t>
  </si>
  <si>
    <t>Owner: J5</t>
  </si>
  <si>
    <t>Required before COA Decision Brief</t>
  </si>
  <si>
    <t>COPD para 4.26; Serial 4</t>
  </si>
  <si>
    <t>RFI-02</t>
  </si>
  <si>
    <t>RFI to J6/J2: Current cyber threat assessment against LUNGI Airport management, FREETOWN SPOD scheduling and JLSG cargo tracking systems. Timeline for J6 hardening.</t>
  </si>
  <si>
    <t>EP-01-2-2; INFO-01-1-2
Serial 3A; Serial 7</t>
  </si>
  <si>
    <t>Owner: J6/J2</t>
  </si>
  <si>
    <t>Required before MAB</t>
  </si>
  <si>
    <t>COPD para 4.26; Serial 3A</t>
  </si>
  <si>
    <t>RFI-03</t>
  </si>
  <si>
    <t>RFI to J3 Maritime: Capacity, vulnerability and force protection options for LUNGI-FREETOWN estuary crossing from D-Day.</t>
  </si>
  <si>
    <t>EP-03-1-3
Serial 3A</t>
  </si>
  <si>
    <t>Owner: J3 Maritime</t>
  </si>
  <si>
    <t>Required before JLSG deployment order</t>
  </si>
  <si>
    <t>RFI-04</t>
  </si>
  <si>
    <t>RFI to CIMIC/J5: UNJLC coordination capacity, NGO logistics assets available for coordination, and IO/NGO port access requirements at FREETOWN SPOD.</t>
  </si>
  <si>
    <t>HNS-02-1-2
Serial 4; Serial 7 para b(6)</t>
  </si>
  <si>
    <t>Owner: CIMIC/J5</t>
  </si>
  <si>
    <t>COPD para 4.26; Serial 7 para b(6)</t>
  </si>
  <si>
    <t>RFI-05</t>
  </si>
  <si>
    <t>RFI to J2/J3 Engr: Bridge classification status on all primary MSRs. Required to sequence engineer repair tasks before first supply column movement.</t>
  </si>
  <si>
    <t>MSR-02-2-1
Serial 3A</t>
  </si>
  <si>
    <t>Owner: J2/J3 Engr</t>
  </si>
  <si>
    <t>OLRT task — required before main force deployment</t>
  </si>
  <si>
    <t>COPD para 4.24; Serial 3A</t>
  </si>
  <si>
    <t>RFI-06</t>
  </si>
  <si>
    <t>RFI to J1/Force Generation: Nations with bulk fuel tanker and forward fuel point capability to assume fuel lead nation role. Nations with maintenance lead nation capability for MRO 2/3.</t>
  </si>
  <si>
    <t>F-02-1-2; MAINT-01-1-2
Serial 12</t>
  </si>
  <si>
    <t>Owner: J1/Force Gen</t>
  </si>
  <si>
    <t>Required before force generation conference</t>
  </si>
  <si>
    <t>RFI-07</t>
  </si>
  <si>
    <t>RFI to JMED: Interim MEDEVAC routing options via maritime or GAMBIA (GAMBIA) and feasibility of expedited Role 3 deployment from Tier 2 NTM.</t>
  </si>
  <si>
    <t>MED-01-1-3
Serial 5; Serial 12</t>
  </si>
  <si>
    <t>Owner: JMED</t>
  </si>
  <si>
    <t>COPD para 4.28; Serial 5</t>
  </si>
  <si>
    <t xml:space="preserve">  6. CCIR PROPOSALS — Proposed Commander Critical Information Requirements. [COPD para 4.26]</t>
  </si>
  <si>
    <t>CCIR-01</t>
  </si>
  <si>
    <t>'Are primary MSRs FREETOWN–Bo and FREETOWN–Kabala clear and secure for logistics column movement?' TRIGGER: if NO → advance beyond FREETOWN is an operational limitation. J3 action required before logistics columns move.</t>
  </si>
  <si>
    <t>MSR-01-1-3
Serial 3; Serial 7 para b(3)</t>
  </si>
  <si>
    <t>YES — Commander decision required</t>
  </si>
  <si>
    <t>Trigger for advance beyond FREETOWN</t>
  </si>
  <si>
    <t>COPD para 4.26; Serial 7 para b(3)</t>
  </si>
  <si>
    <t>CCIR-02</t>
  </si>
  <si>
    <t>'Has the enabling budget for pre-execution fuel contracting been authorised by NAC?' TRIGGER: if NO by [date] → MRO 2/3 fuel supply chain cannot be established before deployment. SACEUR action required.</t>
  </si>
  <si>
    <t>F-01-2-2; ECON-01-1-1
Serial 7 para a(6)</t>
  </si>
  <si>
    <t>YES — escalate to SACEUR if NO</t>
  </si>
  <si>
    <t>Before pre-execution contracting window closes</t>
  </si>
  <si>
    <t>COPD para 4.26; Serial 7 para a(6)</t>
  </si>
  <si>
    <t>CCIR-03</t>
  </si>
  <si>
    <t>'Has GUINEA signed the Technical Agreement for CONAKRY SPOD?' TRIGGER: if NO → MRO 2 and 3 cannot be declared logistically executable. J5 diplomatic action required.</t>
  </si>
  <si>
    <t>EP-02-2-2
Serial 4</t>
  </si>
  <si>
    <t>YES — COMJFC to raise with SACEUR</t>
  </si>
  <si>
    <t>CCIR-04</t>
  </si>
  <si>
    <t>'What is the status of GoSL HNS at FREETOWN SPOD (port authority, labour, facility access)?' TRIGGER: if GoSL functional → HNS planning assumption holds. If NOT → commercial alternatives must be activated immediately.</t>
  </si>
  <si>
    <t>HNS-01-1-3
Serial 7 para a(3)</t>
  </si>
  <si>
    <t>YES — triggers commercial contracting activation</t>
  </si>
  <si>
    <t>OLRT confirmation within 72 hours of arrival</t>
  </si>
  <si>
    <t>COPD para 4.24; Serial 7</t>
  </si>
  <si>
    <t xml:space="preserve">  7. J4 ASSUMPTIONS — Facts assumed true for planning; require confirmation. [COPD para 4.26]</t>
  </si>
  <si>
    <t>A-01</t>
  </si>
  <si>
    <t>A</t>
  </si>
  <si>
    <t>ASSUMPTION: GoSL HNS is available at a basic level from D-Day. IF NOT TRUE: commercial alternatives must be activated before D-Day — requires enabling budget authority.</t>
  </si>
  <si>
    <t>HNS-01-1-1
Serial 7; Serial 4</t>
  </si>
  <si>
    <t>YES — if false, CJSOR and contracting plan change significantly</t>
  </si>
  <si>
    <t>Confirm via OLRT within 72hr of arrival</t>
  </si>
  <si>
    <t>COPD para 4.26; Serial 7</t>
  </si>
  <si>
    <t>A-02</t>
  </si>
  <si>
    <t>ASSUMPTION: CONAKRY (GUINEA) SPOD will be available to NATO under Technical Agreement before deployment orders are issued.</t>
  </si>
  <si>
    <t>EP-02-2-2; PS-01
Serial 8; Serial 4</t>
  </si>
  <si>
    <t>YES — if false, MRO 2/3 are not executable</t>
  </si>
  <si>
    <t>Before deployment orders — J5 to confirm</t>
  </si>
  <si>
    <t>A-03</t>
  </si>
  <si>
    <t>ASSUMPTION: GAMBIA (GAMBIA) basing is available as a contingency APOD and third logistics entry point under Technical Agreement.</t>
  </si>
  <si>
    <t>EP-01-2-1; PS-03
Serial 8</t>
  </si>
  <si>
    <t>YES — if false, MRO 3 APOD redundancy is zero</t>
  </si>
  <si>
    <t>COPD para 4.26; Serial 8</t>
  </si>
  <si>
    <t>CJEX 26 CRR PLANNING ASSUMPTIONS</t>
  </si>
  <si>
    <t>ASSUMPTION
(Stated as fact assumed true for planning. NOT YET CONFIRMED.)</t>
  </si>
  <si>
    <t>RISK</t>
  </si>
  <si>
    <t>GUINEA continues to honour the Technical Agreement, allowing WAFOR use of CONAKRY APOD/SPOD and movement of non-lethal sustainment through GUINEA.</t>
  </si>
  <si>
    <t>Maintaining the GUINEA technical agreement is likely a PCS</t>
  </si>
  <si>
    <t>WAFOR can secure, operate and improve LUNGI APOD sufficiently to support initial deployment, RSOM and priority sustainment.</t>
  </si>
  <si>
    <t>Air power must be projected by aircraft carrier only</t>
  </si>
  <si>
    <t>Engineer, movement-control and construction resources will be available early enough to repair/build LLOCs and improve XPODs.</t>
  </si>
  <si>
    <t>Cannot achieve the desired endstate and hinders effects on diamond trade</t>
  </si>
  <si>
    <t>A-04</t>
  </si>
  <si>
    <t>WAFOR can SECURE and maintain LLOCs between APOD/SPODs</t>
  </si>
  <si>
    <t>RSOM - Resupply not possible- major bottleneck and not able to meet operationnal requirements in Space/force/time</t>
  </si>
  <si>
    <t>A-05</t>
  </si>
  <si>
    <t>BONTHE cannot be used as an alternative SPOD during initial entry and must be treated as a later-phase infrastructure objective, not an immediate sustainment solution.</t>
  </si>
  <si>
    <t>Risk: no alternative SPOD</t>
  </si>
  <si>
    <t>A-06</t>
  </si>
  <si>
    <t>LIAISON with NGOs mitigates the impact of IDP movement on LLOCs</t>
  </si>
  <si>
    <t>Risks: Resupply flow blocked</t>
  </si>
  <si>
    <t>A-07</t>
  </si>
  <si>
    <t>Bulk fuel can be delivered through FREETOWN and/or CONAKRY and distributed forward at a rate sufficient to sustain the force.</t>
  </si>
  <si>
    <t>Daily Class III requirement exceeds capacity of FREETOWN SPOD if PEPEL fuel jetty is not accessible</t>
  </si>
  <si>
    <t>A-08</t>
  </si>
  <si>
    <t>Host Nation Support inside SIERRA LEONE will be limited and cannot be used as the foundation for sustainment planning.</t>
  </si>
  <si>
    <t>23 CDOS at JLSG/Purple Gate level. 7 CODS with units</t>
  </si>
  <si>
    <t>CJEX 26 — J4 INFORMATION REQUESTS AND CCIRs | CCR/J4 | 04 May 2026 | COPD V3.1 paras 4.26, 4.28 | NATO UNCLASSIFIED</t>
  </si>
  <si>
    <t>RFI = Request for Information: staff action to fill a planning gap. CCIR = Commander's Critical Information Requirement: proposed for COMJFC approval at MAB — each has a named trigger condition. BLOCKING RFIs (★): RFI-01, RFI-02, RFI-03 — without answers, J4 cannot confirm the logistics architecture for MRO 2/3. FDC REFs link to the FDC Log Analysis sheet conclusion ID where the gap was identified. FREETOWN SPOD: 2 RoRo/day (1 usable berth, Berth 2, 155m, per Serial 8 — no friction factor).</t>
  </si>
  <si>
    <t>TYPE</t>
  </si>
  <si>
    <t>INFORMATION REQUIRED</t>
  </si>
  <si>
    <t>COPD /
SERIAL REF</t>
  </si>
  <si>
    <t>STATUS</t>
  </si>
  <si>
    <t xml:space="preserve">  BLOCKING RFIs — Without these answers J4 CANNOT confirm MRO 2/3 logistics architecture</t>
  </si>
  <si>
    <t xml:space="preserve">GUINEA is willing to Spt NATO BUT NO Deployment of lethal force on its territory is authorized. 
GUINEA (CONAKRY) Technical Agreement , current negotiating status, outstanding conditions, realistic timeline for signature. Will the TA allow the onward movement of combat ready troops as from the SA in Guinea to the FD in SL.[FDC: EP-02b-1-3]
</t>
  </si>
  <si>
    <t>COPD para 4.26;
Serial 4</t>
  </si>
  <si>
    <t>OK</t>
  </si>
  <si>
    <t>Cyber threat assessment against LUNGI Airport management systems, FREETOWN SPOD scheduling and JLSG cargo tracking. J6 hardening timeline. [Factor EP-01-2-2; INFO-01-1-2]</t>
  </si>
  <si>
    <t>COPD para 4.26;
Serial 3A</t>
  </si>
  <si>
    <t xml:space="preserve">What is the condition of LUNGI airports after recent attacks. </t>
  </si>
  <si>
    <t>Submitted to higher HQ 6/5/26</t>
  </si>
  <si>
    <t>Can the naval component mitigate the LIBERIAN submarine threat?</t>
  </si>
  <si>
    <t>Are the following troops able to provide ample protection to our Handling teams to allow a deployment D-7 (1 GHABAT/ 2 GHABAT/ 12 Inf Bn/ 14 Inf Bn)</t>
  </si>
  <si>
    <t>Can we get access to containerberth both in CONACKRY and FREEPORT SPOD</t>
  </si>
  <si>
    <t xml:space="preserve">  ADDITIONAL RFIs — Required before force generation conference or MAB</t>
  </si>
  <si>
    <t>Bridge classification on MSRs FREETOWN-Bo, FREETOWN-Kabala and Bo-Yonibana. Which bridges require repair before supply column movement? [FDC: MSR-02-2-1]</t>
  </si>
  <si>
    <t>COPD para 4.24;
Serial 3A</t>
  </si>
  <si>
    <t>RFI-08</t>
  </si>
  <si>
    <t>Concerning multinational cooperation), please confirm the willingness of Nations and in which form (Logistic Role Specialist Nation,Logistic Lead Nation, Role 3 hospital.).</t>
  </si>
  <si>
    <t>COPD para 4.28;
Serial 8</t>
  </si>
  <si>
    <t>RFI-09</t>
  </si>
  <si>
    <t>BONTHE: security conditions, port infrastructure status and road status,to dertermine its use as contingency SPOD/APOD. [FDC: EP-02c-1-1]</t>
  </si>
  <si>
    <t>COPD para 4.24;
Serial 8</t>
  </si>
  <si>
    <t>RFI -10</t>
  </si>
  <si>
    <t xml:space="preserve">What is the logistical support that GUINEA is able to deliver </t>
  </si>
  <si>
    <t>RFI -11</t>
  </si>
  <si>
    <t>Does the SPD budget of €300m-450m include rebuilding infrastructure in SIERRA LEONE (such as the MSRs, BONTHE SPOD and FREETOWN SPOD</t>
  </si>
  <si>
    <t>Partially. However upgrading local infrastructure is part of MSOs. Hence funding to build infrastructure (such as a road to BONTHE) will be available.</t>
  </si>
  <si>
    <t>RFI -12</t>
  </si>
  <si>
    <t>Status of MOU and TA with GAMBIA to use Naval base and Air base</t>
  </si>
  <si>
    <t>RFI -13</t>
  </si>
  <si>
    <t>Please confirm the requirements for accompanying supplies (AS) and follow‑on supplies (FOS).  Confirm for the FOS, how much be held at the JLSG level and how much at the HB Level.</t>
  </si>
  <si>
    <t>Assumed 23 CDOS at JLSG level</t>
  </si>
  <si>
    <t xml:space="preserve">  CCIRs — Commander's Critical Information Requirements: proposed for COMJFC approval at MAB [COPD para 4.26]</t>
  </si>
  <si>
    <t>Are MSRs FREETOWN-Bo and FREETOWN-Kabala clear and secure for logistics supply movement? At what residual threat level and for what convoy type?' [FDC: MSR-01a-1-1; MSR-01b-1-2]</t>
  </si>
  <si>
    <t>COPD para 4.26;
Serial 7 para b(3)</t>
  </si>
  <si>
    <t>CJEX 26 — J4 LOGISTICS SUMMARY: KEY CONCLUSIONS FOR THE COMMANDER | CCR | 04 May 2026</t>
  </si>
  <si>
    <t>Conclusion first. Supporting factors second. So what for COMWAFOR last. Risk rated per AJP-5 para 4.59, Table 4.8: E = Extremely High (Mission Likely to Fail) | H = High (Inability to Accomplish all Parts) | M = Moderate (Accomplishment likely, reduced capability) | L = Low (Little or no impact).</t>
  </si>
  <si>
    <t>RANK</t>
  </si>
  <si>
    <t>CONSTRAINT</t>
  </si>
  <si>
    <t>SOURCE BASIS</t>
  </si>
  <si>
    <t>J4 DEDUCTION</t>
  </si>
  <si>
    <t>COMMANDER-FACING CONCLUSION</t>
  </si>
  <si>
    <t>Class III / Fuel</t>
  </si>
  <si>
    <t>Serial 8: 30 DOS/CDOS; POL planning factors; no national fuel infrastructure</t>
  </si>
  <si>
    <t>Fuel demand grows arithmetically with force scale and competes with all other commodities for finite SPOD/APOD capacity. MRO 3 daily Class III demand alone exceeds FREETOWN SPOD mixed-cargo delivery capacity.</t>
  </si>
  <si>
    <t>WAFOR MUST treat Class III as the first-order sustainment constraint. Fuel lead nation MUST be confirmed in CJSOR. WAFOR CANNOT declare IOC until minimum 7 CDOS forward stocks are established. CONAKRY (GUINEA) MUST be operational for MRO 2 and 3.</t>
  </si>
  <si>
    <t>APOD/SPOD Throughput</t>
  </si>
  <si>
    <t>Serial 8: handling units, 2 SPOD, 1 APOD, staging limits; Serial 7: ACTPRED</t>
  </si>
  <si>
    <t>Entry-point preparation and staging are hard ceilings on force flow. A late handling unit delays all follow-on flow non-recoverably. Nominal port capacity significantly overstates real military throughput.</t>
  </si>
  <si>
    <t>JLSG and handling units MUST deploy minimum D-7 before main force. CONAKRY (GUINEA) MUST be used for MRO 2 and 3 — FREETOWN alone is insufficient. GAMBIA (GAMBIA) is a MUST as contingency/third entry point for MRO 3. Purple gate/coupling bridge MUST be formally agreed before first ship arrives.</t>
  </si>
  <si>
    <t>MSR Security</t>
  </si>
  <si>
    <t>Serial 7: lack of LLOCs; Serial 8: road movement and climate; Serial 3: threat</t>
  </si>
  <si>
    <t>There is no rail alternative. Contested and degraded roads make MSRs the entire distribution system. Rainy season (May 2026 onset) immediately closes feeder roads and degrades secondary routes.</t>
  </si>
  <si>
    <t>WAFOR MUST secure primary MSRs before forward force deployment — route security is a combat task, not a logistics task. WAFOR MUST base all sustainment on primary paved roads only. CSCs MUST be established before first supply column movement. Forces beyond primary road reach MUST be air-supplied or pre-positioned.</t>
  </si>
  <si>
    <t>HNS Reliability</t>
  </si>
  <si>
    <t>Serial 7: political instability; Serial 8: HNS/CSO; Serial 4: GoSL near-collapse</t>
  </si>
  <si>
    <t>Legal HNS does not equal functional HNS. GoSL/GUINEA support is conditional, fragile, and in GoSL's case may not survive the deployment window. External support from IO/NGO and commercial actors must be actively coordinated, not assumed.</t>
  </si>
  <si>
    <t>WAFOR MUST plan NATO organic/commercial alternatives for every GoSL HNS dependency. GUINEA Technical Agreement MUST be raised as a Precondition for Success to SACEUR — this is not a J4 action to resolve. J4/CIMIC coordination MUST be established before D-Day for all HNS and IO/NGO logistics.</t>
  </si>
  <si>
    <t>Competing Demands</t>
  </si>
  <si>
    <t>Serial 7: coordination requirements; Serial 3B: humanitarian crisis; Serial 4: actor analysis</t>
  </si>
  <si>
    <t>Humanitarian, UN, NGO, national and WAFOR military demand will compete for the same ports, roads, fuel, water and labour from Day 1. Without active coordination, artificial scarcity will emerge within days of arrival.</t>
  </si>
  <si>
    <t>WAFOR MUST establish J4/CIMIC deconfliction mechanisms, dedicated military/humanitarian port windows and protected civilian allocations before D-Day. Enabling budget MUST be authorised to allow pre-execution contracting before commercial resources are consumed by humanitarian actors.</t>
  </si>
  <si>
    <t>SO WHAT FOR COMWAFOR</t>
  </si>
  <si>
    <t>None of the three MROs fail on logistics grounds — all are supportable within the NATO logistics framework at different levels of risk and with different preconditions. The selection of MRO must be accompanied by explicit acceptance of the logistics risk inherent in that selection.
The three immediate J4 actions that cannot wait for the OPLAN:
1. Raise GUINEA Technical Agreement as a Precondition for Success to SACEUR — until signed, MRO 2 and 3 cannot be declared logistically executable.
2. Confirm fuel lead nation in CJSOR before the force generation conference.
3. Task naval escort of strategic RoRo lift as a named SNMG/SSK primary mission from D-Day.
The logistics conscience of this headquarters is engaged. The risks are identified. The decision — and the acceptance of residual risk — is the Commander's.</t>
  </si>
  <si>
    <t>Source Register | CJEX 26 J4 ASCOPE/PMESII Matrix</t>
  </si>
  <si>
    <t>Ref</t>
  </si>
  <si>
    <t>Source</t>
  </si>
  <si>
    <t>Use in this workbook</t>
  </si>
  <si>
    <t>[S3] Serial 3</t>
  </si>
  <si>
    <t>CJEX 26 Scenario (White)</t>
  </si>
  <si>
    <t>Theatre geography, 3,000nm distance, political-military background, AFRC/RUF and LIBERIA context, diamond economy, ethnic geography, rainy season/MSR threat.</t>
  </si>
  <si>
    <t>[S3A] Serial 3A</t>
  </si>
  <si>
    <t>Initial Joint Intelligence Estimate</t>
  </si>
  <si>
    <t>Infrastructure detail: ports, roads, bridges, climate, health environment, cyber/ISR threat, actor analysis, FREETOWN peninsula geography.</t>
  </si>
  <si>
    <t>[S3B] Serial 3B</t>
  </si>
  <si>
    <t>UN Country/Humanitarian Report excerpts</t>
  </si>
  <si>
    <t>Humanitarian situation: IDPs, refugees, attacks on aid convoys and refugee centres, 30+ organisations in-country, follow-on UN support requirements.</t>
  </si>
  <si>
    <t>[S4] Serial 4</t>
  </si>
  <si>
    <t>SSA and Legal Considerations (White)</t>
  </si>
  <si>
    <t>Strategic situation assessment, GoSL near-collapse, actor analysis, GUINEA and GAMBIA HNS context, SOFA/Technical Agreement status, terrorist threat assessment.</t>
  </si>
  <si>
    <t>[S5] Serial 5</t>
  </si>
  <si>
    <t>SHAPE Draft Military Response Options (1 May 2026)</t>
  </si>
  <si>
    <t>MRO scope, force scale, advantages/disadvantages, risk language, force package requirements, medical environment description.</t>
  </si>
  <si>
    <t>[S6] Serial 6</t>
  </si>
  <si>
    <t>Strategic Planning Directive (SPD) (Yellow)</t>
  </si>
  <si>
    <t>SACEUR direction, mandate, NATO strategic objectives, common funding estimate EUR 300–450M, enabling budget requirement, planning milestones.</t>
  </si>
  <si>
    <t>[S7] Serial 7</t>
  </si>
  <si>
    <t>COMJFC Initial Planning Guidance (Yellow)</t>
  </si>
  <si>
    <t>Commander's key issues: IDPs/refugees, climate/weather, lack of LLOCs, theatre geometry, ACTPRED, coordination/liaison requirements, enabling budget requirement.</t>
  </si>
  <si>
    <t>[S8] Serial 8</t>
  </si>
  <si>
    <t>Logistic Considerations for Planning in SIERRA LEONE (Yellow)</t>
  </si>
  <si>
    <t>Primary J4 data source: APOD/SPOD specifications, handling unit requirements, staging standards, road movement rates, fuel/DOS/CDOS planning factors, HNS/CSO, Class I-V rates, medical logistics assumptions.</t>
  </si>
  <si>
    <t>[S12] Serial 12</t>
  </si>
  <si>
    <t>Forces Available — ARF Tier 1/2/3 and MSU</t>
  </si>
  <si>
    <t>Force packages, NTM timings, JLSG composition (Tier 1: JLSG HQ, LBU, RSOI), Log Support Group and Role 3 MTF (Tier 2, 30 days), maritime logistics ships (AOR, AFS).</t>
  </si>
  <si>
    <t>[F] Doctrine</t>
  </si>
  <si>
    <t>AJP-4(A) Allied Joint Logistics Doctrine; JDP 4-00 Logistics for Joint Operations</t>
  </si>
  <si>
    <t>JLSG/JLSN construct and authority, NSE co-location requirements (AJP-4(A) para 2.22), collective sustainment, HNS framework, RSOMI, logistics planning method.</t>
  </si>
  <si>
    <t>Acronyms and Abbreviations | CJEX 26 J4 ASCOPE/PMESII Matrix</t>
  </si>
  <si>
    <t>Acronym</t>
  </si>
  <si>
    <t>Explanation</t>
  </si>
  <si>
    <t>ACTPRED</t>
  </si>
  <si>
    <t>Activation and pre-deployment activity</t>
  </si>
  <si>
    <t>AFRC</t>
  </si>
  <si>
    <t>Armed Forces Revolutionary Council (SIERRA LEONE rebel group, aligned with RUF)</t>
  </si>
  <si>
    <t>APOD</t>
  </si>
  <si>
    <t>Air Port of Debarkation</t>
  </si>
  <si>
    <t>ARF</t>
  </si>
  <si>
    <t>Allied Reaction Force</t>
  </si>
  <si>
    <t>Areas, Structures, Capabilities, Organisations, People, Events</t>
  </si>
  <si>
    <t>AOR</t>
  </si>
  <si>
    <t>Auxiliary Oiler Replenishment (maritime logistics vessel)</t>
  </si>
  <si>
    <t>AFS</t>
  </si>
  <si>
    <t>Combat Stores Ship</t>
  </si>
  <si>
    <t>BG</t>
  </si>
  <si>
    <t>Battle Group</t>
  </si>
  <si>
    <t>CCR</t>
  </si>
  <si>
    <t>Cell Chief Resources (J4 equivalent at JOPG level)</t>
  </si>
  <si>
    <t>CDOS</t>
  </si>
  <si>
    <t>Combat Days of Supply</t>
  </si>
  <si>
    <t>CIMIC</t>
  </si>
  <si>
    <t>Civil-Military Cooperation</t>
  </si>
  <si>
    <t>COMJFC</t>
  </si>
  <si>
    <t>Commander Joint Force Command</t>
  </si>
  <si>
    <t>COPD</t>
  </si>
  <si>
    <t>Comprehensive Operations Planning Directive</t>
  </si>
  <si>
    <t>CPOE</t>
  </si>
  <si>
    <t>Comprehensive Preparation of the Operational Environment</t>
  </si>
  <si>
    <t>CRM</t>
  </si>
  <si>
    <t>Crisis Response Measure</t>
  </si>
  <si>
    <t>CSC</t>
  </si>
  <si>
    <t>Convoy Support Centre</t>
  </si>
  <si>
    <t>CSO</t>
  </si>
  <si>
    <t>Contractor Support to Operations</t>
  </si>
  <si>
    <t>CUI</t>
  </si>
  <si>
    <t>Common User Item</t>
  </si>
  <si>
    <t>DOS</t>
  </si>
  <si>
    <t>Days of Supply</t>
  </si>
  <si>
    <t>ECOMOG</t>
  </si>
  <si>
    <t>Economic Community of West Africa Monitoring Group</t>
  </si>
  <si>
    <t>FDC</t>
  </si>
  <si>
    <t>Factor, Deduction, Conclusion (analytical format, COPD Fig 4.8)</t>
  </si>
  <si>
    <t>GoSL</t>
  </si>
  <si>
    <t>Government of SIERRA LEONE</t>
  </si>
  <si>
    <t>HNS</t>
  </si>
  <si>
    <t>Host Nation Support</t>
  </si>
  <si>
    <t>HNSA</t>
  </si>
  <si>
    <t>Host Nation Support Agreement</t>
  </si>
  <si>
    <t>IDP</t>
  </si>
  <si>
    <t>Internally Displaced Person</t>
  </si>
  <si>
    <t>IO/NGO</t>
  </si>
  <si>
    <t>International Organisation / Non-Governmental Organisation</t>
  </si>
  <si>
    <t>IJE</t>
  </si>
  <si>
    <t>JLSG</t>
  </si>
  <si>
    <t>Joint Logistics Support Group</t>
  </si>
  <si>
    <t>JLSN</t>
  </si>
  <si>
    <t>Joint Logistics Support Network</t>
  </si>
  <si>
    <t>LBU</t>
  </si>
  <si>
    <t>Logistics Base Unit</t>
  </si>
  <si>
    <t>LLOC</t>
  </si>
  <si>
    <t>Land Line of Communication</t>
  </si>
  <si>
    <t>MANPAD</t>
  </si>
  <si>
    <t>Man-Portable Air-Defence System</t>
  </si>
  <si>
    <t>MAB</t>
  </si>
  <si>
    <t>Mission Analysis Brief</t>
  </si>
  <si>
    <t>MEDEVAC</t>
  </si>
  <si>
    <t>Medical Evacuation</t>
  </si>
  <si>
    <t>MRO</t>
  </si>
  <si>
    <t>Military Response Option</t>
  </si>
  <si>
    <t>MSR</t>
  </si>
  <si>
    <t>Main Supply Route</t>
  </si>
  <si>
    <t>MTF</t>
  </si>
  <si>
    <t>Medical Treatment Facility</t>
  </si>
  <si>
    <t>NTM</t>
  </si>
  <si>
    <t>Notice to Move</t>
  </si>
  <si>
    <t>NSE</t>
  </si>
  <si>
    <t>National Support Element</t>
  </si>
  <si>
    <t>OLRT</t>
  </si>
  <si>
    <t>Operational Liaison and Reconnaissance Team</t>
  </si>
  <si>
    <t>PCS</t>
  </si>
  <si>
    <t>Precondition for Success (COPD term — not 'COR')</t>
  </si>
  <si>
    <t>Political, Military, Economic, Social, Information, Infrastructure</t>
  </si>
  <si>
    <t>POL</t>
  </si>
  <si>
    <t>Petroleum, Oil and Lubricants</t>
  </si>
  <si>
    <t>RSLAF</t>
  </si>
  <si>
    <t>Republic of SIERRA LEONE Armed Forces</t>
  </si>
  <si>
    <t>RoRo</t>
  </si>
  <si>
    <t>Roll-on/Roll-off (shipping)</t>
  </si>
  <si>
    <t>RSOMI</t>
  </si>
  <si>
    <t>Reception, Staging, Onward Movement and Integration</t>
  </si>
  <si>
    <t>RUF</t>
  </si>
  <si>
    <t>Revolutionary United Front</t>
  </si>
  <si>
    <t>SACEUR</t>
  </si>
  <si>
    <t>Supreme Allied Commander Europe</t>
  </si>
  <si>
    <t>SLOC</t>
  </si>
  <si>
    <t>Sea Line of Communication</t>
  </si>
  <si>
    <t>SOFA</t>
  </si>
  <si>
    <t>Status of Forces Agreement</t>
  </si>
  <si>
    <t>SPOD</t>
  </si>
  <si>
    <t>Sea Port of Debarkation</t>
  </si>
  <si>
    <t>SSK</t>
  </si>
  <si>
    <t>Attack Submarine</t>
  </si>
  <si>
    <t>SNMG</t>
  </si>
  <si>
    <t>Standing NATO Maritime Group</t>
  </si>
  <si>
    <t>TA</t>
  </si>
  <si>
    <t>Technical Agreement</t>
  </si>
  <si>
    <t>TAH</t>
  </si>
  <si>
    <t>Trans-African Highway</t>
  </si>
  <si>
    <t>TCN</t>
  </si>
  <si>
    <t>Troop Contributing Nation</t>
  </si>
  <si>
    <t>UNJLC</t>
  </si>
  <si>
    <t>United Nations Joint Logistics Centre</t>
  </si>
  <si>
    <t>UNMSL</t>
  </si>
  <si>
    <t>United Nations Mission in SIERRA LEONE</t>
  </si>
  <si>
    <t>UNOCHA</t>
  </si>
  <si>
    <t>United Nations Office for the Coordination of Humanitarian Affairs</t>
  </si>
  <si>
    <t>WAFOR</t>
  </si>
  <si>
    <t>West African Force</t>
  </si>
  <si>
    <t>E / H / M / L</t>
  </si>
  <si>
    <t>AJP-5 Table 4.8 risk ratings: E=Extremely High (Mission Likely to Fail) | H=High (Inability to Accomplish all Parts) | M=Moderate (Accomplishment likely, reduced capability) | L=Low (Little or No Impact). Source: AJP-5 Edition A Version 2, para 4.59, Table 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</si>
</sst>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0">
    <font>
      <sz val="11"/>
      <color theme="1"/>
      <name val="Calibri"/>
      <family val="2"/>
      <scheme val="minor"/>
    </font>
    <font>
      <b/>
      <sz val="12"/>
      <color rgb="FFFFFFFF"/>
      <name val="Arial"/>
    </font>
    <font>
      <sz val="9"/>
      <color rgb="FFFFFFFF"/>
      <name val="Arial"/>
    </font>
    <font>
      <b/>
      <sz val="9"/>
      <color rgb="FF1F497D"/>
      <name val="Arial"/>
    </font>
    <font>
      <sz val="9"/>
      <color rgb="FF000000"/>
      <name val="Arial"/>
    </font>
    <font>
      <b/>
      <sz val="9"/>
      <color rgb="FFC00000"/>
      <name val="Arial"/>
    </font>
    <font>
      <b/>
      <sz val="9"/>
      <color rgb="FF7F6000"/>
      <name val="Arial"/>
    </font>
    <font>
      <b/>
      <sz val="9"/>
      <color rgb="FF375623"/>
      <name val="Arial"/>
    </font>
    <font>
      <b/>
      <sz val="11"/>
      <color rgb="FFFFFFFF"/>
      <name val="Arial"/>
    </font>
    <font>
      <sz val="8"/>
      <color rgb="FFFFFFFF"/>
      <name val="Arial"/>
    </font>
    <font>
      <b/>
      <sz val="10"/>
      <color rgb="FFFFFFFF"/>
      <name val="Arial"/>
    </font>
    <font>
      <b/>
      <sz val="9"/>
      <color rgb="FFFFFFFF"/>
      <name val="Arial"/>
    </font>
    <font>
      <b/>
      <sz val="8.5"/>
      <color rgb="FF1F497D"/>
      <name val="Arial"/>
    </font>
    <font>
      <sz val="8.5"/>
      <color rgb="FF1F497D"/>
      <name val="Arial"/>
    </font>
    <font>
      <sz val="8.5"/>
      <color rgb="FF000000"/>
      <name val="Arial"/>
    </font>
    <font>
      <b/>
      <sz val="8.5"/>
      <color rgb="FFC00000"/>
      <name val="Arial"/>
    </font>
    <font>
      <b/>
      <sz val="8.5"/>
      <color rgb="FF7F6000"/>
      <name val="Arial"/>
    </font>
    <font>
      <b/>
      <sz val="9"/>
      <color rgb="FF000000"/>
      <name val="Arial"/>
    </font>
    <font>
      <i/>
      <sz val="9"/>
      <color rgb="FF000000"/>
      <name val="Arial"/>
    </font>
    <font>
      <i/>
      <sz val="8"/>
      <color rgb="FF404040"/>
      <name val="Arial"/>
    </font>
    <font>
      <b/>
      <sz val="10"/>
      <color rgb="FFC00000"/>
      <name val="Arial"/>
    </font>
    <font>
      <b/>
      <sz val="8"/>
      <color rgb="FFFFFFFF"/>
      <name val="Arial"/>
    </font>
    <font>
      <b/>
      <sz val="8"/>
      <color rgb="FF1F497D"/>
      <name val="Arial"/>
    </font>
    <font>
      <sz val="8"/>
      <color rgb="FF1F497D"/>
      <name val="Arial"/>
    </font>
    <font>
      <sz val="8"/>
      <color rgb="FF000000"/>
      <name val="Arial"/>
    </font>
    <font>
      <b/>
      <sz val="8.5"/>
      <color rgb="FFFFFFFF"/>
      <name val="Arial"/>
    </font>
    <font>
      <b/>
      <sz val="8"/>
      <color rgb="FF7F6000"/>
      <name val="Arial"/>
    </font>
    <font>
      <sz val="8"/>
      <color rgb="FF7F6000"/>
      <name val="Arial"/>
    </font>
    <font>
      <b/>
      <sz val="8"/>
      <color rgb="FF375623"/>
      <name val="Arial"/>
    </font>
    <font>
      <sz val="8"/>
      <color rgb="FF375623"/>
      <name val="Arial"/>
    </font>
    <font>
      <b/>
      <sz val="8"/>
      <color rgb="FF843C0C"/>
      <name val="Arial"/>
    </font>
    <font>
      <sz val="8"/>
      <color rgb="FF843C0C"/>
      <name val="Arial"/>
    </font>
    <font>
      <b/>
      <sz val="8"/>
      <color rgb="FFC00000"/>
      <name val="Arial"/>
    </font>
    <font>
      <sz val="8"/>
      <color rgb="FFC00000"/>
      <name val="Arial"/>
    </font>
    <font>
      <b/>
      <sz val="8"/>
      <color rgb="FF4B0082"/>
      <name val="Arial"/>
    </font>
    <font>
      <sz val="8"/>
      <color rgb="FF4B0082"/>
      <name val="Arial"/>
    </font>
    <font>
      <b/>
      <sz val="8.5"/>
      <color rgb="FF843C0C"/>
      <name val="Arial"/>
    </font>
    <font>
      <b/>
      <sz val="8.5"/>
      <color rgb="FF375623"/>
      <name val="Arial"/>
    </font>
    <font>
      <b/>
      <sz val="8.5"/>
      <color rgb="FF4B0082"/>
      <name val="Arial"/>
    </font>
    <font>
      <b/>
      <sz val="8.5"/>
      <color rgb="FF17375E"/>
      <name val="Arial"/>
    </font>
    <font>
      <sz val="9"/>
      <color rgb="FF375623"/>
      <name val="Arial"/>
    </font>
    <font>
      <sz val="9"/>
      <color rgb="FFC00000"/>
      <name val="Arial"/>
    </font>
    <font>
      <sz val="9"/>
      <color rgb="FF7F6000"/>
      <name val="Arial"/>
    </font>
    <font>
      <b/>
      <sz val="11"/>
      <color theme="1"/>
      <name val="Calibri"/>
      <family val="2"/>
      <scheme val="minor"/>
    </font>
    <font>
      <sz val="8.5"/>
      <name val="Arial"/>
    </font>
    <font>
      <sz val="8"/>
      <name val="Arial"/>
    </font>
    <font>
      <sz val="11"/>
      <name val="Calibri"/>
      <family val="2"/>
      <scheme val="minor"/>
    </font>
    <font>
      <sz val="11"/>
      <color rgb="FFFFFFFF"/>
      <name val="Arial"/>
      <family val="2"/>
    </font>
    <font>
      <sz val="8"/>
      <color rgb="FFFFFFFF"/>
      <name val="Arial"/>
      <family val="2"/>
    </font>
    <font>
      <sz val="8"/>
      <color rgb="FF1F497D"/>
      <name val="Arial"/>
      <family val="2"/>
    </font>
    <font>
      <sz val="8"/>
      <color rgb="FF7F6000"/>
      <name val="Arial"/>
      <family val="2"/>
    </font>
    <font>
      <sz val="8"/>
      <color rgb="FF375623"/>
      <name val="Arial"/>
      <family val="2"/>
    </font>
    <font>
      <sz val="8.5"/>
      <color rgb="FF000000"/>
      <name val="Arial"/>
      <family val="2"/>
    </font>
    <font>
      <sz val="8"/>
      <color rgb="FF843C0C"/>
      <name val="Arial"/>
      <family val="2"/>
    </font>
    <font>
      <sz val="8"/>
      <color rgb="FF000000"/>
      <name val="Arial"/>
      <family val="2"/>
    </font>
    <font>
      <sz val="8"/>
      <color rgb="FFC00000"/>
      <name val="Arial"/>
      <family val="2"/>
    </font>
    <font>
      <sz val="11"/>
      <color rgb="FFC00000"/>
      <name val="Arial"/>
      <family val="2"/>
    </font>
    <font>
      <sz val="8"/>
      <color rgb="FF4B0082"/>
      <name val="Arial"/>
      <family val="2"/>
    </font>
    <font>
      <sz val="11"/>
      <color rgb="FF7F6000"/>
      <name val="Arial"/>
      <family val="2"/>
    </font>
    <font>
      <b/>
      <sz val="11"/>
      <color rgb="FFFFFFFF"/>
      <name val="Arial"/>
      <family val="2"/>
    </font>
    <font>
      <b/>
      <sz val="8"/>
      <color rgb="FFFFFFFF"/>
      <name val="Arial"/>
      <family val="2"/>
    </font>
    <font>
      <b/>
      <sz val="8"/>
      <color rgb="FF1F497D"/>
      <name val="Arial"/>
      <family val="2"/>
    </font>
    <font>
      <b/>
      <sz val="8"/>
      <color rgb="FF7F6000"/>
      <name val="Arial"/>
      <family val="2"/>
    </font>
    <font>
      <b/>
      <sz val="8"/>
      <color rgb="FF375623"/>
      <name val="Arial"/>
      <family val="2"/>
    </font>
    <font>
      <b/>
      <sz val="8.5"/>
      <color rgb="FF000000"/>
      <name val="Arial"/>
      <family val="2"/>
    </font>
    <font>
      <b/>
      <sz val="8"/>
      <color rgb="FF843C0C"/>
      <name val="Arial"/>
      <family val="2"/>
    </font>
    <font>
      <b/>
      <sz val="8"/>
      <color rgb="FF000000"/>
      <name val="Arial"/>
      <family val="2"/>
    </font>
    <font>
      <b/>
      <sz val="8"/>
      <color rgb="FFC00000"/>
      <name val="Arial"/>
      <family val="2"/>
    </font>
    <font>
      <b/>
      <sz val="11"/>
      <color rgb="FFC00000"/>
      <name val="Arial"/>
      <family val="2"/>
    </font>
    <font>
      <b/>
      <sz val="8"/>
      <color rgb="FF4B0082"/>
      <name val="Arial"/>
      <family val="2"/>
    </font>
    <font>
      <b/>
      <sz val="11"/>
      <color rgb="FF7F6000"/>
      <name val="Arial"/>
      <family val="2"/>
    </font>
    <font>
      <b/>
      <sz val="11"/>
      <color rgb="FF375623"/>
      <name val="Arial"/>
      <family val="2"/>
    </font>
    <font>
      <sz val="9"/>
      <color rgb="FFC00000"/>
      <name val="Arial"/>
      <family val="2"/>
    </font>
    <font>
      <sz val="8.5"/>
      <name val="Arial"/>
      <family val="2"/>
    </font>
    <font>
      <sz val="8.5"/>
      <color theme="0"/>
      <name val="Arial"/>
      <family val="2"/>
    </font>
    <font>
      <sz val="9"/>
      <color rgb="FF000000"/>
      <name val="Arial"/>
      <family val="2"/>
    </font>
    <font>
      <b/>
      <sz val="9"/>
      <color rgb="FF17375E"/>
      <name val="Arial"/>
    </font>
    <font>
      <b/>
      <sz val="9"/>
      <color rgb="FF4B0082"/>
      <name val="Arial"/>
    </font>
    <font>
      <sz val="11"/>
      <color rgb="FF000000"/>
      <name val="Aptos Narrow"/>
      <family val="2"/>
    </font>
    <font>
      <b/>
      <sz val="11"/>
      <color rgb="FF000000"/>
      <name val="Aptos Narrow"/>
      <family val="2"/>
    </font>
    <font>
      <sz val="11"/>
      <color rgb="FF242424"/>
      <name val="Aptos Narrow"/>
      <charset val="1"/>
    </font>
    <font>
      <sz val="11"/>
      <color rgb="FF000000"/>
      <name val="Calibri"/>
      <family val="2"/>
    </font>
    <font>
      <b/>
      <sz val="8.5"/>
      <color rgb="FFFFF2CC"/>
      <name val="Arial"/>
    </font>
    <font>
      <b/>
      <sz val="8.5"/>
      <color rgb="FFE2EFDA"/>
      <name val="Arial"/>
    </font>
    <font>
      <sz val="8.5"/>
      <color theme="1"/>
      <name val="Arial"/>
    </font>
    <font>
      <b/>
      <sz val="14"/>
      <color rgb="FFFFFFFF"/>
      <name val="Carlito"/>
    </font>
    <font>
      <sz val="11"/>
      <name val="Carlito"/>
    </font>
    <font>
      <b/>
      <sz val="12"/>
      <color rgb="FF111827"/>
      <name val="Carlito"/>
    </font>
    <font>
      <b/>
      <sz val="11"/>
      <name val="Carlito"/>
    </font>
    <font>
      <sz val="11"/>
      <color rgb="FF000000"/>
      <name val="Aptos Narrow"/>
    </font>
  </fonts>
  <fills count="40">
    <fill>
      <patternFill patternType="none"/>
    </fill>
    <fill>
      <patternFill patternType="gray125"/>
    </fill>
    <fill>
      <patternFill patternType="solid">
        <fgColor rgb="FF17375E"/>
      </patternFill>
    </fill>
    <fill>
      <patternFill patternType="solid">
        <fgColor rgb="FF843C0C"/>
      </patternFill>
    </fill>
    <fill>
      <patternFill patternType="solid">
        <fgColor rgb="FF7F6000"/>
      </patternFill>
    </fill>
    <fill>
      <patternFill patternType="solid">
        <fgColor rgb="FF403152"/>
      </patternFill>
    </fill>
    <fill>
      <patternFill patternType="solid">
        <fgColor rgb="FF0B4C8C"/>
      </patternFill>
    </fill>
    <fill>
      <patternFill patternType="solid">
        <fgColor rgb="FFE8EEF7"/>
      </patternFill>
    </fill>
    <fill>
      <patternFill patternType="solid">
        <fgColor rgb="FFFCE4D6"/>
      </patternFill>
    </fill>
    <fill>
      <patternFill patternType="solid">
        <fgColor rgb="FF1F497D"/>
      </patternFill>
    </fill>
    <fill>
      <patternFill patternType="solid">
        <fgColor rgb="FF2E74B5"/>
      </patternFill>
    </fill>
    <fill>
      <patternFill patternType="solid">
        <fgColor rgb="FFBDD7EE"/>
      </patternFill>
    </fill>
    <fill>
      <patternFill patternType="solid">
        <fgColor rgb="FFF2F5FA"/>
      </patternFill>
    </fill>
    <fill>
      <patternFill patternType="solid">
        <fgColor rgb="FFFFD7D7"/>
      </patternFill>
    </fill>
    <fill>
      <patternFill patternType="solid">
        <fgColor rgb="FFC00000"/>
      </patternFill>
    </fill>
    <fill>
      <patternFill patternType="solid">
        <fgColor rgb="FFDEEAF1"/>
      </patternFill>
    </fill>
    <fill>
      <patternFill patternType="solid">
        <fgColor rgb="FFFFFFFF"/>
      </patternFill>
    </fill>
    <fill>
      <patternFill patternType="solid">
        <fgColor rgb="FFE2EFDA"/>
      </patternFill>
    </fill>
    <fill>
      <patternFill patternType="solid">
        <fgColor rgb="FFFFF2CC"/>
      </patternFill>
    </fill>
    <fill>
      <patternFill patternType="solid">
        <fgColor rgb="FF375623"/>
      </patternFill>
    </fill>
    <fill>
      <patternFill patternType="solid">
        <fgColor rgb="FFF4CCFF"/>
      </patternFill>
    </fill>
    <fill>
      <patternFill patternType="solid">
        <fgColor rgb="FFD9D9D9"/>
        <bgColor rgb="FF000000"/>
      </patternFill>
    </fill>
    <fill>
      <patternFill patternType="solid">
        <fgColor rgb="FF92D050"/>
        <bgColor indexed="64"/>
      </patternFill>
    </fill>
    <fill>
      <patternFill patternType="solid">
        <fgColor rgb="FF1F497D"/>
        <bgColor rgb="FF000000"/>
      </patternFill>
    </fill>
    <fill>
      <patternFill patternType="solid">
        <fgColor rgb="FF2E74B5"/>
        <bgColor rgb="FF000000"/>
      </patternFill>
    </fill>
    <fill>
      <patternFill patternType="solid">
        <fgColor rgb="FFE2EFDA"/>
        <bgColor rgb="FF000000"/>
      </patternFill>
    </fill>
    <fill>
      <patternFill patternType="solid">
        <fgColor rgb="FFC00000"/>
        <bgColor rgb="FF000000"/>
      </patternFill>
    </fill>
    <fill>
      <patternFill patternType="solid">
        <fgColor rgb="FFFFFFFF"/>
        <bgColor rgb="FF000000"/>
      </patternFill>
    </fill>
    <fill>
      <patternFill patternType="solid">
        <fgColor rgb="FFFFD7D7"/>
        <bgColor rgb="FF000000"/>
      </patternFill>
    </fill>
    <fill>
      <patternFill patternType="solid">
        <fgColor rgb="FFFFF2CC"/>
        <bgColor rgb="FF000000"/>
      </patternFill>
    </fill>
    <fill>
      <patternFill patternType="solid">
        <fgColor rgb="FF7F6000"/>
        <bgColor rgb="FF000000"/>
      </patternFill>
    </fill>
    <fill>
      <patternFill patternType="solid">
        <fgColor rgb="FF375623"/>
        <bgColor rgb="FF000000"/>
      </patternFill>
    </fill>
    <fill>
      <patternFill patternType="solid">
        <fgColor rgb="FF111827"/>
        <bgColor rgb="FF000000"/>
      </patternFill>
    </fill>
    <fill>
      <patternFill patternType="solid">
        <fgColor rgb="FFD9EAF7"/>
        <bgColor rgb="FF000000"/>
      </patternFill>
    </fill>
    <fill>
      <patternFill patternType="solid">
        <fgColor rgb="FFEAF3F8"/>
        <bgColor rgb="FF000000"/>
      </patternFill>
    </fill>
    <fill>
      <patternFill patternType="solid">
        <fgColor rgb="FFFCE4D6"/>
        <bgColor rgb="FF000000"/>
      </patternFill>
    </fill>
    <fill>
      <patternFill patternType="solid">
        <fgColor rgb="FFE4DFEC"/>
        <bgColor rgb="FF000000"/>
      </patternFill>
    </fill>
    <fill>
      <patternFill patternType="solid">
        <fgColor theme="4" tint="0.59999389629810485"/>
        <bgColor indexed="64"/>
      </patternFill>
    </fill>
    <fill>
      <patternFill patternType="solid">
        <fgColor rgb="FFFFFF00"/>
        <bgColor indexed="64"/>
      </patternFill>
    </fill>
    <fill>
      <patternFill patternType="solid">
        <fgColor theme="0" tint="-0.14999847407452621"/>
        <bgColor indexed="64"/>
      </patternFill>
    </fill>
  </fills>
  <borders count="42">
    <border>
      <left/>
      <right/>
      <top/>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rgb="FF1F497D"/>
      </right>
      <top/>
      <bottom style="medium">
        <color rgb="FF1F497D"/>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medium">
        <color indexed="64"/>
      </left>
      <right/>
      <top style="medium">
        <color indexed="64"/>
      </top>
      <bottom/>
      <diagonal/>
    </border>
    <border>
      <left/>
      <right/>
      <top style="medium">
        <color indexed="64"/>
      </top>
      <bottom/>
      <diagonal/>
    </border>
    <border>
      <left/>
      <right style="medium">
        <color rgb="FF000000"/>
      </right>
      <top style="medium">
        <color indexed="64"/>
      </top>
      <bottom/>
      <diagonal/>
    </border>
    <border>
      <left style="thin">
        <color indexed="64"/>
      </left>
      <right style="thin">
        <color indexed="64"/>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CCCCCC"/>
      </left>
      <right/>
      <top style="thin">
        <color rgb="FFCCCCCC"/>
      </top>
      <bottom style="thin">
        <color rgb="FFCCCCCC"/>
      </bottom>
      <diagonal/>
    </border>
    <border>
      <left style="thin">
        <color rgb="FFCCCCCC"/>
      </left>
      <right style="thin">
        <color rgb="FFCCCCCC"/>
      </right>
      <top/>
      <bottom style="thin">
        <color rgb="FFCCCCCC"/>
      </bottom>
      <diagonal/>
    </border>
    <border>
      <left/>
      <right style="thin">
        <color rgb="FFCCCCCC"/>
      </right>
      <top/>
      <bottom style="thin">
        <color rgb="FFCCCCCC"/>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style="thin">
        <color indexed="64"/>
      </left>
      <right style="thin">
        <color indexed="64"/>
      </right>
      <top style="medium">
        <color rgb="FF000000"/>
      </top>
      <bottom style="thin">
        <color indexed="64"/>
      </bottom>
      <diagonal/>
    </border>
    <border>
      <left style="thin">
        <color indexed="64"/>
      </left>
      <right style="thin">
        <color indexed="64"/>
      </right>
      <top/>
      <bottom style="medium">
        <color rgb="FF000000"/>
      </bottom>
      <diagonal/>
    </border>
    <border>
      <left style="thin">
        <color indexed="64"/>
      </left>
      <right style="thin">
        <color indexed="64"/>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s>
  <cellStyleXfs count="1">
    <xf numFmtId="0" fontId="0" fillId="0" borderId="0"/>
  </cellStyleXfs>
  <cellXfs count="320">
    <xf numFmtId="0" fontId="0" fillId="0" borderId="0" xfId="0"/>
    <xf numFmtId="0" fontId="10"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77" fillId="20" borderId="8" xfId="0" applyFont="1" applyFill="1" applyBorder="1" applyAlignment="1">
      <alignment horizontal="center" vertical="top" wrapText="1"/>
    </xf>
    <xf numFmtId="0" fontId="3" fillId="12" borderId="8" xfId="0" applyFont="1" applyFill="1" applyBorder="1" applyAlignment="1">
      <alignment horizontal="center" vertical="center" wrapText="1"/>
    </xf>
    <xf numFmtId="0" fontId="4" fillId="16" borderId="8" xfId="0" applyFont="1" applyFill="1" applyBorder="1" applyAlignment="1">
      <alignment horizontal="left" vertical="top" wrapText="1"/>
    </xf>
    <xf numFmtId="0" fontId="75" fillId="16" borderId="8" xfId="0" applyFont="1" applyFill="1" applyBorder="1" applyAlignment="1">
      <alignment horizontal="left" vertical="top" wrapText="1"/>
    </xf>
    <xf numFmtId="0" fontId="6" fillId="16" borderId="8" xfId="0" applyFont="1" applyFill="1" applyBorder="1" applyAlignment="1">
      <alignment horizontal="center" vertical="center" wrapText="1"/>
    </xf>
    <xf numFmtId="0" fontId="10" fillId="9" borderId="8" xfId="0" applyFont="1" applyFill="1" applyBorder="1" applyAlignment="1">
      <alignment horizontal="center" vertical="center" wrapText="1"/>
    </xf>
    <xf numFmtId="0" fontId="11" fillId="14" borderId="8" xfId="0" applyFont="1" applyFill="1" applyBorder="1" applyAlignment="1">
      <alignment horizontal="center" vertical="center" wrapText="1"/>
    </xf>
    <xf numFmtId="0" fontId="4" fillId="16" borderId="8" xfId="0" applyFont="1" applyFill="1" applyBorder="1" applyAlignment="1">
      <alignment horizontal="left" vertical="center"/>
    </xf>
    <xf numFmtId="0" fontId="5" fillId="13" borderId="8" xfId="0" applyFont="1" applyFill="1" applyBorder="1" applyAlignment="1">
      <alignment horizontal="center" vertical="center" wrapText="1"/>
    </xf>
    <xf numFmtId="0" fontId="6" fillId="18" borderId="8"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11" fillId="9" borderId="8" xfId="0" applyFont="1" applyFill="1" applyBorder="1" applyAlignment="1">
      <alignment horizontal="center" vertical="center" wrapText="1"/>
    </xf>
    <xf numFmtId="0" fontId="73" fillId="13" borderId="8" xfId="0" applyFont="1" applyFill="1" applyBorder="1" applyAlignment="1">
      <alignment horizontal="left" vertical="top" wrapText="1"/>
    </xf>
    <xf numFmtId="0" fontId="73" fillId="18" borderId="8" xfId="0" applyFont="1" applyFill="1" applyBorder="1" applyAlignment="1">
      <alignment horizontal="left" vertical="top" wrapText="1"/>
    </xf>
    <xf numFmtId="0" fontId="74" fillId="14" borderId="8" xfId="0" applyFont="1" applyFill="1" applyBorder="1" applyAlignment="1">
      <alignment horizontal="left" vertical="top" wrapText="1"/>
    </xf>
    <xf numFmtId="0" fontId="10" fillId="19" borderId="1" xfId="0" applyFont="1" applyFill="1" applyBorder="1" applyAlignment="1">
      <alignment horizontal="center" vertical="center" wrapText="1"/>
    </xf>
    <xf numFmtId="0" fontId="73" fillId="17" borderId="8" xfId="0" applyFont="1" applyFill="1" applyBorder="1" applyAlignment="1">
      <alignment horizontal="left" vertical="top" wrapText="1"/>
    </xf>
    <xf numFmtId="0" fontId="21" fillId="9" borderId="8" xfId="0" applyFont="1" applyFill="1" applyBorder="1" applyAlignment="1">
      <alignment horizontal="center" vertical="center" wrapText="1"/>
    </xf>
    <xf numFmtId="0" fontId="22" fillId="15" borderId="8" xfId="0" applyFont="1" applyFill="1" applyBorder="1" applyAlignment="1">
      <alignment horizontal="center" vertical="top" wrapText="1"/>
    </xf>
    <xf numFmtId="0" fontId="23" fillId="15" borderId="8" xfId="0" applyFont="1" applyFill="1" applyBorder="1" applyAlignment="1">
      <alignment horizontal="center" vertical="top" wrapText="1"/>
    </xf>
    <xf numFmtId="0" fontId="44" fillId="12" borderId="8" xfId="0" applyFont="1" applyFill="1" applyBorder="1" applyAlignment="1">
      <alignment horizontal="left" vertical="top" wrapText="1"/>
    </xf>
    <xf numFmtId="0" fontId="45" fillId="12" borderId="8" xfId="0" applyFont="1" applyFill="1" applyBorder="1" applyAlignment="1">
      <alignment horizontal="left" vertical="top" wrapText="1"/>
    </xf>
    <xf numFmtId="0" fontId="48" fillId="14" borderId="8" xfId="0" applyFont="1" applyFill="1" applyBorder="1" applyAlignment="1">
      <alignment horizontal="center" vertical="center" wrapText="1"/>
    </xf>
    <xf numFmtId="0" fontId="59" fillId="14" borderId="8" xfId="0" applyFont="1" applyFill="1" applyBorder="1" applyAlignment="1">
      <alignment horizontal="center" vertical="center" wrapText="1"/>
    </xf>
    <xf numFmtId="0" fontId="60" fillId="14" borderId="8" xfId="0" applyFont="1" applyFill="1" applyBorder="1" applyAlignment="1">
      <alignment horizontal="center" vertical="center" wrapText="1"/>
    </xf>
    <xf numFmtId="0" fontId="24" fillId="12" borderId="8" xfId="0" applyFont="1" applyFill="1" applyBorder="1" applyAlignment="1">
      <alignment horizontal="center" vertical="top" wrapText="1"/>
    </xf>
    <xf numFmtId="0" fontId="24" fillId="12" borderId="8" xfId="0" applyFont="1" applyFill="1" applyBorder="1" applyAlignment="1">
      <alignment horizontal="left" vertical="top" wrapText="1"/>
    </xf>
    <xf numFmtId="0" fontId="21" fillId="9" borderId="8" xfId="0" applyFont="1" applyFill="1" applyBorder="1" applyAlignment="1">
      <alignment horizontal="center" vertical="center"/>
    </xf>
    <xf numFmtId="0" fontId="25" fillId="10" borderId="8" xfId="0" applyFont="1" applyFill="1" applyBorder="1" applyAlignment="1">
      <alignment horizontal="center" vertical="center" wrapText="1"/>
    </xf>
    <xf numFmtId="0" fontId="23" fillId="15" borderId="8" xfId="0" applyFont="1" applyFill="1" applyBorder="1" applyAlignment="1">
      <alignment horizontal="left" vertical="top" wrapText="1"/>
    </xf>
    <xf numFmtId="0" fontId="45" fillId="15" borderId="8" xfId="0" applyFont="1" applyFill="1" applyBorder="1" applyAlignment="1">
      <alignment horizontal="left" vertical="top" wrapText="1"/>
    </xf>
    <xf numFmtId="0" fontId="44" fillId="15" borderId="8" xfId="0" applyFont="1" applyFill="1" applyBorder="1" applyAlignment="1">
      <alignment horizontal="left" vertical="top" wrapText="1"/>
    </xf>
    <xf numFmtId="0" fontId="49" fillId="15" borderId="8" xfId="0" applyFont="1" applyFill="1" applyBorder="1" applyAlignment="1">
      <alignment horizontal="left" vertical="top" wrapText="1"/>
    </xf>
    <xf numFmtId="0" fontId="61" fillId="15" borderId="8" xfId="0" applyFont="1" applyFill="1" applyBorder="1" applyAlignment="1">
      <alignment horizontal="left" vertical="top" wrapText="1"/>
    </xf>
    <xf numFmtId="0" fontId="21" fillId="10" borderId="8" xfId="0" applyFont="1" applyFill="1" applyBorder="1" applyAlignment="1">
      <alignment horizontal="center" vertical="center"/>
    </xf>
    <xf numFmtId="0" fontId="22" fillId="15" borderId="8" xfId="0" applyFont="1" applyFill="1" applyBorder="1" applyAlignment="1">
      <alignment horizontal="center" vertical="center" wrapText="1"/>
    </xf>
    <xf numFmtId="0" fontId="26" fillId="18" borderId="8" xfId="0" applyFont="1" applyFill="1" applyBorder="1" applyAlignment="1">
      <alignment horizontal="center" vertical="center" wrapText="1"/>
    </xf>
    <xf numFmtId="0" fontId="27" fillId="18" borderId="8" xfId="0" applyFont="1" applyFill="1" applyBorder="1" applyAlignment="1">
      <alignment horizontal="left" vertical="top" wrapText="1"/>
    </xf>
    <xf numFmtId="0" fontId="45" fillId="18" borderId="8" xfId="0" applyFont="1" applyFill="1" applyBorder="1" applyAlignment="1">
      <alignment horizontal="left" vertical="top" wrapText="1"/>
    </xf>
    <xf numFmtId="0" fontId="44" fillId="18" borderId="8" xfId="0" applyFont="1" applyFill="1" applyBorder="1" applyAlignment="1">
      <alignment horizontal="left" vertical="top" wrapText="1"/>
    </xf>
    <xf numFmtId="0" fontId="50" fillId="18" borderId="8" xfId="0" applyFont="1" applyFill="1" applyBorder="1" applyAlignment="1">
      <alignment horizontal="left" vertical="top" wrapText="1"/>
    </xf>
    <xf numFmtId="0" fontId="62" fillId="18" borderId="8" xfId="0" applyFont="1" applyFill="1" applyBorder="1" applyAlignment="1">
      <alignment horizontal="left" vertical="top" wrapText="1"/>
    </xf>
    <xf numFmtId="0" fontId="28" fillId="17" borderId="8" xfId="0" applyFont="1" applyFill="1" applyBorder="1" applyAlignment="1">
      <alignment horizontal="center" vertical="center" wrapText="1"/>
    </xf>
    <xf numFmtId="0" fontId="29" fillId="17" borderId="8" xfId="0" applyFont="1" applyFill="1" applyBorder="1" applyAlignment="1">
      <alignment horizontal="left" vertical="top" wrapText="1"/>
    </xf>
    <xf numFmtId="0" fontId="45" fillId="17" borderId="8" xfId="0" applyFont="1" applyFill="1" applyBorder="1" applyAlignment="1">
      <alignment horizontal="left" vertical="top" wrapText="1"/>
    </xf>
    <xf numFmtId="0" fontId="44" fillId="17" borderId="8" xfId="0" applyFont="1" applyFill="1" applyBorder="1" applyAlignment="1">
      <alignment horizontal="left" vertical="top" wrapText="1"/>
    </xf>
    <xf numFmtId="0" fontId="51" fillId="17" borderId="8" xfId="0" applyFont="1" applyFill="1" applyBorder="1" applyAlignment="1">
      <alignment horizontal="left" vertical="top" wrapText="1"/>
    </xf>
    <xf numFmtId="0" fontId="63" fillId="17" borderId="8" xfId="0" applyFont="1" applyFill="1" applyBorder="1" applyAlignment="1">
      <alignment horizontal="left" vertical="top" wrapText="1"/>
    </xf>
    <xf numFmtId="0" fontId="12" fillId="7" borderId="8" xfId="0" applyFont="1" applyFill="1" applyBorder="1" applyAlignment="1">
      <alignment horizontal="center" vertical="top" wrapText="1"/>
    </xf>
    <xf numFmtId="0" fontId="13" fillId="7" borderId="8" xfId="0" applyFont="1" applyFill="1" applyBorder="1" applyAlignment="1">
      <alignment horizontal="center" vertical="top" wrapText="1"/>
    </xf>
    <xf numFmtId="0" fontId="44" fillId="7" borderId="8" xfId="0" applyFont="1" applyFill="1" applyBorder="1" applyAlignment="1">
      <alignment horizontal="left" vertical="top" wrapText="1"/>
    </xf>
    <xf numFmtId="0" fontId="72" fillId="7" borderId="8" xfId="0" applyFont="1" applyFill="1" applyBorder="1" applyAlignment="1">
      <alignment horizontal="center" vertical="center" wrapText="1"/>
    </xf>
    <xf numFmtId="0" fontId="52" fillId="7" borderId="8" xfId="0" applyFont="1" applyFill="1" applyBorder="1" applyAlignment="1">
      <alignment horizontal="center" vertical="top" wrapText="1"/>
    </xf>
    <xf numFmtId="0" fontId="64" fillId="7" borderId="8" xfId="0" applyFont="1" applyFill="1" applyBorder="1" applyAlignment="1">
      <alignment horizontal="left" vertical="top" wrapText="1"/>
    </xf>
    <xf numFmtId="0" fontId="64" fillId="7" borderId="8" xfId="0" applyFont="1" applyFill="1" applyBorder="1" applyAlignment="1">
      <alignment horizontal="center" vertical="top" wrapText="1"/>
    </xf>
    <xf numFmtId="0" fontId="19" fillId="7" borderId="8" xfId="0" applyFont="1" applyFill="1" applyBorder="1" applyAlignment="1">
      <alignment horizontal="left" vertical="top" wrapText="1"/>
    </xf>
    <xf numFmtId="0" fontId="0" fillId="7" borderId="8" xfId="0" applyFill="1" applyBorder="1"/>
    <xf numFmtId="0" fontId="30" fillId="8" borderId="8" xfId="0" applyFont="1" applyFill="1" applyBorder="1" applyAlignment="1">
      <alignment horizontal="center" vertical="center" wrapText="1"/>
    </xf>
    <xf numFmtId="0" fontId="31" fillId="8" borderId="8" xfId="0" applyFont="1" applyFill="1" applyBorder="1" applyAlignment="1">
      <alignment horizontal="left" vertical="top" wrapText="1"/>
    </xf>
    <xf numFmtId="0" fontId="45" fillId="8" borderId="8" xfId="0" applyFont="1" applyFill="1" applyBorder="1" applyAlignment="1">
      <alignment horizontal="left" vertical="top" wrapText="1"/>
    </xf>
    <xf numFmtId="0" fontId="44" fillId="8" borderId="8" xfId="0" applyFont="1" applyFill="1" applyBorder="1" applyAlignment="1">
      <alignment horizontal="left" vertical="top" wrapText="1"/>
    </xf>
    <xf numFmtId="0" fontId="53" fillId="8" borderId="8" xfId="0" applyFont="1" applyFill="1" applyBorder="1" applyAlignment="1">
      <alignment horizontal="left" vertical="top" wrapText="1"/>
    </xf>
    <xf numFmtId="0" fontId="65" fillId="8" borderId="8" xfId="0" applyFont="1" applyFill="1" applyBorder="1" applyAlignment="1">
      <alignment horizontal="left" vertical="top" wrapText="1"/>
    </xf>
    <xf numFmtId="0" fontId="25" fillId="7" borderId="8" xfId="0" applyFont="1" applyFill="1" applyBorder="1" applyAlignment="1">
      <alignment horizontal="center" vertical="center" wrapText="1"/>
    </xf>
    <xf numFmtId="0" fontId="23" fillId="7" borderId="8" xfId="0" applyFont="1" applyFill="1" applyBorder="1" applyAlignment="1">
      <alignment horizontal="left" vertical="top" wrapText="1"/>
    </xf>
    <xf numFmtId="0" fontId="45" fillId="7" borderId="8" xfId="0" applyFont="1" applyFill="1" applyBorder="1" applyAlignment="1">
      <alignment horizontal="left" vertical="top" wrapText="1"/>
    </xf>
    <xf numFmtId="0" fontId="54" fillId="7" borderId="8" xfId="0" applyFont="1" applyFill="1" applyBorder="1" applyAlignment="1">
      <alignment horizontal="left" vertical="top" wrapText="1"/>
    </xf>
    <xf numFmtId="0" fontId="66" fillId="7" borderId="8" xfId="0" applyFont="1" applyFill="1" applyBorder="1" applyAlignment="1">
      <alignment horizontal="left" vertical="top" wrapText="1"/>
    </xf>
    <xf numFmtId="0" fontId="24" fillId="7" borderId="8" xfId="0" applyFont="1" applyFill="1" applyBorder="1" applyAlignment="1">
      <alignment horizontal="left" vertical="top" wrapText="1"/>
    </xf>
    <xf numFmtId="0" fontId="21" fillId="7" borderId="8" xfId="0" applyFont="1" applyFill="1" applyBorder="1" applyAlignment="1">
      <alignment horizontal="center" vertical="center"/>
    </xf>
    <xf numFmtId="0" fontId="32" fillId="13" borderId="8" xfId="0" applyFont="1" applyFill="1" applyBorder="1" applyAlignment="1">
      <alignment horizontal="center" vertical="center" wrapText="1"/>
    </xf>
    <xf numFmtId="0" fontId="33" fillId="13" borderId="8" xfId="0" applyFont="1" applyFill="1" applyBorder="1" applyAlignment="1">
      <alignment horizontal="left" vertical="top" wrapText="1"/>
    </xf>
    <xf numFmtId="0" fontId="45" fillId="13" borderId="8" xfId="0" applyFont="1" applyFill="1" applyBorder="1" applyAlignment="1">
      <alignment horizontal="left" vertical="top" wrapText="1"/>
    </xf>
    <xf numFmtId="0" fontId="44" fillId="13" borderId="8" xfId="0" applyFont="1" applyFill="1" applyBorder="1" applyAlignment="1">
      <alignment horizontal="left" vertical="top" wrapText="1"/>
    </xf>
    <xf numFmtId="0" fontId="55" fillId="13" borderId="8" xfId="0" applyFont="1" applyFill="1" applyBorder="1" applyAlignment="1">
      <alignment horizontal="left" vertical="top" wrapText="1"/>
    </xf>
    <xf numFmtId="0" fontId="67" fillId="13" borderId="8" xfId="0" applyFont="1" applyFill="1" applyBorder="1" applyAlignment="1">
      <alignment horizontal="left" vertical="top" wrapText="1"/>
    </xf>
    <xf numFmtId="0" fontId="30" fillId="7" borderId="8" xfId="0" applyFont="1" applyFill="1" applyBorder="1" applyAlignment="1">
      <alignment horizontal="center" vertical="center" wrapText="1"/>
    </xf>
    <xf numFmtId="0" fontId="31" fillId="7" borderId="8" xfId="0" applyFont="1" applyFill="1" applyBorder="1" applyAlignment="1">
      <alignment horizontal="left" vertical="top" wrapText="1"/>
    </xf>
    <xf numFmtId="0" fontId="53" fillId="7" borderId="8" xfId="0" applyFont="1" applyFill="1" applyBorder="1" applyAlignment="1">
      <alignment horizontal="left" vertical="top" wrapText="1"/>
    </xf>
    <xf numFmtId="0" fontId="65" fillId="7" borderId="8" xfId="0" applyFont="1" applyFill="1" applyBorder="1" applyAlignment="1">
      <alignment horizontal="left" vertical="top" wrapText="1"/>
    </xf>
    <xf numFmtId="0" fontId="55" fillId="13" borderId="8" xfId="0" applyFont="1" applyFill="1" applyBorder="1" applyAlignment="1">
      <alignment horizontal="center" vertical="center" wrapText="1"/>
    </xf>
    <xf numFmtId="0" fontId="68" fillId="13" borderId="8" xfId="0" applyFont="1" applyFill="1" applyBorder="1" applyAlignment="1">
      <alignment horizontal="center" vertical="center" wrapText="1"/>
    </xf>
    <xf numFmtId="0" fontId="67" fillId="13" borderId="8" xfId="0" applyFont="1" applyFill="1" applyBorder="1" applyAlignment="1">
      <alignment horizontal="center" vertical="center" wrapText="1"/>
    </xf>
    <xf numFmtId="0" fontId="11" fillId="7" borderId="8" xfId="0" applyFont="1" applyFill="1" applyBorder="1" applyAlignment="1">
      <alignment horizontal="center" vertical="center" wrapText="1"/>
    </xf>
    <xf numFmtId="0" fontId="22" fillId="7" borderId="8" xfId="0" applyFont="1" applyFill="1" applyBorder="1" applyAlignment="1">
      <alignment horizontal="center" vertical="top" wrapText="1"/>
    </xf>
    <xf numFmtId="0" fontId="23" fillId="7" borderId="8" xfId="0" applyFont="1" applyFill="1" applyBorder="1" applyAlignment="1">
      <alignment horizontal="center" vertical="top" wrapText="1"/>
    </xf>
    <xf numFmtId="0" fontId="47" fillId="7" borderId="8" xfId="0" applyFont="1" applyFill="1" applyBorder="1" applyAlignment="1">
      <alignment horizontal="center" vertical="center" wrapText="1"/>
    </xf>
    <xf numFmtId="0" fontId="48" fillId="7" borderId="8" xfId="0" applyFont="1" applyFill="1" applyBorder="1" applyAlignment="1">
      <alignment horizontal="center" vertical="top" wrapText="1"/>
    </xf>
    <xf numFmtId="0" fontId="60" fillId="7" borderId="8" xfId="0" applyFont="1" applyFill="1" applyBorder="1" applyAlignment="1">
      <alignment horizontal="center" vertical="top" wrapText="1"/>
    </xf>
    <xf numFmtId="0" fontId="66" fillId="7" borderId="8" xfId="0" applyFont="1" applyFill="1" applyBorder="1" applyAlignment="1">
      <alignment horizontal="center" vertical="top" wrapText="1"/>
    </xf>
    <xf numFmtId="0" fontId="24" fillId="7" borderId="8" xfId="0" applyFont="1" applyFill="1" applyBorder="1" applyAlignment="1">
      <alignment horizontal="center" vertical="top" wrapText="1"/>
    </xf>
    <xf numFmtId="0" fontId="34" fillId="7" borderId="8" xfId="0" applyFont="1" applyFill="1" applyBorder="1" applyAlignment="1">
      <alignment horizontal="center" vertical="center" wrapText="1"/>
    </xf>
    <xf numFmtId="0" fontId="35" fillId="7" borderId="8" xfId="0" applyFont="1" applyFill="1" applyBorder="1" applyAlignment="1">
      <alignment horizontal="left" vertical="top" wrapText="1"/>
    </xf>
    <xf numFmtId="0" fontId="57" fillId="7" borderId="8" xfId="0" applyFont="1" applyFill="1" applyBorder="1" applyAlignment="1">
      <alignment horizontal="left" vertical="top" wrapText="1"/>
    </xf>
    <xf numFmtId="0" fontId="69" fillId="7" borderId="8" xfId="0" applyFont="1" applyFill="1" applyBorder="1" applyAlignment="1">
      <alignment horizontal="left" vertical="top" wrapText="1"/>
    </xf>
    <xf numFmtId="0" fontId="34" fillId="20" borderId="8" xfId="0" applyFont="1" applyFill="1" applyBorder="1" applyAlignment="1">
      <alignment horizontal="center" vertical="center" wrapText="1"/>
    </xf>
    <xf numFmtId="0" fontId="35" fillId="20" borderId="8" xfId="0" applyFont="1" applyFill="1" applyBorder="1" applyAlignment="1">
      <alignment horizontal="left" vertical="top" wrapText="1"/>
    </xf>
    <xf numFmtId="0" fontId="45" fillId="20" borderId="8" xfId="0" applyFont="1" applyFill="1" applyBorder="1" applyAlignment="1">
      <alignment horizontal="left" vertical="top" wrapText="1"/>
    </xf>
    <xf numFmtId="0" fontId="44" fillId="20" borderId="8" xfId="0" applyFont="1" applyFill="1" applyBorder="1" applyAlignment="1">
      <alignment horizontal="left" vertical="top" wrapText="1"/>
    </xf>
    <xf numFmtId="0" fontId="57" fillId="20" borderId="8" xfId="0" applyFont="1" applyFill="1" applyBorder="1" applyAlignment="1">
      <alignment horizontal="left" vertical="top" wrapText="1"/>
    </xf>
    <xf numFmtId="0" fontId="69" fillId="20" borderId="8" xfId="0" applyFont="1" applyFill="1" applyBorder="1" applyAlignment="1">
      <alignment horizontal="left" vertical="top" wrapText="1"/>
    </xf>
    <xf numFmtId="0" fontId="56" fillId="7" borderId="8" xfId="0" applyFont="1" applyFill="1" applyBorder="1" applyAlignment="1">
      <alignment horizontal="center" vertical="center" wrapText="1"/>
    </xf>
    <xf numFmtId="0" fontId="55" fillId="7" borderId="8" xfId="0" applyFont="1" applyFill="1" applyBorder="1" applyAlignment="1">
      <alignment horizontal="center" vertical="top" wrapText="1"/>
    </xf>
    <xf numFmtId="0" fontId="67" fillId="7" borderId="8" xfId="0" applyFont="1" applyFill="1" applyBorder="1" applyAlignment="1">
      <alignment horizontal="center" vertical="top" wrapText="1"/>
    </xf>
    <xf numFmtId="0" fontId="28" fillId="7" borderId="8" xfId="0" applyFont="1" applyFill="1" applyBorder="1" applyAlignment="1">
      <alignment horizontal="center" vertical="center" wrapText="1"/>
    </xf>
    <xf numFmtId="0" fontId="29" fillId="7" borderId="8" xfId="0" applyFont="1" applyFill="1" applyBorder="1" applyAlignment="1">
      <alignment horizontal="left" vertical="top" wrapText="1"/>
    </xf>
    <xf numFmtId="0" fontId="51" fillId="7" borderId="8" xfId="0" applyFont="1" applyFill="1" applyBorder="1" applyAlignment="1">
      <alignment horizontal="left" vertical="top" wrapText="1"/>
    </xf>
    <xf numFmtId="0" fontId="63" fillId="7" borderId="8" xfId="0" applyFont="1" applyFill="1" applyBorder="1" applyAlignment="1">
      <alignment horizontal="left" vertical="top" wrapText="1"/>
    </xf>
    <xf numFmtId="0" fontId="22" fillId="7" borderId="8" xfId="0" applyFont="1" applyFill="1" applyBorder="1" applyAlignment="1">
      <alignment horizontal="center" vertical="center" wrapText="1"/>
    </xf>
    <xf numFmtId="0" fontId="49" fillId="7" borderId="8" xfId="0" applyFont="1" applyFill="1" applyBorder="1" applyAlignment="1">
      <alignment horizontal="left" vertical="top" wrapText="1"/>
    </xf>
    <xf numFmtId="0" fontId="61" fillId="7" borderId="8" xfId="0" applyFont="1" applyFill="1" applyBorder="1" applyAlignment="1">
      <alignment horizontal="left" vertical="top" wrapText="1"/>
    </xf>
    <xf numFmtId="0" fontId="46" fillId="7" borderId="8" xfId="0" applyFont="1" applyFill="1" applyBorder="1"/>
    <xf numFmtId="0" fontId="43" fillId="7" borderId="8" xfId="0" applyFont="1" applyFill="1" applyBorder="1"/>
    <xf numFmtId="0" fontId="58" fillId="7" borderId="8" xfId="0" applyFont="1" applyFill="1" applyBorder="1" applyAlignment="1">
      <alignment horizontal="center" vertical="center" wrapText="1"/>
    </xf>
    <xf numFmtId="0" fontId="50" fillId="7" borderId="8" xfId="0" applyFont="1" applyFill="1" applyBorder="1" applyAlignment="1">
      <alignment horizontal="center" vertical="top" wrapText="1"/>
    </xf>
    <xf numFmtId="0" fontId="62" fillId="7" borderId="8" xfId="0" applyFont="1" applyFill="1" applyBorder="1" applyAlignment="1">
      <alignment horizontal="center" vertical="top" wrapText="1"/>
    </xf>
    <xf numFmtId="0" fontId="50" fillId="18" borderId="8" xfId="0" applyFont="1" applyFill="1" applyBorder="1" applyAlignment="1">
      <alignment horizontal="center" vertical="center" wrapText="1"/>
    </xf>
    <xf numFmtId="0" fontId="70" fillId="18" borderId="8" xfId="0" applyFont="1" applyFill="1" applyBorder="1" applyAlignment="1">
      <alignment horizontal="center" vertical="center" wrapText="1"/>
    </xf>
    <xf numFmtId="0" fontId="62" fillId="18" borderId="8" xfId="0" applyFont="1" applyFill="1" applyBorder="1" applyAlignment="1">
      <alignment horizontal="center" vertical="center" wrapText="1"/>
    </xf>
    <xf numFmtId="0" fontId="51" fillId="17" borderId="8" xfId="0" applyFont="1" applyFill="1" applyBorder="1" applyAlignment="1">
      <alignment horizontal="center" vertical="center" wrapText="1"/>
    </xf>
    <xf numFmtId="0" fontId="71" fillId="17" borderId="8" xfId="0" applyFont="1" applyFill="1" applyBorder="1" applyAlignment="1">
      <alignment horizontal="center" vertical="center" wrapText="1"/>
    </xf>
    <xf numFmtId="0" fontId="63" fillId="17" borderId="8" xfId="0" applyFont="1" applyFill="1" applyBorder="1" applyAlignment="1">
      <alignment horizontal="center" vertical="center" wrapText="1"/>
    </xf>
    <xf numFmtId="0" fontId="25" fillId="14" borderId="8" xfId="0" applyFont="1" applyFill="1" applyBorder="1" applyAlignment="1">
      <alignment horizontal="center" vertical="top" wrapText="1"/>
    </xf>
    <xf numFmtId="0" fontId="5" fillId="13" borderId="8" xfId="0" applyFont="1" applyFill="1" applyBorder="1" applyAlignment="1">
      <alignment horizontal="center" vertical="top" wrapText="1"/>
    </xf>
    <xf numFmtId="0" fontId="7" fillId="17" borderId="8" xfId="0" applyFont="1" applyFill="1" applyBorder="1" applyAlignment="1">
      <alignment horizontal="center" vertical="top" wrapText="1"/>
    </xf>
    <xf numFmtId="0" fontId="15" fillId="13" borderId="8" xfId="0" applyFont="1" applyFill="1" applyBorder="1" applyAlignment="1">
      <alignment horizontal="center" vertical="top" wrapText="1"/>
    </xf>
    <xf numFmtId="0" fontId="16" fillId="18" borderId="8" xfId="0" applyFont="1" applyFill="1" applyBorder="1" applyAlignment="1">
      <alignment horizontal="center" vertical="top" wrapText="1"/>
    </xf>
    <xf numFmtId="0" fontId="37" fillId="17" borderId="8" xfId="0" applyFont="1" applyFill="1" applyBorder="1" applyAlignment="1">
      <alignment horizontal="center" vertical="top" wrapText="1"/>
    </xf>
    <xf numFmtId="0" fontId="36" fillId="8" borderId="8" xfId="0" applyFont="1" applyFill="1" applyBorder="1" applyAlignment="1">
      <alignment horizontal="center" vertical="top" wrapText="1"/>
    </xf>
    <xf numFmtId="0" fontId="14" fillId="12" borderId="8" xfId="0" applyFont="1" applyFill="1" applyBorder="1" applyAlignment="1">
      <alignment horizontal="left" vertical="top" wrapText="1"/>
    </xf>
    <xf numFmtId="0" fontId="14" fillId="12" borderId="8" xfId="0" applyFont="1" applyFill="1" applyBorder="1" applyAlignment="1">
      <alignment horizontal="center" vertical="top" wrapText="1"/>
    </xf>
    <xf numFmtId="0" fontId="14" fillId="16" borderId="8" xfId="0" applyFont="1" applyFill="1" applyBorder="1" applyAlignment="1">
      <alignment horizontal="left" vertical="top" wrapText="1"/>
    </xf>
    <xf numFmtId="0" fontId="14" fillId="16" borderId="8" xfId="0" applyFont="1" applyFill="1" applyBorder="1" applyAlignment="1">
      <alignment horizontal="center" vertical="top" wrapText="1"/>
    </xf>
    <xf numFmtId="0" fontId="12" fillId="15" borderId="8" xfId="0" applyFont="1" applyFill="1" applyBorder="1" applyAlignment="1">
      <alignment horizontal="center" vertical="top" wrapText="1"/>
    </xf>
    <xf numFmtId="0" fontId="38" fillId="20" borderId="8" xfId="0" applyFont="1" applyFill="1" applyBorder="1" applyAlignment="1">
      <alignment horizontal="center" vertical="top" wrapText="1"/>
    </xf>
    <xf numFmtId="0" fontId="39" fillId="11" borderId="8" xfId="0" applyFont="1" applyFill="1" applyBorder="1" applyAlignment="1">
      <alignment horizontal="center" vertical="top" wrapText="1"/>
    </xf>
    <xf numFmtId="0" fontId="4" fillId="12" borderId="8" xfId="0" applyFont="1" applyFill="1" applyBorder="1" applyAlignment="1">
      <alignment horizontal="left" vertical="top" wrapText="1"/>
    </xf>
    <xf numFmtId="0" fontId="14" fillId="12" borderId="9" xfId="0" applyFont="1" applyFill="1" applyBorder="1" applyAlignment="1">
      <alignment horizontal="left" vertical="top" wrapText="1"/>
    </xf>
    <xf numFmtId="0" fontId="14" fillId="12" borderId="10" xfId="0" applyFont="1" applyFill="1" applyBorder="1" applyAlignment="1">
      <alignment horizontal="left" vertical="top" wrapText="1"/>
    </xf>
    <xf numFmtId="0" fontId="14" fillId="12" borderId="8" xfId="0" quotePrefix="1" applyFont="1" applyFill="1" applyBorder="1" applyAlignment="1">
      <alignment horizontal="left" vertical="top" wrapText="1"/>
    </xf>
    <xf numFmtId="0" fontId="3" fillId="15" borderId="8" xfId="0" applyFont="1" applyFill="1" applyBorder="1" applyAlignment="1">
      <alignment horizontal="center" vertical="top" wrapText="1"/>
    </xf>
    <xf numFmtId="0" fontId="17" fillId="16" borderId="8" xfId="0" applyFont="1" applyFill="1" applyBorder="1" applyAlignment="1">
      <alignment horizontal="left" vertical="top" wrapText="1"/>
    </xf>
    <xf numFmtId="0" fontId="10" fillId="14" borderId="8" xfId="0" applyFont="1" applyFill="1" applyBorder="1" applyAlignment="1">
      <alignment horizontal="center" vertical="center"/>
    </xf>
    <xf numFmtId="0" fontId="17" fillId="12" borderId="8" xfId="0" applyFont="1" applyFill="1" applyBorder="1" applyAlignment="1">
      <alignment horizontal="left" vertical="top" wrapText="1"/>
    </xf>
    <xf numFmtId="0" fontId="20" fillId="13" borderId="8" xfId="0" applyFont="1" applyFill="1" applyBorder="1" applyAlignment="1">
      <alignment horizontal="center" vertical="center"/>
    </xf>
    <xf numFmtId="0" fontId="3" fillId="15" borderId="8" xfId="0" applyFont="1" applyFill="1" applyBorder="1" applyAlignment="1">
      <alignment horizontal="left" vertical="top" wrapText="1"/>
    </xf>
    <xf numFmtId="0" fontId="4" fillId="15" borderId="8" xfId="0" applyFont="1" applyFill="1" applyBorder="1" applyAlignment="1">
      <alignment horizontal="left" vertical="top" wrapText="1"/>
    </xf>
    <xf numFmtId="0" fontId="78" fillId="0" borderId="0" xfId="0" applyFont="1"/>
    <xf numFmtId="0" fontId="79" fillId="0" borderId="0" xfId="0" applyFont="1" applyAlignment="1">
      <alignment horizontal="center"/>
    </xf>
    <xf numFmtId="0" fontId="78" fillId="0" borderId="0" xfId="0" applyFont="1" applyAlignment="1">
      <alignment horizontal="center"/>
    </xf>
    <xf numFmtId="0" fontId="78" fillId="0" borderId="14" xfId="0" applyFont="1" applyBorder="1" applyAlignment="1">
      <alignment horizontal="center"/>
    </xf>
    <xf numFmtId="0" fontId="7" fillId="17" borderId="9" xfId="0" applyFont="1" applyFill="1" applyBorder="1" applyAlignment="1">
      <alignment horizontal="center" vertical="top" wrapText="1"/>
    </xf>
    <xf numFmtId="0" fontId="14" fillId="16" borderId="9" xfId="0" applyFont="1" applyFill="1" applyBorder="1" applyAlignment="1">
      <alignment horizontal="left" vertical="top" wrapText="1"/>
    </xf>
    <xf numFmtId="0" fontId="14" fillId="16" borderId="10" xfId="0" applyFont="1" applyFill="1" applyBorder="1" applyAlignment="1">
      <alignment horizontal="left" vertical="top" wrapText="1"/>
    </xf>
    <xf numFmtId="0" fontId="80" fillId="0" borderId="0" xfId="0" applyFont="1"/>
    <xf numFmtId="0" fontId="5" fillId="13" borderId="9" xfId="0" applyFont="1" applyFill="1" applyBorder="1" applyAlignment="1">
      <alignment horizontal="center" vertical="top" wrapText="1"/>
    </xf>
    <xf numFmtId="2" fontId="79" fillId="0" borderId="0" xfId="0" applyNumberFormat="1" applyFont="1" applyAlignment="1">
      <alignment horizontal="center"/>
    </xf>
    <xf numFmtId="0" fontId="76" fillId="11" borderId="0" xfId="0" applyFont="1" applyFill="1" applyAlignment="1">
      <alignment horizontal="center" vertical="top" wrapText="1"/>
    </xf>
    <xf numFmtId="0" fontId="0" fillId="22" borderId="0" xfId="0" applyFill="1" applyAlignment="1">
      <alignment horizontal="center" vertical="center"/>
    </xf>
    <xf numFmtId="0" fontId="0" fillId="0" borderId="0" xfId="0" applyAlignment="1">
      <alignment wrapText="1"/>
    </xf>
    <xf numFmtId="2" fontId="0" fillId="0" borderId="0" xfId="0" applyNumberFormat="1"/>
    <xf numFmtId="0" fontId="81" fillId="0" borderId="0" xfId="0" applyFont="1"/>
    <xf numFmtId="0" fontId="81" fillId="23" borderId="8" xfId="0" applyFont="1" applyFill="1" applyBorder="1"/>
    <xf numFmtId="0" fontId="11" fillId="23" borderId="10" xfId="0" applyFont="1" applyFill="1" applyBorder="1" applyAlignment="1">
      <alignment wrapText="1"/>
    </xf>
    <xf numFmtId="0" fontId="11" fillId="23" borderId="8" xfId="0" applyFont="1" applyFill="1" applyBorder="1" applyAlignment="1">
      <alignment wrapText="1"/>
    </xf>
    <xf numFmtId="0" fontId="21" fillId="23" borderId="19" xfId="0" applyFont="1" applyFill="1" applyBorder="1" applyAlignment="1">
      <alignment wrapText="1"/>
    </xf>
    <xf numFmtId="0" fontId="40" fillId="25" borderId="20" xfId="0" applyFont="1" applyFill="1" applyBorder="1" applyAlignment="1">
      <alignment wrapText="1"/>
    </xf>
    <xf numFmtId="0" fontId="11" fillId="26" borderId="20" xfId="0" applyFont="1" applyFill="1" applyBorder="1" applyAlignment="1">
      <alignment wrapText="1"/>
    </xf>
    <xf numFmtId="0" fontId="15" fillId="27" borderId="19" xfId="0" applyFont="1" applyFill="1" applyBorder="1" applyAlignment="1">
      <alignment wrapText="1"/>
    </xf>
    <xf numFmtId="0" fontId="15" fillId="27" borderId="20" xfId="0" applyFont="1" applyFill="1" applyBorder="1" applyAlignment="1">
      <alignment wrapText="1"/>
    </xf>
    <xf numFmtId="0" fontId="52" fillId="0" borderId="20" xfId="0" applyFont="1" applyBorder="1" applyAlignment="1">
      <alignment wrapText="1"/>
    </xf>
    <xf numFmtId="0" fontId="41" fillId="28" borderId="20" xfId="0" applyFont="1" applyFill="1" applyBorder="1" applyAlignment="1">
      <alignment wrapText="1"/>
    </xf>
    <xf numFmtId="0" fontId="2" fillId="26" borderId="20" xfId="0" applyFont="1" applyFill="1" applyBorder="1" applyAlignment="1">
      <alignment wrapText="1"/>
    </xf>
    <xf numFmtId="0" fontId="42" fillId="29" borderId="20" xfId="0" applyFont="1" applyFill="1" applyBorder="1" applyAlignment="1">
      <alignment wrapText="1"/>
    </xf>
    <xf numFmtId="0" fontId="5" fillId="28" borderId="20" xfId="0" applyFont="1" applyFill="1" applyBorder="1" applyAlignment="1">
      <alignment wrapText="1"/>
    </xf>
    <xf numFmtId="0" fontId="7" fillId="25" borderId="20" xfId="0" applyFont="1" applyFill="1" applyBorder="1" applyAlignment="1">
      <alignment wrapText="1"/>
    </xf>
    <xf numFmtId="0" fontId="6" fillId="29" borderId="20" xfId="0" applyFont="1" applyFill="1" applyBorder="1" applyAlignment="1">
      <alignment wrapText="1"/>
    </xf>
    <xf numFmtId="0" fontId="11" fillId="26" borderId="19" xfId="0" applyFont="1" applyFill="1" applyBorder="1" applyAlignment="1">
      <alignment wrapText="1"/>
    </xf>
    <xf numFmtId="0" fontId="4" fillId="27" borderId="20" xfId="0" applyFont="1" applyFill="1" applyBorder="1" applyAlignment="1">
      <alignment wrapText="1"/>
    </xf>
    <xf numFmtId="0" fontId="5" fillId="28" borderId="19" xfId="0" applyFont="1" applyFill="1" applyBorder="1" applyAlignment="1">
      <alignment wrapText="1"/>
    </xf>
    <xf numFmtId="0" fontId="6" fillId="29" borderId="19" xfId="0" applyFont="1" applyFill="1" applyBorder="1" applyAlignment="1">
      <alignment wrapText="1"/>
    </xf>
    <xf numFmtId="0" fontId="7" fillId="25" borderId="19" xfId="0" applyFont="1" applyFill="1" applyBorder="1" applyAlignment="1">
      <alignment wrapText="1"/>
    </xf>
    <xf numFmtId="0" fontId="82" fillId="30" borderId="19" xfId="0" applyFont="1" applyFill="1" applyBorder="1" applyAlignment="1">
      <alignment wrapText="1"/>
    </xf>
    <xf numFmtId="0" fontId="82" fillId="30" borderId="20" xfId="0" applyFont="1" applyFill="1" applyBorder="1" applyAlignment="1">
      <alignment wrapText="1"/>
    </xf>
    <xf numFmtId="0" fontId="83" fillId="31" borderId="19" xfId="0" applyFont="1" applyFill="1" applyBorder="1" applyAlignment="1">
      <alignment wrapText="1"/>
    </xf>
    <xf numFmtId="0" fontId="83" fillId="31" borderId="20" xfId="0" applyFont="1" applyFill="1" applyBorder="1" applyAlignment="1">
      <alignment wrapText="1"/>
    </xf>
    <xf numFmtId="0" fontId="39" fillId="11" borderId="21" xfId="0" applyFont="1" applyFill="1" applyBorder="1" applyAlignment="1">
      <alignment horizontal="center" vertical="top" wrapText="1"/>
    </xf>
    <xf numFmtId="0" fontId="21" fillId="9" borderId="22" xfId="0" applyFont="1" applyFill="1" applyBorder="1" applyAlignment="1">
      <alignment horizontal="center" vertical="center" wrapText="1"/>
    </xf>
    <xf numFmtId="0" fontId="14" fillId="0" borderId="21" xfId="0" applyFont="1" applyBorder="1" applyAlignment="1">
      <alignment horizontal="left" vertical="top" wrapText="1"/>
    </xf>
    <xf numFmtId="0" fontId="84" fillId="0" borderId="21" xfId="0" applyFont="1" applyBorder="1" applyAlignment="1">
      <alignment wrapText="1"/>
    </xf>
    <xf numFmtId="0" fontId="86" fillId="0" borderId="0" xfId="0" applyFont="1" applyAlignment="1">
      <alignment wrapText="1"/>
    </xf>
    <xf numFmtId="0" fontId="0" fillId="0" borderId="0" xfId="0" applyAlignment="1">
      <alignment horizontal="center"/>
    </xf>
    <xf numFmtId="0" fontId="78" fillId="0" borderId="17" xfId="0" applyFont="1" applyBorder="1" applyAlignment="1">
      <alignment horizontal="center"/>
    </xf>
    <xf numFmtId="2" fontId="43" fillId="0" borderId="0" xfId="0" applyNumberFormat="1" applyFont="1" applyAlignment="1">
      <alignment horizontal="center"/>
    </xf>
    <xf numFmtId="0" fontId="78" fillId="0" borderId="25" xfId="0" applyFont="1" applyBorder="1" applyAlignment="1">
      <alignment horizontal="center"/>
    </xf>
    <xf numFmtId="0" fontId="89" fillId="0" borderId="0" xfId="0" applyFont="1"/>
    <xf numFmtId="4" fontId="43" fillId="0" borderId="0" xfId="0" applyNumberFormat="1" applyFont="1"/>
    <xf numFmtId="0" fontId="43" fillId="0" borderId="0" xfId="0" applyFont="1" applyAlignment="1">
      <alignment horizontal="center"/>
    </xf>
    <xf numFmtId="2" fontId="43" fillId="0" borderId="0" xfId="0" applyNumberFormat="1" applyFont="1"/>
    <xf numFmtId="0" fontId="0" fillId="0" borderId="0" xfId="0" applyAlignment="1">
      <alignment horizontal="right"/>
    </xf>
    <xf numFmtId="4" fontId="0" fillId="0" borderId="0" xfId="0" applyNumberFormat="1"/>
    <xf numFmtId="0" fontId="43" fillId="0" borderId="0" xfId="0" applyFont="1"/>
    <xf numFmtId="0" fontId="78" fillId="0" borderId="26" xfId="0" applyFont="1" applyBorder="1" applyAlignment="1">
      <alignment horizontal="center"/>
    </xf>
    <xf numFmtId="0" fontId="0" fillId="0" borderId="24" xfId="0" applyBorder="1"/>
    <xf numFmtId="0" fontId="0" fillId="0" borderId="25" xfId="0" applyBorder="1"/>
    <xf numFmtId="0" fontId="80" fillId="0" borderId="30" xfId="0" applyFont="1" applyBorder="1"/>
    <xf numFmtId="0" fontId="0" fillId="0" borderId="26" xfId="0" applyBorder="1"/>
    <xf numFmtId="0" fontId="80" fillId="0" borderId="27" xfId="0" applyFont="1" applyBorder="1"/>
    <xf numFmtId="0" fontId="0" fillId="0" borderId="28" xfId="0" applyBorder="1"/>
    <xf numFmtId="0" fontId="43" fillId="0" borderId="29" xfId="0" applyFont="1" applyBorder="1"/>
    <xf numFmtId="0" fontId="79" fillId="0" borderId="25" xfId="0" applyFont="1" applyBorder="1" applyAlignment="1">
      <alignment horizontal="center"/>
    </xf>
    <xf numFmtId="0" fontId="0" fillId="0" borderId="23" xfId="0" applyBorder="1"/>
    <xf numFmtId="2" fontId="0" fillId="0" borderId="24" xfId="0" applyNumberFormat="1" applyBorder="1"/>
    <xf numFmtId="0" fontId="0" fillId="0" borderId="30" xfId="0" applyBorder="1"/>
    <xf numFmtId="0" fontId="0" fillId="0" borderId="27" xfId="0" applyBorder="1"/>
    <xf numFmtId="2" fontId="0" fillId="0" borderId="28" xfId="0" applyNumberFormat="1" applyBorder="1"/>
    <xf numFmtId="0" fontId="0" fillId="0" borderId="29" xfId="0" applyBorder="1"/>
    <xf numFmtId="0" fontId="0" fillId="0" borderId="23" xfId="0" applyBorder="1" applyAlignment="1">
      <alignment horizontal="right"/>
    </xf>
    <xf numFmtId="2" fontId="0" fillId="0" borderId="30" xfId="0" applyNumberFormat="1" applyBorder="1"/>
    <xf numFmtId="1" fontId="0" fillId="0" borderId="0" xfId="0" applyNumberFormat="1"/>
    <xf numFmtId="1" fontId="0" fillId="0" borderId="26" xfId="0" applyNumberFormat="1" applyBorder="1"/>
    <xf numFmtId="3" fontId="0" fillId="0" borderId="0" xfId="0" applyNumberFormat="1"/>
    <xf numFmtId="3" fontId="0" fillId="0" borderId="28" xfId="0" applyNumberFormat="1" applyBorder="1"/>
    <xf numFmtId="0" fontId="78" fillId="21" borderId="23" xfId="0" applyFont="1" applyFill="1" applyBorder="1"/>
    <xf numFmtId="0" fontId="78" fillId="0" borderId="31" xfId="0" applyFont="1" applyBorder="1" applyAlignment="1">
      <alignment horizontal="center"/>
    </xf>
    <xf numFmtId="0" fontId="78" fillId="21" borderId="30" xfId="0" applyFont="1" applyFill="1" applyBorder="1"/>
    <xf numFmtId="0" fontId="78" fillId="21" borderId="27" xfId="0" applyFont="1" applyFill="1" applyBorder="1"/>
    <xf numFmtId="0" fontId="78" fillId="0" borderId="32" xfId="0" applyFont="1" applyBorder="1" applyAlignment="1">
      <alignment horizontal="center"/>
    </xf>
    <xf numFmtId="0" fontId="78" fillId="0" borderId="29" xfId="0" applyFont="1" applyBorder="1" applyAlignment="1">
      <alignment horizontal="center"/>
    </xf>
    <xf numFmtId="0" fontId="78" fillId="21" borderId="15" xfId="0" applyFont="1" applyFill="1" applyBorder="1"/>
    <xf numFmtId="0" fontId="78" fillId="21" borderId="28" xfId="0" applyFont="1" applyFill="1" applyBorder="1"/>
    <xf numFmtId="0" fontId="79" fillId="0" borderId="29" xfId="0" applyFont="1" applyBorder="1" applyAlignment="1">
      <alignment horizontal="center"/>
    </xf>
    <xf numFmtId="0" fontId="78" fillId="21" borderId="24" xfId="0" applyFont="1" applyFill="1" applyBorder="1"/>
    <xf numFmtId="0" fontId="78" fillId="0" borderId="33" xfId="0" applyFont="1" applyBorder="1" applyAlignment="1">
      <alignment horizontal="center"/>
    </xf>
    <xf numFmtId="0" fontId="78" fillId="0" borderId="30" xfId="0" applyFont="1" applyBorder="1" applyAlignment="1">
      <alignment horizontal="center"/>
    </xf>
    <xf numFmtId="0" fontId="89" fillId="21" borderId="15" xfId="0" applyFont="1" applyFill="1" applyBorder="1"/>
    <xf numFmtId="0" fontId="89" fillId="21" borderId="16" xfId="0" applyFont="1" applyFill="1" applyBorder="1"/>
    <xf numFmtId="0" fontId="43" fillId="0" borderId="34" xfId="0" applyFont="1" applyBorder="1" applyAlignment="1">
      <alignment horizontal="center"/>
    </xf>
    <xf numFmtId="0" fontId="89" fillId="21" borderId="35" xfId="0" applyFont="1" applyFill="1" applyBorder="1"/>
    <xf numFmtId="0" fontId="0" fillId="0" borderId="36" xfId="0" applyBorder="1"/>
    <xf numFmtId="0" fontId="0" fillId="0" borderId="34" xfId="0" applyBorder="1"/>
    <xf numFmtId="0" fontId="89" fillId="21" borderId="37" xfId="0" applyFont="1" applyFill="1" applyBorder="1"/>
    <xf numFmtId="0" fontId="0" fillId="0" borderId="38" xfId="0" applyBorder="1"/>
    <xf numFmtId="0" fontId="0" fillId="0" borderId="39" xfId="0" applyBorder="1"/>
    <xf numFmtId="0" fontId="79" fillId="0" borderId="0" xfId="0" applyFont="1"/>
    <xf numFmtId="0" fontId="0" fillId="0" borderId="21" xfId="0" applyBorder="1"/>
    <xf numFmtId="0" fontId="43" fillId="38" borderId="23" xfId="0" applyFont="1" applyFill="1" applyBorder="1" applyAlignment="1">
      <alignment horizontal="center"/>
    </xf>
    <xf numFmtId="0" fontId="43" fillId="38" borderId="24" xfId="0" applyFont="1" applyFill="1" applyBorder="1" applyAlignment="1">
      <alignment horizontal="center"/>
    </xf>
    <xf numFmtId="0" fontId="43" fillId="38" borderId="25" xfId="0" applyFont="1" applyFill="1" applyBorder="1" applyAlignment="1">
      <alignment horizontal="center"/>
    </xf>
    <xf numFmtId="3" fontId="0" fillId="0" borderId="26" xfId="0" applyNumberFormat="1" applyBorder="1" applyAlignment="1">
      <alignment horizontal="center" vertical="center"/>
    </xf>
    <xf numFmtId="3" fontId="0" fillId="0" borderId="29" xfId="0" applyNumberFormat="1" applyBorder="1" applyAlignment="1">
      <alignment horizontal="center" vertical="center"/>
    </xf>
    <xf numFmtId="0" fontId="79" fillId="37" borderId="15" xfId="0" applyFont="1" applyFill="1" applyBorder="1" applyAlignment="1">
      <alignment horizontal="center"/>
    </xf>
    <xf numFmtId="0" fontId="79" fillId="37" borderId="16" xfId="0" applyFont="1" applyFill="1" applyBorder="1" applyAlignment="1">
      <alignment horizontal="center"/>
    </xf>
    <xf numFmtId="0" fontId="79" fillId="37" borderId="17" xfId="0" applyFont="1" applyFill="1" applyBorder="1" applyAlignment="1">
      <alignment horizontal="center"/>
    </xf>
    <xf numFmtId="0" fontId="79" fillId="22" borderId="23" xfId="0" applyFont="1" applyFill="1" applyBorder="1" applyAlignment="1">
      <alignment horizontal="center"/>
    </xf>
    <xf numFmtId="0" fontId="79" fillId="22" borderId="24" xfId="0" applyFont="1" applyFill="1" applyBorder="1" applyAlignment="1">
      <alignment horizontal="center"/>
    </xf>
    <xf numFmtId="0" fontId="79" fillId="22" borderId="25" xfId="0" applyFont="1" applyFill="1" applyBorder="1" applyAlignment="1">
      <alignment horizontal="center"/>
    </xf>
    <xf numFmtId="0" fontId="79" fillId="38" borderId="23" xfId="0" applyFont="1" applyFill="1" applyBorder="1" applyAlignment="1">
      <alignment horizontal="center"/>
    </xf>
    <xf numFmtId="0" fontId="79" fillId="38" borderId="24" xfId="0" applyFont="1" applyFill="1" applyBorder="1" applyAlignment="1">
      <alignment horizontal="center"/>
    </xf>
    <xf numFmtId="0" fontId="79" fillId="38" borderId="25" xfId="0" applyFont="1" applyFill="1" applyBorder="1" applyAlignment="1">
      <alignment horizontal="center"/>
    </xf>
    <xf numFmtId="0" fontId="78" fillId="0" borderId="23" xfId="0" applyFont="1" applyBorder="1" applyAlignment="1">
      <alignment horizontal="center"/>
    </xf>
    <xf numFmtId="0" fontId="78" fillId="0" borderId="24" xfId="0" applyFont="1" applyBorder="1" applyAlignment="1">
      <alignment horizontal="center"/>
    </xf>
    <xf numFmtId="0" fontId="78" fillId="0" borderId="25" xfId="0" applyFont="1" applyBorder="1" applyAlignment="1">
      <alignment horizontal="center"/>
    </xf>
    <xf numFmtId="0" fontId="78" fillId="0" borderId="15" xfId="0" applyFont="1" applyBorder="1" applyAlignment="1">
      <alignment horizontal="center"/>
    </xf>
    <xf numFmtId="0" fontId="78" fillId="0" borderId="16" xfId="0" applyFont="1" applyBorder="1" applyAlignment="1">
      <alignment horizontal="center"/>
    </xf>
    <xf numFmtId="0" fontId="78" fillId="0" borderId="17" xfId="0" applyFont="1" applyBorder="1" applyAlignment="1">
      <alignment horizontal="center"/>
    </xf>
    <xf numFmtId="0" fontId="0" fillId="0" borderId="30" xfId="0" applyBorder="1" applyAlignment="1">
      <alignment horizontal="left" wrapText="1"/>
    </xf>
    <xf numFmtId="4" fontId="43" fillId="0" borderId="23" xfId="0" applyNumberFormat="1" applyFont="1" applyBorder="1" applyAlignment="1">
      <alignment horizontal="center" vertical="center"/>
    </xf>
    <xf numFmtId="4" fontId="43" fillId="0" borderId="27" xfId="0" applyNumberFormat="1" applyFont="1" applyBorder="1" applyAlignment="1">
      <alignment horizontal="center" vertical="center"/>
    </xf>
    <xf numFmtId="4" fontId="79" fillId="0" borderId="40" xfId="0" applyNumberFormat="1" applyFont="1" applyBorder="1" applyAlignment="1">
      <alignment horizontal="center" vertical="center" wrapText="1"/>
    </xf>
    <xf numFmtId="4" fontId="79" fillId="0" borderId="41" xfId="0" applyNumberFormat="1" applyFont="1" applyBorder="1" applyAlignment="1">
      <alignment horizontal="center" vertical="center" wrapText="1"/>
    </xf>
    <xf numFmtId="0" fontId="78" fillId="0" borderId="11" xfId="0" applyFont="1" applyBorder="1" applyAlignment="1">
      <alignment horizontal="center"/>
    </xf>
    <xf numFmtId="0" fontId="78" fillId="0" borderId="12" xfId="0" applyFont="1" applyBorder="1" applyAlignment="1">
      <alignment horizontal="center"/>
    </xf>
    <xf numFmtId="0" fontId="78" fillId="0" borderId="13" xfId="0" applyFont="1" applyBorder="1" applyAlignment="1">
      <alignment horizontal="center"/>
    </xf>
    <xf numFmtId="0" fontId="78" fillId="0" borderId="30" xfId="0" applyFont="1" applyBorder="1" applyAlignment="1">
      <alignment horizontal="center"/>
    </xf>
    <xf numFmtId="0" fontId="78" fillId="0" borderId="0" xfId="0" applyFont="1" applyAlignment="1">
      <alignment horizontal="center"/>
    </xf>
    <xf numFmtId="0" fontId="78" fillId="0" borderId="26" xfId="0" applyFont="1" applyBorder="1" applyAlignment="1">
      <alignment horizontal="center"/>
    </xf>
    <xf numFmtId="0" fontId="10" fillId="9" borderId="8" xfId="0" applyFont="1" applyFill="1" applyBorder="1" applyAlignment="1">
      <alignment horizontal="center" vertical="center" wrapText="1"/>
    </xf>
    <xf numFmtId="0" fontId="11" fillId="10" borderId="8" xfId="0" applyFont="1" applyFill="1" applyBorder="1" applyAlignment="1">
      <alignment horizontal="center" vertical="center" wrapText="1"/>
    </xf>
    <xf numFmtId="0" fontId="1" fillId="9" borderId="8" xfId="0" applyFont="1" applyFill="1" applyBorder="1" applyAlignment="1">
      <alignment horizontal="center" vertical="center" wrapText="1"/>
    </xf>
    <xf numFmtId="0" fontId="9" fillId="10" borderId="0" xfId="0" applyFont="1" applyFill="1" applyAlignment="1">
      <alignment horizontal="left" vertical="center" wrapText="1"/>
    </xf>
    <xf numFmtId="0" fontId="8" fillId="9" borderId="8" xfId="0" applyFont="1" applyFill="1" applyBorder="1" applyAlignment="1">
      <alignment horizontal="center" vertical="center" wrapText="1"/>
    </xf>
    <xf numFmtId="0" fontId="11" fillId="9" borderId="8" xfId="0" applyFont="1" applyFill="1" applyBorder="1" applyAlignment="1">
      <alignment horizontal="center" vertical="center" wrapText="1"/>
    </xf>
    <xf numFmtId="0" fontId="86" fillId="0" borderId="0" xfId="0" applyFont="1" applyAlignment="1">
      <alignment wrapText="1"/>
    </xf>
    <xf numFmtId="0" fontId="87" fillId="33" borderId="0" xfId="0" applyFont="1" applyFill="1" applyAlignment="1">
      <alignment wrapText="1"/>
    </xf>
    <xf numFmtId="0" fontId="88" fillId="34" borderId="0" xfId="0" applyFont="1" applyFill="1" applyAlignment="1">
      <alignment wrapText="1"/>
    </xf>
    <xf numFmtId="0" fontId="88" fillId="36" borderId="0" xfId="0" applyFont="1" applyFill="1" applyAlignment="1">
      <alignment wrapText="1"/>
    </xf>
    <xf numFmtId="0" fontId="88" fillId="35" borderId="0" xfId="0" applyFont="1" applyFill="1" applyAlignment="1">
      <alignment wrapText="1"/>
    </xf>
    <xf numFmtId="0" fontId="85" fillId="32" borderId="0" xfId="0" applyFont="1" applyFill="1" applyAlignment="1">
      <alignment wrapText="1"/>
    </xf>
    <xf numFmtId="0" fontId="8" fillId="23" borderId="18" xfId="0" applyFont="1" applyFill="1" applyBorder="1" applyAlignment="1">
      <alignment wrapText="1"/>
    </xf>
    <xf numFmtId="0" fontId="8" fillId="23" borderId="9" xfId="0" applyFont="1" applyFill="1" applyBorder="1" applyAlignment="1">
      <alignment wrapText="1"/>
    </xf>
    <xf numFmtId="0" fontId="8" fillId="23" borderId="10" xfId="0" applyFont="1" applyFill="1" applyBorder="1" applyAlignment="1">
      <alignment wrapText="1"/>
    </xf>
    <xf numFmtId="0" fontId="9" fillId="24" borderId="0" xfId="0" applyFont="1" applyFill="1" applyAlignment="1">
      <alignment wrapText="1"/>
    </xf>
    <xf numFmtId="0" fontId="11" fillId="9" borderId="0" xfId="0" applyFont="1" applyFill="1" applyAlignment="1">
      <alignment horizontal="left" vertical="center"/>
    </xf>
    <xf numFmtId="0" fontId="11" fillId="19" borderId="8" xfId="0" applyFont="1" applyFill="1" applyBorder="1" applyAlignment="1">
      <alignment horizontal="left" vertical="center"/>
    </xf>
    <xf numFmtId="0" fontId="11" fillId="10" borderId="8" xfId="0" applyFont="1" applyFill="1" applyBorder="1" applyAlignment="1">
      <alignment horizontal="left" vertical="center"/>
    </xf>
    <xf numFmtId="0" fontId="11" fillId="14" borderId="8" xfId="0" applyFont="1" applyFill="1" applyBorder="1" applyAlignment="1">
      <alignment horizontal="left" vertical="center"/>
    </xf>
    <xf numFmtId="0" fontId="10" fillId="9" borderId="1" xfId="0" applyFont="1" applyFill="1" applyBorder="1" applyAlignment="1">
      <alignment horizontal="center" vertical="center" wrapText="1"/>
    </xf>
    <xf numFmtId="0" fontId="18" fillId="15" borderId="1" xfId="0" applyFont="1" applyFill="1" applyBorder="1" applyAlignment="1">
      <alignment horizontal="left" vertical="top" wrapText="1"/>
    </xf>
    <xf numFmtId="0" fontId="80" fillId="39" borderId="23" xfId="0" applyFont="1" applyFill="1" applyBorder="1"/>
    <xf numFmtId="0" fontId="80" fillId="39" borderId="30" xfId="0" applyFont="1" applyFill="1" applyBorder="1"/>
    <xf numFmtId="0" fontId="0" fillId="0" borderId="10" xfId="0" applyBorder="1" applyAlignment="1"/>
    <xf numFmtId="0" fontId="0" fillId="16" borderId="0" xfId="0" applyFill="1" applyAlignment="1"/>
    <xf numFmtId="0" fontId="0" fillId="0" borderId="0" xfId="0" applyAlignment="1"/>
    <xf numFmtId="0" fontId="0" fillId="0" borderId="9" xfId="0" applyBorder="1" applyAlignment="1"/>
    <xf numFmtId="0" fontId="11" fillId="23" borderId="18" xfId="0" applyFont="1" applyFill="1" applyBorder="1" applyAlignment="1"/>
    <xf numFmtId="0" fontId="11" fillId="23" borderId="9" xfId="0" applyFont="1" applyFill="1" applyBorder="1" applyAlignment="1"/>
    <xf numFmtId="0" fontId="11" fillId="23" borderId="10" xfId="0" applyFont="1" applyFill="1" applyBorder="1" applyAlignment="1"/>
    <xf numFmtId="0" fontId="0" fillId="0" borderId="3" xfId="0" applyBorder="1" applyAlignment="1"/>
    <xf numFmtId="0" fontId="0" fillId="0" borderId="4" xfId="0" applyBorder="1" applyAlignment="1"/>
    <xf numFmtId="0" fontId="0" fillId="0" borderId="2" xfId="0" applyBorder="1" applyAlignment="1"/>
    <xf numFmtId="0" fontId="0" fillId="0" borderId="5" xfId="0" applyBorder="1" applyAlignment="1"/>
    <xf numFmtId="0" fontId="0" fillId="0" borderId="6" xfId="0" applyBorder="1" applyAlignment="1"/>
    <xf numFmtId="0" fontId="0" fillId="0" borderId="7" xfId="0" applyBorder="1" applyAlignment="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showGridLines="0" topLeftCell="A7" workbookViewId="0">
      <selection activeCell="A10" sqref="A10"/>
    </sheetView>
  </sheetViews>
  <sheetFormatPr defaultRowHeight="14.45"/>
  <cols>
    <col min="1" max="1" width="28" customWidth="1"/>
    <col min="2" max="2" width="85" customWidth="1"/>
  </cols>
  <sheetData>
    <row r="1" spans="1:2" ht="26.1" customHeight="1">
      <c r="A1" s="285" t="s">
        <v>0</v>
      </c>
      <c r="B1" s="307"/>
    </row>
    <row r="2" spans="1:2" ht="18" customHeight="1">
      <c r="A2" s="284" t="s">
        <v>1</v>
      </c>
      <c r="B2" s="307"/>
    </row>
    <row r="3" spans="1:2" ht="6" customHeight="1">
      <c r="A3" s="308"/>
      <c r="B3" s="309"/>
    </row>
    <row r="4" spans="1:2" ht="39.950000000000003" customHeight="1">
      <c r="A4" s="7" t="s">
        <v>2</v>
      </c>
      <c r="B4" s="8" t="s">
        <v>3</v>
      </c>
    </row>
    <row r="5" spans="1:2" ht="90" customHeight="1">
      <c r="A5" s="7" t="s">
        <v>4</v>
      </c>
      <c r="B5" s="8" t="s">
        <v>5</v>
      </c>
    </row>
    <row r="6" spans="1:2" ht="69.95" customHeight="1">
      <c r="A6" s="7" t="s">
        <v>6</v>
      </c>
      <c r="B6" s="8" t="s">
        <v>7</v>
      </c>
    </row>
    <row r="7" spans="1:2" ht="69.95" customHeight="1">
      <c r="A7" s="7" t="s">
        <v>8</v>
      </c>
      <c r="B7" s="9" t="s">
        <v>9</v>
      </c>
    </row>
    <row r="8" spans="1:2" ht="69.95" customHeight="1">
      <c r="A8" s="7" t="s">
        <v>10</v>
      </c>
      <c r="B8" s="8" t="s">
        <v>11</v>
      </c>
    </row>
    <row r="9" spans="1:2" ht="69.95" customHeight="1">
      <c r="A9" s="7" t="s">
        <v>12</v>
      </c>
      <c r="B9" s="8" t="s">
        <v>13</v>
      </c>
    </row>
    <row r="10" spans="1:2" ht="60" customHeight="1">
      <c r="A10" s="7" t="s">
        <v>14</v>
      </c>
      <c r="B10" s="8" t="s">
        <v>15</v>
      </c>
    </row>
    <row r="11" spans="1:2" ht="69.95" customHeight="1">
      <c r="A11" s="7" t="s">
        <v>16</v>
      </c>
      <c r="B11" s="8" t="s">
        <v>17</v>
      </c>
    </row>
    <row r="12" spans="1:2" ht="50.1" customHeight="1">
      <c r="A12" s="7" t="s">
        <v>18</v>
      </c>
      <c r="B12" s="8" t="s">
        <v>19</v>
      </c>
    </row>
    <row r="13" spans="1:2" ht="39.950000000000003" customHeight="1">
      <c r="A13" s="7" t="s">
        <v>20</v>
      </c>
      <c r="B13" s="8" t="s">
        <v>21</v>
      </c>
    </row>
    <row r="14" spans="1:2" ht="21.95" customHeight="1">
      <c r="A14" s="7" t="s">
        <v>22</v>
      </c>
      <c r="B14" s="8" t="s">
        <v>23</v>
      </c>
    </row>
    <row r="15" spans="1:2" ht="27.95" customHeight="1">
      <c r="A15" s="10"/>
      <c r="B15" s="8"/>
    </row>
    <row r="16" spans="1:2" ht="20.100000000000001" customHeight="1">
      <c r="A16" s="283" t="s">
        <v>24</v>
      </c>
      <c r="B16" s="307"/>
    </row>
    <row r="17" spans="1:2" ht="24" customHeight="1">
      <c r="A17" s="12" t="s">
        <v>25</v>
      </c>
      <c r="B17" s="13" t="s">
        <v>26</v>
      </c>
    </row>
    <row r="18" spans="1:2" ht="24" customHeight="1">
      <c r="A18" s="14" t="s">
        <v>27</v>
      </c>
      <c r="B18" s="13" t="s">
        <v>28</v>
      </c>
    </row>
    <row r="19" spans="1:2" ht="24" customHeight="1">
      <c r="A19" s="15" t="s">
        <v>29</v>
      </c>
      <c r="B19" s="13" t="s">
        <v>30</v>
      </c>
    </row>
    <row r="20" spans="1:2" ht="24" customHeight="1">
      <c r="A20" s="16" t="s">
        <v>31</v>
      </c>
      <c r="B20" s="13" t="s">
        <v>32</v>
      </c>
    </row>
  </sheetData>
  <mergeCells count="4">
    <mergeCell ref="A3:B3"/>
    <mergeCell ref="A16:B16"/>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showGridLines="0" zoomScale="55" zoomScaleNormal="55" workbookViewId="0">
      <pane xSplit="1" ySplit="3" topLeftCell="B4" activePane="bottomRight" state="frozen"/>
      <selection pane="bottomRight" activeCell="D6" sqref="D6"/>
      <selection pane="bottomLeft"/>
      <selection pane="topRight"/>
    </sheetView>
  </sheetViews>
  <sheetFormatPr defaultRowHeight="14.45"/>
  <cols>
    <col min="1" max="1" width="15" customWidth="1"/>
    <col min="2" max="7" width="38" customWidth="1"/>
  </cols>
  <sheetData>
    <row r="1" spans="1:7" ht="24" customHeight="1">
      <c r="A1" s="287" t="s">
        <v>33</v>
      </c>
      <c r="B1" s="310"/>
      <c r="C1" s="310"/>
      <c r="D1" s="310"/>
      <c r="E1" s="310"/>
      <c r="F1" s="310"/>
      <c r="G1" s="307"/>
    </row>
    <row r="2" spans="1:7" ht="18" customHeight="1">
      <c r="A2" s="286" t="s">
        <v>34</v>
      </c>
      <c r="B2" s="309"/>
      <c r="C2" s="309"/>
      <c r="D2" s="309"/>
      <c r="E2" s="309"/>
      <c r="F2" s="309"/>
      <c r="G2" s="309"/>
    </row>
    <row r="3" spans="1:7" ht="42" customHeight="1">
      <c r="A3" s="11" t="s">
        <v>35</v>
      </c>
      <c r="B3" s="17" t="s">
        <v>36</v>
      </c>
      <c r="C3" s="17" t="s">
        <v>37</v>
      </c>
      <c r="D3" s="17" t="s">
        <v>38</v>
      </c>
      <c r="E3" s="17" t="s">
        <v>39</v>
      </c>
      <c r="F3" s="17" t="s">
        <v>40</v>
      </c>
      <c r="G3" s="17" t="s">
        <v>41</v>
      </c>
    </row>
    <row r="4" spans="1:7" ht="159.94999999999999" customHeight="1">
      <c r="A4" s="1" t="s">
        <v>42</v>
      </c>
      <c r="B4" s="18" t="s">
        <v>43</v>
      </c>
      <c r="C4" s="18" t="s">
        <v>44</v>
      </c>
      <c r="D4" s="18" t="s">
        <v>45</v>
      </c>
      <c r="E4" s="18" t="s">
        <v>46</v>
      </c>
      <c r="F4" s="19" t="s">
        <v>47</v>
      </c>
      <c r="G4" s="18" t="s">
        <v>48</v>
      </c>
    </row>
    <row r="5" spans="1:7" ht="159.94999999999999" customHeight="1">
      <c r="A5" s="2" t="s">
        <v>49</v>
      </c>
      <c r="B5" s="20" t="s">
        <v>50</v>
      </c>
      <c r="C5" s="20" t="s">
        <v>51</v>
      </c>
      <c r="D5" s="20" t="s">
        <v>52</v>
      </c>
      <c r="E5" s="18" t="s">
        <v>53</v>
      </c>
      <c r="F5" s="19" t="s">
        <v>54</v>
      </c>
      <c r="G5" s="20" t="s">
        <v>55</v>
      </c>
    </row>
    <row r="6" spans="1:7" ht="159.94999999999999" customHeight="1">
      <c r="A6" s="21" t="s">
        <v>56</v>
      </c>
      <c r="B6" s="18" t="s">
        <v>57</v>
      </c>
      <c r="C6" s="19" t="s">
        <v>58</v>
      </c>
      <c r="D6" s="18" t="s">
        <v>59</v>
      </c>
      <c r="E6" s="19" t="s">
        <v>60</v>
      </c>
      <c r="F6" s="19" t="s">
        <v>61</v>
      </c>
      <c r="G6" s="18" t="s">
        <v>62</v>
      </c>
    </row>
    <row r="7" spans="1:7" ht="159.94999999999999" customHeight="1">
      <c r="A7" s="3" t="s">
        <v>63</v>
      </c>
      <c r="B7" s="19" t="s">
        <v>64</v>
      </c>
      <c r="C7" s="18" t="s">
        <v>65</v>
      </c>
      <c r="D7" s="18" t="s">
        <v>66</v>
      </c>
      <c r="E7" s="19" t="s">
        <v>67</v>
      </c>
      <c r="F7" s="19" t="s">
        <v>68</v>
      </c>
      <c r="G7" s="18" t="s">
        <v>69</v>
      </c>
    </row>
    <row r="8" spans="1:7" ht="159.94999999999999" customHeight="1">
      <c r="A8" s="4" t="s">
        <v>70</v>
      </c>
      <c r="B8" s="19" t="s">
        <v>71</v>
      </c>
      <c r="C8" s="18" t="s">
        <v>72</v>
      </c>
      <c r="D8" s="19" t="s">
        <v>73</v>
      </c>
      <c r="E8" s="22" t="s">
        <v>74</v>
      </c>
      <c r="F8" s="22" t="s">
        <v>75</v>
      </c>
      <c r="G8" s="19" t="s">
        <v>76</v>
      </c>
    </row>
    <row r="9" spans="1:7" ht="159.94999999999999" customHeight="1">
      <c r="A9" s="5" t="s">
        <v>77</v>
      </c>
      <c r="B9" s="20" t="s">
        <v>78</v>
      </c>
      <c r="C9" s="20" t="s">
        <v>79</v>
      </c>
      <c r="D9" s="20" t="s">
        <v>80</v>
      </c>
      <c r="E9" s="18" t="s">
        <v>81</v>
      </c>
      <c r="F9" s="19" t="s">
        <v>82</v>
      </c>
      <c r="G9" s="20" t="s">
        <v>83</v>
      </c>
    </row>
  </sheetData>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7"/>
  <sheetViews>
    <sheetView showGridLines="0" zoomScale="70" zoomScaleNormal="70" workbookViewId="0">
      <pane ySplit="3" topLeftCell="A4" activePane="bottomLeft" state="frozen"/>
      <selection pane="bottomLeft" activeCell="D41" sqref="D41"/>
    </sheetView>
  </sheetViews>
  <sheetFormatPr defaultRowHeight="14.45"/>
  <cols>
    <col min="1" max="2" width="14" customWidth="1"/>
    <col min="3" max="3" width="13" customWidth="1"/>
    <col min="4" max="4" width="51.28515625" customWidth="1"/>
    <col min="5" max="5" width="48.5703125" customWidth="1"/>
    <col min="6" max="6" width="51.5703125" customWidth="1"/>
    <col min="7" max="7" width="16.28515625" customWidth="1"/>
    <col min="8" max="8" width="13.7109375" customWidth="1"/>
    <col min="9" max="9" width="10.85546875" customWidth="1"/>
    <col min="10" max="10" width="12.5703125" customWidth="1"/>
    <col min="11" max="11" width="18" customWidth="1"/>
    <col min="12" max="12" width="32" customWidth="1"/>
    <col min="13" max="13" width="14" customWidth="1"/>
  </cols>
  <sheetData>
    <row r="1" spans="1:13" ht="21.95" customHeight="1">
      <c r="A1" s="288" t="s">
        <v>84</v>
      </c>
      <c r="B1" s="310"/>
      <c r="C1" s="310"/>
      <c r="D1" s="310"/>
      <c r="E1" s="310"/>
      <c r="F1" s="310"/>
      <c r="G1" s="310"/>
      <c r="H1" s="310"/>
      <c r="I1" s="310"/>
      <c r="J1" s="310"/>
      <c r="K1" s="310"/>
      <c r="L1" s="310"/>
      <c r="M1" s="307"/>
    </row>
    <row r="2" spans="1:13" ht="36" customHeight="1">
      <c r="A2" s="286" t="s">
        <v>85</v>
      </c>
      <c r="B2" s="309"/>
      <c r="C2" s="309"/>
      <c r="D2" s="309"/>
      <c r="E2" s="309"/>
      <c r="F2" s="309"/>
      <c r="G2" s="309"/>
      <c r="H2" s="309"/>
      <c r="I2" s="309"/>
      <c r="J2" s="309"/>
      <c r="K2" s="309"/>
      <c r="L2" s="309"/>
      <c r="M2" s="309"/>
    </row>
    <row r="3" spans="1:13" ht="83.45" customHeight="1">
      <c r="A3" s="23" t="s">
        <v>86</v>
      </c>
      <c r="B3" s="23" t="s">
        <v>87</v>
      </c>
      <c r="C3" s="23" t="s">
        <v>88</v>
      </c>
      <c r="D3" s="23" t="s">
        <v>89</v>
      </c>
      <c r="E3" s="23" t="s">
        <v>90</v>
      </c>
      <c r="F3" s="23" t="s">
        <v>91</v>
      </c>
      <c r="G3" s="23" t="s">
        <v>92</v>
      </c>
      <c r="H3" s="23" t="s">
        <v>93</v>
      </c>
      <c r="I3" s="23" t="s">
        <v>94</v>
      </c>
      <c r="J3" s="23" t="s">
        <v>95</v>
      </c>
      <c r="K3" s="23" t="s">
        <v>96</v>
      </c>
      <c r="L3" s="23" t="s">
        <v>97</v>
      </c>
      <c r="M3" s="23" t="s">
        <v>98</v>
      </c>
    </row>
    <row r="4" spans="1:13" ht="90" customHeight="1">
      <c r="A4" s="17" t="s">
        <v>99</v>
      </c>
      <c r="B4" s="24" t="s">
        <v>100</v>
      </c>
      <c r="C4" s="25" t="s">
        <v>101</v>
      </c>
      <c r="D4" s="26" t="s">
        <v>102</v>
      </c>
      <c r="E4" s="27"/>
      <c r="F4" s="27"/>
      <c r="G4" s="28" t="s">
        <v>103</v>
      </c>
      <c r="H4" s="28" t="s">
        <v>104</v>
      </c>
      <c r="I4" s="29" t="s">
        <v>105</v>
      </c>
      <c r="J4" s="30" t="s">
        <v>106</v>
      </c>
      <c r="K4" s="31" t="s">
        <v>107</v>
      </c>
      <c r="L4" s="32" t="s">
        <v>108</v>
      </c>
      <c r="M4" s="33" t="s">
        <v>109</v>
      </c>
    </row>
    <row r="5" spans="1:13" ht="65.099999999999994" customHeight="1">
      <c r="A5" s="34" t="s">
        <v>110</v>
      </c>
      <c r="B5" s="35"/>
      <c r="C5" s="35"/>
      <c r="D5" s="36"/>
      <c r="E5" s="37" t="s">
        <v>111</v>
      </c>
      <c r="F5" s="36"/>
      <c r="G5" s="38"/>
      <c r="H5" s="38"/>
      <c r="I5" s="39"/>
      <c r="J5" s="39"/>
      <c r="K5" s="35"/>
      <c r="L5" s="35"/>
      <c r="M5" s="40" t="s">
        <v>112</v>
      </c>
    </row>
    <row r="6" spans="1:13" ht="60" customHeight="1">
      <c r="A6" s="41" t="s">
        <v>113</v>
      </c>
      <c r="B6" s="35"/>
      <c r="C6" s="35"/>
      <c r="D6" s="36"/>
      <c r="E6" s="36"/>
      <c r="F6" s="37" t="s">
        <v>114</v>
      </c>
      <c r="G6" s="38"/>
      <c r="H6" s="38"/>
      <c r="I6" s="39"/>
      <c r="J6" s="39"/>
      <c r="K6" s="35"/>
      <c r="L6" s="35"/>
      <c r="M6" s="41" t="s">
        <v>115</v>
      </c>
    </row>
    <row r="7" spans="1:13" ht="60" customHeight="1">
      <c r="A7" s="41" t="s">
        <v>116</v>
      </c>
      <c r="B7" s="35"/>
      <c r="C7" s="35"/>
      <c r="D7" s="36"/>
      <c r="E7" s="36"/>
      <c r="F7" s="37" t="s">
        <v>117</v>
      </c>
      <c r="G7" s="38"/>
      <c r="H7" s="38"/>
      <c r="I7" s="39"/>
      <c r="J7" s="39"/>
      <c r="K7" s="35"/>
      <c r="L7" s="35"/>
      <c r="M7" s="41" t="s">
        <v>118</v>
      </c>
    </row>
    <row r="8" spans="1:13" ht="65.099999999999994" customHeight="1">
      <c r="A8" s="34" t="s">
        <v>119</v>
      </c>
      <c r="B8" s="35"/>
      <c r="C8" s="35"/>
      <c r="D8" s="36"/>
      <c r="E8" s="37" t="s">
        <v>120</v>
      </c>
      <c r="F8" s="36"/>
      <c r="G8" s="38"/>
      <c r="H8" s="38"/>
      <c r="I8" s="39"/>
      <c r="J8" s="39"/>
      <c r="K8" s="35"/>
      <c r="L8" s="35"/>
      <c r="M8" s="40" t="s">
        <v>112</v>
      </c>
    </row>
    <row r="9" spans="1:13" ht="60" customHeight="1">
      <c r="A9" s="42" t="s">
        <v>121</v>
      </c>
      <c r="B9" s="43"/>
      <c r="C9" s="43"/>
      <c r="D9" s="44"/>
      <c r="E9" s="44"/>
      <c r="F9" s="45" t="s">
        <v>122</v>
      </c>
      <c r="G9" s="46"/>
      <c r="H9" s="46"/>
      <c r="I9" s="47"/>
      <c r="J9" s="47"/>
      <c r="K9" s="43"/>
      <c r="L9" s="43"/>
      <c r="M9" s="42" t="s">
        <v>123</v>
      </c>
    </row>
    <row r="10" spans="1:13" ht="60" customHeight="1">
      <c r="A10" s="48" t="s">
        <v>124</v>
      </c>
      <c r="B10" s="49"/>
      <c r="C10" s="49"/>
      <c r="D10" s="50"/>
      <c r="E10" s="50"/>
      <c r="F10" s="51" t="s">
        <v>125</v>
      </c>
      <c r="G10" s="52"/>
      <c r="H10" s="52"/>
      <c r="I10" s="53"/>
      <c r="J10" s="53"/>
      <c r="K10" s="49"/>
      <c r="L10" s="49"/>
      <c r="M10" s="48" t="s">
        <v>126</v>
      </c>
    </row>
    <row r="11" spans="1:13" ht="5.0999999999999996" customHeight="1">
      <c r="A11" s="54"/>
      <c r="B11" s="55"/>
      <c r="C11" s="55"/>
      <c r="D11" s="56"/>
      <c r="E11" s="56"/>
      <c r="F11" s="56"/>
      <c r="G11" s="57"/>
      <c r="H11" s="58"/>
      <c r="I11" s="59"/>
      <c r="J11" s="60"/>
      <c r="K11" s="61"/>
      <c r="L11" s="62"/>
      <c r="M11" s="62"/>
    </row>
    <row r="12" spans="1:13" ht="90" customHeight="1">
      <c r="A12" s="17" t="s">
        <v>127</v>
      </c>
      <c r="B12" s="24" t="s">
        <v>100</v>
      </c>
      <c r="C12" s="25" t="s">
        <v>101</v>
      </c>
      <c r="D12" s="26" t="s">
        <v>128</v>
      </c>
      <c r="E12" s="27"/>
      <c r="F12" s="27"/>
      <c r="G12" s="28" t="s">
        <v>103</v>
      </c>
      <c r="H12" s="28" t="s">
        <v>104</v>
      </c>
      <c r="I12" s="29" t="s">
        <v>105</v>
      </c>
      <c r="J12" s="30" t="s">
        <v>106</v>
      </c>
      <c r="K12" s="31" t="s">
        <v>129</v>
      </c>
      <c r="L12" s="32" t="s">
        <v>130</v>
      </c>
      <c r="M12" s="33" t="s">
        <v>109</v>
      </c>
    </row>
    <row r="13" spans="1:13" ht="65.099999999999994" customHeight="1">
      <c r="A13" s="34" t="s">
        <v>131</v>
      </c>
      <c r="B13" s="35"/>
      <c r="C13" s="35"/>
      <c r="D13" s="36"/>
      <c r="E13" s="37" t="s">
        <v>132</v>
      </c>
      <c r="F13" s="36"/>
      <c r="G13" s="38"/>
      <c r="H13" s="38"/>
      <c r="I13" s="39"/>
      <c r="J13" s="39"/>
      <c r="K13" s="35"/>
      <c r="L13" s="35"/>
      <c r="M13" s="40" t="s">
        <v>112</v>
      </c>
    </row>
    <row r="14" spans="1:13" ht="60" customHeight="1">
      <c r="A14" s="63" t="s">
        <v>133</v>
      </c>
      <c r="B14" s="64"/>
      <c r="C14" s="64"/>
      <c r="D14" s="65"/>
      <c r="E14" s="65"/>
      <c r="F14" s="66" t="s">
        <v>134</v>
      </c>
      <c r="G14" s="67"/>
      <c r="H14" s="67"/>
      <c r="I14" s="68"/>
      <c r="J14" s="68"/>
      <c r="K14" s="64"/>
      <c r="L14" s="64"/>
      <c r="M14" s="63" t="s">
        <v>135</v>
      </c>
    </row>
    <row r="15" spans="1:13" ht="60" customHeight="1">
      <c r="A15" s="63" t="s">
        <v>136</v>
      </c>
      <c r="B15" s="64"/>
      <c r="C15" s="64"/>
      <c r="D15" s="65"/>
      <c r="E15" s="65"/>
      <c r="F15" s="66" t="s">
        <v>137</v>
      </c>
      <c r="G15" s="67"/>
      <c r="H15" s="67"/>
      <c r="I15" s="68"/>
      <c r="J15" s="68"/>
      <c r="K15" s="64"/>
      <c r="L15" s="64"/>
      <c r="M15" s="63" t="s">
        <v>138</v>
      </c>
    </row>
    <row r="16" spans="1:13" ht="5.0999999999999996" customHeight="1">
      <c r="A16" s="69"/>
      <c r="B16" s="70"/>
      <c r="C16" s="70"/>
      <c r="D16" s="71"/>
      <c r="E16" s="56"/>
      <c r="F16" s="56"/>
      <c r="G16" s="72"/>
      <c r="H16" s="72"/>
      <c r="I16" s="73"/>
      <c r="J16" s="73"/>
      <c r="K16" s="74"/>
      <c r="L16" s="75"/>
      <c r="M16" s="74"/>
    </row>
    <row r="17" spans="1:13" ht="90" customHeight="1">
      <c r="A17" s="17" t="s">
        <v>139</v>
      </c>
      <c r="B17" s="24" t="s">
        <v>100</v>
      </c>
      <c r="C17" s="25" t="s">
        <v>101</v>
      </c>
      <c r="D17" s="26" t="s">
        <v>140</v>
      </c>
      <c r="E17" s="27"/>
      <c r="F17" s="27"/>
      <c r="G17" s="28" t="s">
        <v>103</v>
      </c>
      <c r="H17" s="28" t="s">
        <v>104</v>
      </c>
      <c r="I17" s="29" t="s">
        <v>105</v>
      </c>
      <c r="J17" s="30" t="s">
        <v>106</v>
      </c>
      <c r="K17" s="31" t="s">
        <v>141</v>
      </c>
      <c r="L17" s="32" t="s">
        <v>142</v>
      </c>
      <c r="M17" s="33" t="s">
        <v>109</v>
      </c>
    </row>
    <row r="18" spans="1:13" ht="65.099999999999994" customHeight="1">
      <c r="A18" s="34" t="s">
        <v>143</v>
      </c>
      <c r="B18" s="35"/>
      <c r="C18" s="35"/>
      <c r="D18" s="36"/>
      <c r="E18" s="37" t="s">
        <v>144</v>
      </c>
      <c r="F18" s="36"/>
      <c r="G18" s="38"/>
      <c r="H18" s="38"/>
      <c r="I18" s="39"/>
      <c r="J18" s="39"/>
      <c r="K18" s="35"/>
      <c r="L18" s="35"/>
      <c r="M18" s="40" t="s">
        <v>112</v>
      </c>
    </row>
    <row r="19" spans="1:13" ht="60" customHeight="1">
      <c r="A19" s="42" t="s">
        <v>145</v>
      </c>
      <c r="B19" s="43"/>
      <c r="C19" s="43"/>
      <c r="D19" s="44"/>
      <c r="E19" s="44"/>
      <c r="F19" s="45" t="s">
        <v>146</v>
      </c>
      <c r="G19" s="46"/>
      <c r="H19" s="46"/>
      <c r="I19" s="47"/>
      <c r="J19" s="47"/>
      <c r="K19" s="43"/>
      <c r="L19" s="43"/>
      <c r="M19" s="42" t="s">
        <v>123</v>
      </c>
    </row>
    <row r="20" spans="1:13" ht="60" customHeight="1">
      <c r="A20" s="76" t="s">
        <v>147</v>
      </c>
      <c r="B20" s="77"/>
      <c r="C20" s="77"/>
      <c r="D20" s="78"/>
      <c r="E20" s="78"/>
      <c r="F20" s="79" t="s">
        <v>148</v>
      </c>
      <c r="G20" s="80"/>
      <c r="H20" s="80"/>
      <c r="I20" s="81"/>
      <c r="J20" s="81"/>
      <c r="K20" s="77"/>
      <c r="L20" s="77"/>
      <c r="M20" s="76" t="s">
        <v>149</v>
      </c>
    </row>
    <row r="21" spans="1:13" ht="60" customHeight="1">
      <c r="A21" s="48" t="s">
        <v>150</v>
      </c>
      <c r="B21" s="49"/>
      <c r="C21" s="49"/>
      <c r="D21" s="50"/>
      <c r="E21" s="50"/>
      <c r="F21" s="51" t="s">
        <v>151</v>
      </c>
      <c r="G21" s="52"/>
      <c r="H21" s="52"/>
      <c r="I21" s="53"/>
      <c r="J21" s="53"/>
      <c r="K21" s="49"/>
      <c r="L21" s="49"/>
      <c r="M21" s="48" t="s">
        <v>126</v>
      </c>
    </row>
    <row r="22" spans="1:13" ht="5.0999999999999996" customHeight="1">
      <c r="A22" s="82"/>
      <c r="B22" s="83"/>
      <c r="C22" s="83"/>
      <c r="D22" s="71"/>
      <c r="E22" s="71"/>
      <c r="F22" s="56"/>
      <c r="G22" s="84"/>
      <c r="H22" s="84"/>
      <c r="I22" s="85"/>
      <c r="J22" s="85"/>
      <c r="K22" s="83"/>
      <c r="L22" s="82"/>
      <c r="M22" s="83"/>
    </row>
    <row r="23" spans="1:13" ht="90" customHeight="1">
      <c r="A23" s="17" t="s">
        <v>152</v>
      </c>
      <c r="B23" s="24" t="s">
        <v>100</v>
      </c>
      <c r="C23" s="25" t="s">
        <v>101</v>
      </c>
      <c r="D23" s="26" t="s">
        <v>153</v>
      </c>
      <c r="E23" s="27"/>
      <c r="F23" s="27"/>
      <c r="G23" s="86" t="s">
        <v>154</v>
      </c>
      <c r="H23" s="86" t="s">
        <v>155</v>
      </c>
      <c r="I23" s="87" t="s">
        <v>156</v>
      </c>
      <c r="J23" s="88" t="s">
        <v>157</v>
      </c>
      <c r="K23" s="31" t="s">
        <v>158</v>
      </c>
      <c r="L23" s="32" t="s">
        <v>159</v>
      </c>
      <c r="M23" s="33" t="s">
        <v>109</v>
      </c>
    </row>
    <row r="24" spans="1:13" ht="65.099999999999994" customHeight="1">
      <c r="A24" s="34" t="s">
        <v>160</v>
      </c>
      <c r="B24" s="35"/>
      <c r="C24" s="35"/>
      <c r="D24" s="36"/>
      <c r="E24" s="37" t="s">
        <v>161</v>
      </c>
      <c r="F24" s="36"/>
      <c r="G24" s="38"/>
      <c r="H24" s="38"/>
      <c r="I24" s="39"/>
      <c r="J24" s="39"/>
      <c r="K24" s="35"/>
      <c r="L24" s="35"/>
      <c r="M24" s="40" t="s">
        <v>112</v>
      </c>
    </row>
    <row r="25" spans="1:13" ht="60" customHeight="1">
      <c r="A25" s="48" t="s">
        <v>162</v>
      </c>
      <c r="B25" s="49"/>
      <c r="C25" s="49"/>
      <c r="D25" s="50"/>
      <c r="E25" s="50"/>
      <c r="F25" s="51" t="s">
        <v>163</v>
      </c>
      <c r="G25" s="52"/>
      <c r="H25" s="52"/>
      <c r="I25" s="53"/>
      <c r="J25" s="53"/>
      <c r="K25" s="49"/>
      <c r="L25" s="49"/>
      <c r="M25" s="48" t="s">
        <v>126</v>
      </c>
    </row>
    <row r="26" spans="1:13" ht="5.0999999999999996" customHeight="1">
      <c r="A26" s="89"/>
      <c r="B26" s="90"/>
      <c r="C26" s="91"/>
      <c r="D26" s="56"/>
      <c r="E26" s="56"/>
      <c r="F26" s="56"/>
      <c r="G26" s="92"/>
      <c r="H26" s="93"/>
      <c r="I26" s="94"/>
      <c r="J26" s="95"/>
      <c r="K26" s="74"/>
      <c r="L26" s="75"/>
      <c r="M26" s="96"/>
    </row>
    <row r="27" spans="1:13" ht="90" customHeight="1">
      <c r="A27" s="17" t="s">
        <v>164</v>
      </c>
      <c r="B27" s="24" t="s">
        <v>100</v>
      </c>
      <c r="C27" s="25" t="s">
        <v>165</v>
      </c>
      <c r="D27" s="26" t="s">
        <v>166</v>
      </c>
      <c r="E27" s="27"/>
      <c r="F27" s="27"/>
      <c r="G27" s="28" t="s">
        <v>103</v>
      </c>
      <c r="H27" s="28" t="s">
        <v>167</v>
      </c>
      <c r="I27" s="29" t="s">
        <v>168</v>
      </c>
      <c r="J27" s="30" t="s">
        <v>106</v>
      </c>
      <c r="K27" s="31" t="s">
        <v>169</v>
      </c>
      <c r="L27" s="32" t="s">
        <v>170</v>
      </c>
      <c r="M27" s="33" t="s">
        <v>109</v>
      </c>
    </row>
    <row r="28" spans="1:13" ht="65.099999999999994" customHeight="1">
      <c r="A28" s="34" t="s">
        <v>171</v>
      </c>
      <c r="B28" s="35"/>
      <c r="C28" s="35"/>
      <c r="D28" s="36"/>
      <c r="E28" s="37" t="s">
        <v>172</v>
      </c>
      <c r="F28" s="36"/>
      <c r="G28" s="38"/>
      <c r="H28" s="38"/>
      <c r="I28" s="39"/>
      <c r="J28" s="39"/>
      <c r="K28" s="35"/>
      <c r="L28" s="35"/>
      <c r="M28" s="40" t="s">
        <v>112</v>
      </c>
    </row>
    <row r="29" spans="1:13" ht="60" customHeight="1">
      <c r="A29" s="63" t="s">
        <v>173</v>
      </c>
      <c r="B29" s="64"/>
      <c r="C29" s="64"/>
      <c r="D29" s="65"/>
      <c r="E29" s="65"/>
      <c r="F29" s="66" t="s">
        <v>174</v>
      </c>
      <c r="G29" s="67"/>
      <c r="H29" s="67"/>
      <c r="I29" s="68"/>
      <c r="J29" s="68"/>
      <c r="K29" s="64"/>
      <c r="L29" s="64"/>
      <c r="M29" s="63" t="s">
        <v>135</v>
      </c>
    </row>
    <row r="30" spans="1:13" ht="60" customHeight="1">
      <c r="A30" s="76" t="s">
        <v>175</v>
      </c>
      <c r="B30" s="77"/>
      <c r="C30" s="77"/>
      <c r="D30" s="78"/>
      <c r="E30" s="78"/>
      <c r="F30" s="79" t="s">
        <v>176</v>
      </c>
      <c r="G30" s="80"/>
      <c r="H30" s="80"/>
      <c r="I30" s="81"/>
      <c r="J30" s="81"/>
      <c r="K30" s="77"/>
      <c r="L30" s="77"/>
      <c r="M30" s="76" t="s">
        <v>177</v>
      </c>
    </row>
    <row r="31" spans="1:13" ht="60" customHeight="1">
      <c r="A31" s="48" t="s">
        <v>178</v>
      </c>
      <c r="B31" s="49"/>
      <c r="C31" s="49"/>
      <c r="D31" s="50"/>
      <c r="E31" s="50"/>
      <c r="F31" s="51" t="s">
        <v>179</v>
      </c>
      <c r="G31" s="52"/>
      <c r="H31" s="52"/>
      <c r="I31" s="53"/>
      <c r="J31" s="53"/>
      <c r="K31" s="49"/>
      <c r="L31" s="49"/>
      <c r="M31" s="48" t="s">
        <v>126</v>
      </c>
    </row>
    <row r="32" spans="1:13" ht="5.0999999999999996" customHeight="1">
      <c r="A32" s="97"/>
      <c r="B32" s="98"/>
      <c r="C32" s="98"/>
      <c r="D32" s="71"/>
      <c r="E32" s="71"/>
      <c r="F32" s="56"/>
      <c r="G32" s="99"/>
      <c r="H32" s="99"/>
      <c r="I32" s="100"/>
      <c r="J32" s="100"/>
      <c r="K32" s="98"/>
      <c r="L32" s="97"/>
      <c r="M32" s="98"/>
    </row>
    <row r="33" spans="1:13" ht="90" customHeight="1">
      <c r="A33" s="17" t="s">
        <v>180</v>
      </c>
      <c r="B33" s="24" t="s">
        <v>100</v>
      </c>
      <c r="C33" s="25" t="s">
        <v>181</v>
      </c>
      <c r="D33" s="26" t="s">
        <v>182</v>
      </c>
      <c r="E33" s="27"/>
      <c r="F33" s="27"/>
      <c r="G33" s="28" t="s">
        <v>103</v>
      </c>
      <c r="H33" s="28" t="s">
        <v>104</v>
      </c>
      <c r="I33" s="29" t="s">
        <v>105</v>
      </c>
      <c r="J33" s="30" t="s">
        <v>106</v>
      </c>
      <c r="K33" s="31" t="s">
        <v>183</v>
      </c>
      <c r="L33" s="32" t="s">
        <v>184</v>
      </c>
      <c r="M33" s="33" t="s">
        <v>109</v>
      </c>
    </row>
    <row r="34" spans="1:13" ht="65.099999999999994" customHeight="1">
      <c r="A34" s="34" t="s">
        <v>185</v>
      </c>
      <c r="B34" s="35"/>
      <c r="C34" s="35"/>
      <c r="D34" s="36"/>
      <c r="E34" s="37" t="s">
        <v>186</v>
      </c>
      <c r="F34" s="36"/>
      <c r="G34" s="38"/>
      <c r="H34" s="38"/>
      <c r="I34" s="39"/>
      <c r="J34" s="39"/>
      <c r="K34" s="35"/>
      <c r="L34" s="35"/>
      <c r="M34" s="40" t="s">
        <v>112</v>
      </c>
    </row>
    <row r="35" spans="1:13" ht="60" customHeight="1">
      <c r="A35" s="63" t="s">
        <v>187</v>
      </c>
      <c r="B35" s="64"/>
      <c r="C35" s="64"/>
      <c r="D35" s="65"/>
      <c r="E35" s="65"/>
      <c r="F35" s="66" t="s">
        <v>188</v>
      </c>
      <c r="G35" s="67"/>
      <c r="H35" s="67"/>
      <c r="I35" s="68"/>
      <c r="J35" s="68"/>
      <c r="K35" s="64"/>
      <c r="L35" s="64"/>
      <c r="M35" s="63" t="s">
        <v>135</v>
      </c>
    </row>
    <row r="36" spans="1:13" ht="60" customHeight="1">
      <c r="A36" s="41" t="s">
        <v>189</v>
      </c>
      <c r="B36" s="35"/>
      <c r="C36" s="35"/>
      <c r="D36" s="36"/>
      <c r="E36" s="36"/>
      <c r="F36" s="37" t="s">
        <v>190</v>
      </c>
      <c r="G36" s="38"/>
      <c r="H36" s="38"/>
      <c r="I36" s="39"/>
      <c r="J36" s="39"/>
      <c r="K36" s="35"/>
      <c r="L36" s="35"/>
      <c r="M36" s="41" t="s">
        <v>191</v>
      </c>
    </row>
    <row r="37" spans="1:13" ht="65.099999999999994" customHeight="1">
      <c r="A37" s="34" t="s">
        <v>192</v>
      </c>
      <c r="B37" s="35"/>
      <c r="C37" s="35"/>
      <c r="D37" s="36"/>
      <c r="E37" s="37" t="s">
        <v>193</v>
      </c>
      <c r="F37" s="36"/>
      <c r="G37" s="38"/>
      <c r="H37" s="38"/>
      <c r="I37" s="39"/>
      <c r="J37" s="39"/>
      <c r="K37" s="35"/>
      <c r="L37" s="35"/>
      <c r="M37" s="40" t="s">
        <v>112</v>
      </c>
    </row>
    <row r="38" spans="1:13" ht="60" customHeight="1">
      <c r="A38" s="42" t="s">
        <v>194</v>
      </c>
      <c r="B38" s="43"/>
      <c r="C38" s="43"/>
      <c r="D38" s="44"/>
      <c r="E38" s="44"/>
      <c r="F38" s="45" t="s">
        <v>195</v>
      </c>
      <c r="G38" s="46"/>
      <c r="H38" s="46"/>
      <c r="I38" s="47"/>
      <c r="J38" s="47"/>
      <c r="K38" s="43"/>
      <c r="L38" s="43"/>
      <c r="M38" s="42" t="s">
        <v>123</v>
      </c>
    </row>
    <row r="39" spans="1:13" ht="60" customHeight="1">
      <c r="A39" s="101" t="s">
        <v>196</v>
      </c>
      <c r="B39" s="102"/>
      <c r="C39" s="102"/>
      <c r="D39" s="103"/>
      <c r="E39" s="103"/>
      <c r="F39" s="104"/>
      <c r="G39" s="105"/>
      <c r="H39" s="105"/>
      <c r="I39" s="106"/>
      <c r="J39" s="106"/>
      <c r="K39" s="102"/>
      <c r="L39" s="102"/>
      <c r="M39" s="101"/>
    </row>
    <row r="40" spans="1:13" ht="5.0999999999999996" customHeight="1">
      <c r="A40" s="69"/>
      <c r="B40" s="70"/>
      <c r="C40" s="70"/>
      <c r="D40" s="71"/>
      <c r="E40" s="56"/>
      <c r="F40" s="56"/>
      <c r="G40" s="72"/>
      <c r="H40" s="72"/>
      <c r="I40" s="73"/>
      <c r="J40" s="73"/>
      <c r="K40" s="74"/>
      <c r="L40" s="75"/>
      <c r="M40" s="74"/>
    </row>
    <row r="41" spans="1:13" ht="90" customHeight="1">
      <c r="A41" s="17" t="s">
        <v>197</v>
      </c>
      <c r="B41" s="24" t="s">
        <v>100</v>
      </c>
      <c r="C41" s="25" t="s">
        <v>181</v>
      </c>
      <c r="D41" s="26" t="s">
        <v>198</v>
      </c>
      <c r="E41" s="27"/>
      <c r="F41" s="27"/>
      <c r="G41" s="28" t="s">
        <v>199</v>
      </c>
      <c r="H41" s="28" t="s">
        <v>104</v>
      </c>
      <c r="I41" s="29" t="s">
        <v>200</v>
      </c>
      <c r="J41" s="30" t="s">
        <v>106</v>
      </c>
      <c r="K41" s="31" t="s">
        <v>183</v>
      </c>
      <c r="L41" s="32" t="s">
        <v>201</v>
      </c>
      <c r="M41" s="33" t="s">
        <v>109</v>
      </c>
    </row>
    <row r="42" spans="1:13" ht="65.099999999999994" customHeight="1">
      <c r="A42" s="34" t="s">
        <v>202</v>
      </c>
      <c r="B42" s="35"/>
      <c r="C42" s="35"/>
      <c r="D42" s="36"/>
      <c r="E42" s="37" t="s">
        <v>203</v>
      </c>
      <c r="F42" s="36"/>
      <c r="G42" s="38"/>
      <c r="H42" s="38"/>
      <c r="I42" s="39"/>
      <c r="J42" s="39"/>
      <c r="K42" s="35"/>
      <c r="L42" s="35"/>
      <c r="M42" s="40" t="s">
        <v>112</v>
      </c>
    </row>
    <row r="43" spans="1:13" ht="60" customHeight="1">
      <c r="A43" s="41" t="s">
        <v>204</v>
      </c>
      <c r="B43" s="35"/>
      <c r="C43" s="35"/>
      <c r="D43" s="36"/>
      <c r="E43" s="36"/>
      <c r="F43" s="37" t="s">
        <v>205</v>
      </c>
      <c r="G43" s="38"/>
      <c r="H43" s="38"/>
      <c r="I43" s="39"/>
      <c r="J43" s="39"/>
      <c r="K43" s="35"/>
      <c r="L43" s="35"/>
      <c r="M43" s="41" t="s">
        <v>206</v>
      </c>
    </row>
    <row r="44" spans="1:13" ht="60" customHeight="1">
      <c r="A44" s="48" t="s">
        <v>207</v>
      </c>
      <c r="B44" s="49"/>
      <c r="C44" s="49"/>
      <c r="D44" s="50"/>
      <c r="E44" s="50"/>
      <c r="F44" s="51" t="s">
        <v>208</v>
      </c>
      <c r="G44" s="52"/>
      <c r="H44" s="52"/>
      <c r="I44" s="53"/>
      <c r="J44" s="53"/>
      <c r="K44" s="49"/>
      <c r="L44" s="49"/>
      <c r="M44" s="48" t="s">
        <v>126</v>
      </c>
    </row>
    <row r="45" spans="1:13" ht="5.0999999999999996" customHeight="1">
      <c r="A45" s="89"/>
      <c r="B45" s="90"/>
      <c r="C45" s="91"/>
      <c r="D45" s="56"/>
      <c r="E45" s="56"/>
      <c r="F45" s="56"/>
      <c r="G45" s="107"/>
      <c r="H45" s="108"/>
      <c r="I45" s="109"/>
      <c r="J45" s="95"/>
      <c r="K45" s="74"/>
      <c r="L45" s="75"/>
      <c r="M45" s="96"/>
    </row>
    <row r="46" spans="1:13" ht="90" customHeight="1">
      <c r="A46" s="17" t="s">
        <v>209</v>
      </c>
      <c r="B46" s="24" t="s">
        <v>210</v>
      </c>
      <c r="C46" s="25" t="s">
        <v>165</v>
      </c>
      <c r="D46" s="26" t="s">
        <v>211</v>
      </c>
      <c r="E46" s="27"/>
      <c r="F46" s="27"/>
      <c r="G46" s="28" t="s">
        <v>199</v>
      </c>
      <c r="H46" s="28" t="s">
        <v>104</v>
      </c>
      <c r="I46" s="29" t="s">
        <v>200</v>
      </c>
      <c r="J46" s="30" t="s">
        <v>106</v>
      </c>
      <c r="K46" s="31" t="s">
        <v>158</v>
      </c>
      <c r="L46" s="32" t="s">
        <v>212</v>
      </c>
      <c r="M46" s="33" t="s">
        <v>109</v>
      </c>
    </row>
    <row r="47" spans="1:13" ht="65.099999999999994" customHeight="1">
      <c r="A47" s="34" t="s">
        <v>213</v>
      </c>
      <c r="B47" s="35"/>
      <c r="C47" s="35"/>
      <c r="D47" s="36"/>
      <c r="E47" s="37" t="s">
        <v>214</v>
      </c>
      <c r="F47" s="36"/>
      <c r="G47" s="38"/>
      <c r="H47" s="38"/>
      <c r="I47" s="39"/>
      <c r="J47" s="39"/>
      <c r="K47" s="35"/>
      <c r="L47" s="35"/>
      <c r="M47" s="40" t="s">
        <v>112</v>
      </c>
    </row>
    <row r="48" spans="1:13" ht="60" customHeight="1">
      <c r="A48" s="63" t="s">
        <v>215</v>
      </c>
      <c r="B48" s="64"/>
      <c r="C48" s="64"/>
      <c r="D48" s="65"/>
      <c r="E48" s="65"/>
      <c r="F48" s="66" t="s">
        <v>216</v>
      </c>
      <c r="G48" s="67"/>
      <c r="H48" s="67"/>
      <c r="I48" s="68"/>
      <c r="J48" s="68"/>
      <c r="K48" s="64"/>
      <c r="L48" s="64"/>
      <c r="M48" s="63" t="s">
        <v>135</v>
      </c>
    </row>
    <row r="49" spans="1:13" ht="60" customHeight="1">
      <c r="A49" s="41" t="s">
        <v>217</v>
      </c>
      <c r="B49" s="35"/>
      <c r="C49" s="35"/>
      <c r="D49" s="36"/>
      <c r="E49" s="36"/>
      <c r="F49" s="37" t="s">
        <v>218</v>
      </c>
      <c r="G49" s="38"/>
      <c r="H49" s="38"/>
      <c r="I49" s="39"/>
      <c r="J49" s="39"/>
      <c r="K49" s="35"/>
      <c r="L49" s="35"/>
      <c r="M49" s="41" t="s">
        <v>115</v>
      </c>
    </row>
    <row r="50" spans="1:13" ht="5.0999999999999996" customHeight="1">
      <c r="A50" s="110"/>
      <c r="B50" s="111"/>
      <c r="C50" s="111"/>
      <c r="D50" s="71"/>
      <c r="E50" s="71"/>
      <c r="F50" s="56"/>
      <c r="G50" s="112"/>
      <c r="H50" s="112"/>
      <c r="I50" s="113"/>
      <c r="J50" s="113"/>
      <c r="K50" s="111"/>
      <c r="L50" s="110"/>
      <c r="M50" s="111"/>
    </row>
    <row r="51" spans="1:13" ht="90" customHeight="1">
      <c r="A51" s="17" t="s">
        <v>219</v>
      </c>
      <c r="B51" s="24" t="s">
        <v>210</v>
      </c>
      <c r="C51" s="25" t="s">
        <v>165</v>
      </c>
      <c r="D51" s="26" t="s">
        <v>220</v>
      </c>
      <c r="E51" s="27"/>
      <c r="F51" s="27"/>
      <c r="G51" s="28" t="s">
        <v>199</v>
      </c>
      <c r="H51" s="28" t="s">
        <v>104</v>
      </c>
      <c r="I51" s="29" t="s">
        <v>200</v>
      </c>
      <c r="J51" s="30" t="s">
        <v>106</v>
      </c>
      <c r="K51" s="31" t="s">
        <v>158</v>
      </c>
      <c r="L51" s="32" t="s">
        <v>212</v>
      </c>
      <c r="M51" s="33" t="s">
        <v>109</v>
      </c>
    </row>
    <row r="52" spans="1:13" ht="65.099999999999994" customHeight="1">
      <c r="A52" s="34" t="s">
        <v>221</v>
      </c>
      <c r="B52" s="35"/>
      <c r="C52" s="35"/>
      <c r="D52" s="36"/>
      <c r="E52" s="37" t="s">
        <v>222</v>
      </c>
      <c r="F52" s="36"/>
      <c r="G52" s="38"/>
      <c r="H52" s="38"/>
      <c r="I52" s="39"/>
      <c r="J52" s="39"/>
      <c r="K52" s="35"/>
      <c r="L52" s="35"/>
      <c r="M52" s="40" t="s">
        <v>112</v>
      </c>
    </row>
    <row r="53" spans="1:13" ht="60" customHeight="1">
      <c r="A53" s="41" t="s">
        <v>223</v>
      </c>
      <c r="B53" s="35"/>
      <c r="C53" s="35"/>
      <c r="D53" s="36"/>
      <c r="E53" s="36"/>
      <c r="F53" s="37" t="s">
        <v>224</v>
      </c>
      <c r="G53" s="38"/>
      <c r="H53" s="38"/>
      <c r="I53" s="39"/>
      <c r="J53" s="39"/>
      <c r="K53" s="35"/>
      <c r="L53" s="35"/>
      <c r="M53" s="41" t="s">
        <v>115</v>
      </c>
    </row>
    <row r="54" spans="1:13" ht="60" customHeight="1">
      <c r="A54" s="101" t="s">
        <v>225</v>
      </c>
      <c r="B54" s="102"/>
      <c r="C54" s="102"/>
      <c r="D54" s="103"/>
      <c r="E54" s="103"/>
      <c r="F54" s="104" t="s">
        <v>226</v>
      </c>
      <c r="G54" s="105"/>
      <c r="H54" s="105"/>
      <c r="I54" s="106"/>
      <c r="J54" s="106"/>
      <c r="K54" s="102"/>
      <c r="L54" s="102"/>
      <c r="M54" s="101" t="s">
        <v>227</v>
      </c>
    </row>
    <row r="55" spans="1:13" ht="5.0999999999999996" customHeight="1">
      <c r="A55" s="82"/>
      <c r="B55" s="83"/>
      <c r="C55" s="83"/>
      <c r="D55" s="71"/>
      <c r="E55" s="71"/>
      <c r="F55" s="56"/>
      <c r="G55" s="84"/>
      <c r="H55" s="84"/>
      <c r="I55" s="85"/>
      <c r="J55" s="85"/>
      <c r="K55" s="83"/>
      <c r="L55" s="82"/>
      <c r="M55" s="83"/>
    </row>
    <row r="56" spans="1:13" ht="90" customHeight="1">
      <c r="A56" s="17" t="s">
        <v>228</v>
      </c>
      <c r="B56" s="24" t="s">
        <v>210</v>
      </c>
      <c r="C56" s="25" t="s">
        <v>165</v>
      </c>
      <c r="D56" s="26" t="s">
        <v>229</v>
      </c>
      <c r="E56" s="27"/>
      <c r="F56" s="27"/>
      <c r="G56" s="28" t="s">
        <v>154</v>
      </c>
      <c r="H56" s="28" t="s">
        <v>167</v>
      </c>
      <c r="I56" s="29" t="s">
        <v>230</v>
      </c>
      <c r="J56" s="30" t="s">
        <v>106</v>
      </c>
      <c r="K56" s="31" t="s">
        <v>158</v>
      </c>
      <c r="L56" s="32" t="s">
        <v>231</v>
      </c>
      <c r="M56" s="33" t="s">
        <v>109</v>
      </c>
    </row>
    <row r="57" spans="1:13" ht="65.099999999999994" customHeight="1">
      <c r="A57" s="34" t="s">
        <v>232</v>
      </c>
      <c r="B57" s="35"/>
      <c r="C57" s="35"/>
      <c r="D57" s="36"/>
      <c r="E57" s="37" t="s">
        <v>233</v>
      </c>
      <c r="F57" s="36"/>
      <c r="G57" s="38"/>
      <c r="H57" s="38"/>
      <c r="I57" s="39"/>
      <c r="J57" s="39"/>
      <c r="K57" s="35"/>
      <c r="L57" s="35"/>
      <c r="M57" s="40" t="s">
        <v>112</v>
      </c>
    </row>
    <row r="58" spans="1:13" ht="60" customHeight="1">
      <c r="A58" s="63" t="s">
        <v>234</v>
      </c>
      <c r="B58" s="64"/>
      <c r="C58" s="64"/>
      <c r="D58" s="65"/>
      <c r="E58" s="65"/>
      <c r="F58" s="66" t="s">
        <v>235</v>
      </c>
      <c r="G58" s="67"/>
      <c r="H58" s="67"/>
      <c r="I58" s="68"/>
      <c r="J58" s="68"/>
      <c r="K58" s="64"/>
      <c r="L58" s="64"/>
      <c r="M58" s="63" t="s">
        <v>135</v>
      </c>
    </row>
    <row r="59" spans="1:13" ht="5.0999999999999996" customHeight="1">
      <c r="A59" s="69"/>
      <c r="B59" s="70"/>
      <c r="C59" s="70"/>
      <c r="D59" s="71"/>
      <c r="E59" s="56"/>
      <c r="F59" s="56"/>
      <c r="G59" s="72"/>
      <c r="H59" s="72"/>
      <c r="I59" s="73"/>
      <c r="J59" s="73"/>
      <c r="K59" s="74"/>
      <c r="L59" s="75"/>
      <c r="M59" s="74"/>
    </row>
    <row r="60" spans="1:13" ht="90" customHeight="1">
      <c r="A60" s="17" t="s">
        <v>236</v>
      </c>
      <c r="B60" s="24" t="s">
        <v>100</v>
      </c>
      <c r="C60" s="25" t="s">
        <v>237</v>
      </c>
      <c r="D60" s="26" t="s">
        <v>238</v>
      </c>
      <c r="E60" s="27"/>
      <c r="F60" s="27"/>
      <c r="G60" s="28" t="s">
        <v>154</v>
      </c>
      <c r="H60" s="28" t="s">
        <v>104</v>
      </c>
      <c r="I60" s="29" t="s">
        <v>239</v>
      </c>
      <c r="J60" s="30" t="s">
        <v>106</v>
      </c>
      <c r="K60" s="31" t="s">
        <v>240</v>
      </c>
      <c r="L60" s="32" t="s">
        <v>241</v>
      </c>
      <c r="M60" s="33" t="s">
        <v>109</v>
      </c>
    </row>
    <row r="61" spans="1:13" ht="65.099999999999994" customHeight="1">
      <c r="A61" s="34" t="s">
        <v>242</v>
      </c>
      <c r="B61" s="35"/>
      <c r="C61" s="35"/>
      <c r="D61" s="36"/>
      <c r="E61" s="37" t="s">
        <v>243</v>
      </c>
      <c r="F61" s="36"/>
      <c r="G61" s="38"/>
      <c r="H61" s="38"/>
      <c r="I61" s="39"/>
      <c r="J61" s="39"/>
      <c r="K61" s="35"/>
      <c r="L61" s="35"/>
      <c r="M61" s="40" t="s">
        <v>112</v>
      </c>
    </row>
    <row r="62" spans="1:13" ht="60" customHeight="1">
      <c r="A62" s="63" t="s">
        <v>244</v>
      </c>
      <c r="B62" s="64"/>
      <c r="C62" s="64"/>
      <c r="D62" s="65"/>
      <c r="E62" s="65"/>
      <c r="F62" s="66" t="s">
        <v>245</v>
      </c>
      <c r="G62" s="67"/>
      <c r="H62" s="67"/>
      <c r="I62" s="68"/>
      <c r="J62" s="68"/>
      <c r="K62" s="64"/>
      <c r="L62" s="64"/>
      <c r="M62" s="63" t="s">
        <v>135</v>
      </c>
    </row>
    <row r="63" spans="1:13" ht="60" customHeight="1">
      <c r="A63" s="41" t="s">
        <v>246</v>
      </c>
      <c r="B63" s="35"/>
      <c r="C63" s="35"/>
      <c r="D63" s="36"/>
      <c r="E63" s="36"/>
      <c r="F63" s="37" t="s">
        <v>247</v>
      </c>
      <c r="G63" s="38"/>
      <c r="H63" s="38"/>
      <c r="I63" s="39"/>
      <c r="J63" s="39"/>
      <c r="K63" s="35"/>
      <c r="L63" s="35"/>
      <c r="M63" s="41" t="s">
        <v>206</v>
      </c>
    </row>
    <row r="64" spans="1:13" ht="65.099999999999994" customHeight="1">
      <c r="A64" s="34" t="s">
        <v>248</v>
      </c>
      <c r="B64" s="35"/>
      <c r="C64" s="35"/>
      <c r="D64" s="36"/>
      <c r="E64" s="37" t="s">
        <v>249</v>
      </c>
      <c r="F64" s="36"/>
      <c r="G64" s="38"/>
      <c r="H64" s="38"/>
      <c r="I64" s="39"/>
      <c r="J64" s="39"/>
      <c r="K64" s="35"/>
      <c r="L64" s="35"/>
      <c r="M64" s="40" t="s">
        <v>112</v>
      </c>
    </row>
    <row r="65" spans="1:13" ht="60" customHeight="1">
      <c r="A65" s="48" t="s">
        <v>250</v>
      </c>
      <c r="B65" s="49"/>
      <c r="C65" s="49"/>
      <c r="D65" s="50"/>
      <c r="E65" s="50"/>
      <c r="F65" s="51" t="s">
        <v>251</v>
      </c>
      <c r="G65" s="52"/>
      <c r="H65" s="52"/>
      <c r="I65" s="53"/>
      <c r="J65" s="53"/>
      <c r="K65" s="49"/>
      <c r="L65" s="49"/>
      <c r="M65" s="48" t="s">
        <v>252</v>
      </c>
    </row>
    <row r="66" spans="1:13" ht="5.0999999999999996" customHeight="1">
      <c r="A66" s="82"/>
      <c r="B66" s="83"/>
      <c r="C66" s="83"/>
      <c r="D66" s="71"/>
      <c r="E66" s="71"/>
      <c r="F66" s="56"/>
      <c r="G66" s="84"/>
      <c r="H66" s="84"/>
      <c r="I66" s="85"/>
      <c r="J66" s="85"/>
      <c r="K66" s="83"/>
      <c r="L66" s="82"/>
      <c r="M66" s="83"/>
    </row>
    <row r="67" spans="1:13" ht="90" customHeight="1">
      <c r="A67" s="17" t="s">
        <v>253</v>
      </c>
      <c r="B67" s="24" t="s">
        <v>254</v>
      </c>
      <c r="C67" s="25" t="s">
        <v>255</v>
      </c>
      <c r="D67" s="26" t="s">
        <v>256</v>
      </c>
      <c r="E67" s="27"/>
      <c r="F67" s="27"/>
      <c r="G67" s="28" t="s">
        <v>199</v>
      </c>
      <c r="H67" s="28" t="s">
        <v>104</v>
      </c>
      <c r="I67" s="29" t="s">
        <v>200</v>
      </c>
      <c r="J67" s="30" t="s">
        <v>106</v>
      </c>
      <c r="K67" s="31" t="s">
        <v>257</v>
      </c>
      <c r="L67" s="32" t="s">
        <v>258</v>
      </c>
      <c r="M67" s="33" t="s">
        <v>109</v>
      </c>
    </row>
    <row r="68" spans="1:13" ht="65.099999999999994" customHeight="1">
      <c r="A68" s="34" t="s">
        <v>259</v>
      </c>
      <c r="B68" s="35"/>
      <c r="C68" s="35"/>
      <c r="D68" s="36"/>
      <c r="E68" s="37" t="s">
        <v>260</v>
      </c>
      <c r="F68" s="36"/>
      <c r="G68" s="38"/>
      <c r="H68" s="38"/>
      <c r="I68" s="39"/>
      <c r="J68" s="39"/>
      <c r="K68" s="35"/>
      <c r="L68" s="35"/>
      <c r="M68" s="40" t="s">
        <v>112</v>
      </c>
    </row>
    <row r="69" spans="1:13" ht="60" customHeight="1">
      <c r="A69" s="76" t="s">
        <v>261</v>
      </c>
      <c r="B69" s="77"/>
      <c r="C69" s="77"/>
      <c r="D69" s="78"/>
      <c r="E69" s="78"/>
      <c r="F69" s="79" t="s">
        <v>262</v>
      </c>
      <c r="G69" s="80"/>
      <c r="H69" s="80"/>
      <c r="I69" s="81"/>
      <c r="J69" s="81"/>
      <c r="K69" s="77"/>
      <c r="L69" s="77"/>
      <c r="M69" s="76" t="s">
        <v>263</v>
      </c>
    </row>
    <row r="70" spans="1:13" ht="60" customHeight="1">
      <c r="A70" s="63" t="s">
        <v>264</v>
      </c>
      <c r="B70" s="64"/>
      <c r="C70" s="64"/>
      <c r="D70" s="65"/>
      <c r="E70" s="65"/>
      <c r="F70" s="66" t="s">
        <v>265</v>
      </c>
      <c r="G70" s="67"/>
      <c r="H70" s="67"/>
      <c r="I70" s="68"/>
      <c r="J70" s="68"/>
      <c r="K70" s="64"/>
      <c r="L70" s="64"/>
      <c r="M70" s="63" t="s">
        <v>138</v>
      </c>
    </row>
    <row r="71" spans="1:13" ht="60" customHeight="1">
      <c r="A71" s="48" t="s">
        <v>266</v>
      </c>
      <c r="B71" s="49"/>
      <c r="C71" s="49"/>
      <c r="D71" s="50"/>
      <c r="E71" s="50"/>
      <c r="F71" s="51" t="s">
        <v>267</v>
      </c>
      <c r="G71" s="52"/>
      <c r="H71" s="52"/>
      <c r="I71" s="53"/>
      <c r="J71" s="53"/>
      <c r="K71" s="49"/>
      <c r="L71" s="49"/>
      <c r="M71" s="48" t="s">
        <v>268</v>
      </c>
    </row>
    <row r="72" spans="1:13" ht="5.0999999999999996" customHeight="1">
      <c r="A72" s="110"/>
      <c r="B72" s="111"/>
      <c r="C72" s="111"/>
      <c r="D72" s="71"/>
      <c r="E72" s="71"/>
      <c r="F72" s="56"/>
      <c r="G72" s="112"/>
      <c r="H72" s="112"/>
      <c r="I72" s="113"/>
      <c r="J72" s="113"/>
      <c r="K72" s="111"/>
      <c r="L72" s="110"/>
      <c r="M72" s="111"/>
    </row>
    <row r="73" spans="1:13" ht="90" customHeight="1">
      <c r="A73" s="17" t="s">
        <v>269</v>
      </c>
      <c r="B73" s="24" t="s">
        <v>270</v>
      </c>
      <c r="C73" s="25" t="s">
        <v>255</v>
      </c>
      <c r="D73" s="26" t="s">
        <v>271</v>
      </c>
      <c r="E73" s="27"/>
      <c r="F73" s="27"/>
      <c r="G73" s="28" t="s">
        <v>199</v>
      </c>
      <c r="H73" s="28" t="s">
        <v>155</v>
      </c>
      <c r="I73" s="29" t="s">
        <v>272</v>
      </c>
      <c r="J73" s="30" t="s">
        <v>106</v>
      </c>
      <c r="K73" s="31" t="s">
        <v>273</v>
      </c>
      <c r="L73" s="32" t="s">
        <v>274</v>
      </c>
      <c r="M73" s="33" t="s">
        <v>109</v>
      </c>
    </row>
    <row r="74" spans="1:13" ht="65.099999999999994" customHeight="1">
      <c r="A74" s="34" t="s">
        <v>275</v>
      </c>
      <c r="B74" s="35"/>
      <c r="C74" s="35"/>
      <c r="D74" s="36"/>
      <c r="E74" s="37" t="s">
        <v>276</v>
      </c>
      <c r="F74" s="36"/>
      <c r="G74" s="38"/>
      <c r="H74" s="38"/>
      <c r="I74" s="39"/>
      <c r="J74" s="39"/>
      <c r="K74" s="35"/>
      <c r="L74" s="35"/>
      <c r="M74" s="40" t="s">
        <v>112</v>
      </c>
    </row>
    <row r="75" spans="1:13" ht="60" customHeight="1">
      <c r="A75" s="63" t="s">
        <v>277</v>
      </c>
      <c r="B75" s="64"/>
      <c r="C75" s="64"/>
      <c r="D75" s="65"/>
      <c r="E75" s="65"/>
      <c r="F75" s="66" t="s">
        <v>278</v>
      </c>
      <c r="G75" s="67"/>
      <c r="H75" s="67"/>
      <c r="I75" s="68"/>
      <c r="J75" s="68"/>
      <c r="K75" s="64"/>
      <c r="L75" s="64"/>
      <c r="M75" s="63" t="s">
        <v>138</v>
      </c>
    </row>
    <row r="76" spans="1:13" ht="60" customHeight="1">
      <c r="A76" s="48" t="s">
        <v>279</v>
      </c>
      <c r="B76" s="49"/>
      <c r="C76" s="49"/>
      <c r="D76" s="50"/>
      <c r="E76" s="50"/>
      <c r="F76" s="51" t="s">
        <v>280</v>
      </c>
      <c r="G76" s="52"/>
      <c r="H76" s="52"/>
      <c r="I76" s="53"/>
      <c r="J76" s="53"/>
      <c r="K76" s="49"/>
      <c r="L76" s="49"/>
      <c r="M76" s="48" t="s">
        <v>126</v>
      </c>
    </row>
    <row r="77" spans="1:13" ht="5.0999999999999996" customHeight="1">
      <c r="A77" s="114"/>
      <c r="B77" s="70"/>
      <c r="C77" s="70"/>
      <c r="D77" s="71"/>
      <c r="E77" s="71"/>
      <c r="F77" s="56"/>
      <c r="G77" s="115"/>
      <c r="H77" s="115"/>
      <c r="I77" s="116"/>
      <c r="J77" s="116"/>
      <c r="K77" s="70"/>
      <c r="L77" s="114"/>
      <c r="M77" s="70"/>
    </row>
    <row r="78" spans="1:13" ht="90" customHeight="1">
      <c r="A78" s="17" t="s">
        <v>281</v>
      </c>
      <c r="B78" s="24" t="s">
        <v>282</v>
      </c>
      <c r="C78" s="25" t="s">
        <v>283</v>
      </c>
      <c r="D78" s="26" t="s">
        <v>284</v>
      </c>
      <c r="E78" s="27"/>
      <c r="F78" s="27"/>
      <c r="G78" s="28" t="s">
        <v>154</v>
      </c>
      <c r="H78" s="28" t="s">
        <v>104</v>
      </c>
      <c r="I78" s="29" t="s">
        <v>239</v>
      </c>
      <c r="J78" s="30" t="s">
        <v>106</v>
      </c>
      <c r="K78" s="31" t="s">
        <v>285</v>
      </c>
      <c r="L78" s="32" t="s">
        <v>286</v>
      </c>
      <c r="M78" s="33" t="s">
        <v>109</v>
      </c>
    </row>
    <row r="79" spans="1:13" ht="65.099999999999994" customHeight="1">
      <c r="A79" s="34" t="s">
        <v>287</v>
      </c>
      <c r="B79" s="35"/>
      <c r="C79" s="35"/>
      <c r="D79" s="36"/>
      <c r="E79" s="37" t="s">
        <v>288</v>
      </c>
      <c r="F79" s="36"/>
      <c r="G79" s="38"/>
      <c r="H79" s="38"/>
      <c r="I79" s="39"/>
      <c r="J79" s="39"/>
      <c r="K79" s="35"/>
      <c r="L79" s="35"/>
      <c r="M79" s="40" t="s">
        <v>112</v>
      </c>
    </row>
    <row r="80" spans="1:13" ht="60" customHeight="1">
      <c r="A80" s="63" t="s">
        <v>289</v>
      </c>
      <c r="B80" s="64"/>
      <c r="C80" s="64"/>
      <c r="D80" s="65"/>
      <c r="E80" s="65"/>
      <c r="F80" s="66" t="s">
        <v>290</v>
      </c>
      <c r="G80" s="67"/>
      <c r="H80" s="67"/>
      <c r="I80" s="68"/>
      <c r="J80" s="68"/>
      <c r="K80" s="64"/>
      <c r="L80" s="64"/>
      <c r="M80" s="63" t="s">
        <v>135</v>
      </c>
    </row>
    <row r="81" spans="1:13" ht="60" customHeight="1">
      <c r="A81" s="63" t="s">
        <v>291</v>
      </c>
      <c r="B81" s="64"/>
      <c r="C81" s="64"/>
      <c r="D81" s="65"/>
      <c r="E81" s="65"/>
      <c r="F81" s="66" t="s">
        <v>292</v>
      </c>
      <c r="G81" s="67"/>
      <c r="H81" s="67"/>
      <c r="I81" s="68"/>
      <c r="J81" s="68"/>
      <c r="K81" s="64"/>
      <c r="L81" s="64"/>
      <c r="M81" s="63" t="s">
        <v>138</v>
      </c>
    </row>
    <row r="82" spans="1:13" ht="5.0999999999999996" customHeight="1">
      <c r="A82" s="114"/>
      <c r="B82" s="70"/>
      <c r="C82" s="70"/>
      <c r="D82" s="71"/>
      <c r="E82" s="71"/>
      <c r="F82" s="56"/>
      <c r="G82" s="115"/>
      <c r="H82" s="115"/>
      <c r="I82" s="116"/>
      <c r="J82" s="116"/>
      <c r="K82" s="70"/>
      <c r="L82" s="114"/>
      <c r="M82" s="70"/>
    </row>
    <row r="83" spans="1:13" ht="90" customHeight="1">
      <c r="A83" s="17" t="s">
        <v>293</v>
      </c>
      <c r="B83" s="24" t="s">
        <v>282</v>
      </c>
      <c r="C83" s="25" t="s">
        <v>181</v>
      </c>
      <c r="D83" s="26" t="s">
        <v>294</v>
      </c>
      <c r="E83" s="27"/>
      <c r="F83" s="27"/>
      <c r="G83" s="28" t="s">
        <v>154</v>
      </c>
      <c r="H83" s="28" t="s">
        <v>104</v>
      </c>
      <c r="I83" s="29" t="s">
        <v>239</v>
      </c>
      <c r="J83" s="30" t="s">
        <v>106</v>
      </c>
      <c r="K83" s="31" t="s">
        <v>295</v>
      </c>
      <c r="L83" s="32" t="s">
        <v>296</v>
      </c>
      <c r="M83" s="33" t="s">
        <v>109</v>
      </c>
    </row>
    <row r="84" spans="1:13" ht="65.099999999999994" customHeight="1">
      <c r="A84" s="34" t="s">
        <v>297</v>
      </c>
      <c r="B84" s="35"/>
      <c r="C84" s="35"/>
      <c r="D84" s="36"/>
      <c r="E84" s="37" t="s">
        <v>298</v>
      </c>
      <c r="F84" s="36"/>
      <c r="G84" s="38"/>
      <c r="H84" s="38"/>
      <c r="I84" s="39"/>
      <c r="J84" s="39"/>
      <c r="K84" s="35"/>
      <c r="L84" s="35"/>
      <c r="M84" s="40" t="s">
        <v>112</v>
      </c>
    </row>
    <row r="85" spans="1:13" ht="60" customHeight="1">
      <c r="A85" s="63" t="s">
        <v>299</v>
      </c>
      <c r="B85" s="64"/>
      <c r="C85" s="64"/>
      <c r="D85" s="65"/>
      <c r="E85" s="65"/>
      <c r="F85" s="66" t="s">
        <v>300</v>
      </c>
      <c r="G85" s="67"/>
      <c r="H85" s="67"/>
      <c r="I85" s="68"/>
      <c r="J85" s="68"/>
      <c r="K85" s="64"/>
      <c r="L85" s="64"/>
      <c r="M85" s="63" t="s">
        <v>138</v>
      </c>
    </row>
    <row r="86" spans="1:13" ht="60" customHeight="1">
      <c r="A86" s="41" t="s">
        <v>301</v>
      </c>
      <c r="B86" s="35"/>
      <c r="C86" s="35"/>
      <c r="D86" s="36"/>
      <c r="E86" s="36"/>
      <c r="F86" s="37" t="s">
        <v>302</v>
      </c>
      <c r="G86" s="38"/>
      <c r="H86" s="38"/>
      <c r="I86" s="39"/>
      <c r="J86" s="39"/>
      <c r="K86" s="35"/>
      <c r="L86" s="35"/>
      <c r="M86" s="41" t="s">
        <v>206</v>
      </c>
    </row>
    <row r="87" spans="1:13" ht="60" customHeight="1">
      <c r="A87" s="48" t="s">
        <v>303</v>
      </c>
      <c r="B87" s="49"/>
      <c r="C87" s="49"/>
      <c r="D87" s="50"/>
      <c r="E87" s="50"/>
      <c r="F87" s="51" t="s">
        <v>304</v>
      </c>
      <c r="G87" s="52"/>
      <c r="H87" s="52"/>
      <c r="I87" s="53"/>
      <c r="J87" s="53"/>
      <c r="K87" s="49"/>
      <c r="L87" s="49"/>
      <c r="M87" s="48" t="s">
        <v>126</v>
      </c>
    </row>
    <row r="88" spans="1:13" ht="5.0999999999999996" customHeight="1">
      <c r="A88" s="62"/>
      <c r="B88" s="62"/>
      <c r="C88" s="62"/>
      <c r="D88" s="117"/>
      <c r="E88" s="117"/>
      <c r="F88" s="117"/>
      <c r="G88" s="62"/>
      <c r="H88" s="62"/>
      <c r="I88" s="118"/>
      <c r="J88" s="118"/>
      <c r="K88" s="62"/>
      <c r="L88" s="62"/>
      <c r="M88" s="62"/>
    </row>
    <row r="89" spans="1:13" ht="90" customHeight="1">
      <c r="A89" s="17" t="s">
        <v>305</v>
      </c>
      <c r="B89" s="24" t="s">
        <v>100</v>
      </c>
      <c r="C89" s="25" t="s">
        <v>181</v>
      </c>
      <c r="D89" s="26" t="s">
        <v>306</v>
      </c>
      <c r="E89" s="27"/>
      <c r="F89" s="27"/>
      <c r="G89" s="28" t="s">
        <v>154</v>
      </c>
      <c r="H89" s="28" t="s">
        <v>104</v>
      </c>
      <c r="I89" s="29" t="s">
        <v>239</v>
      </c>
      <c r="J89" s="30" t="s">
        <v>106</v>
      </c>
      <c r="K89" s="31" t="s">
        <v>240</v>
      </c>
      <c r="L89" s="32" t="s">
        <v>307</v>
      </c>
      <c r="M89" s="33" t="s">
        <v>109</v>
      </c>
    </row>
    <row r="90" spans="1:13" ht="65.099999999999994" customHeight="1">
      <c r="A90" s="34" t="s">
        <v>308</v>
      </c>
      <c r="B90" s="35"/>
      <c r="C90" s="35"/>
      <c r="D90" s="36"/>
      <c r="E90" s="37" t="s">
        <v>309</v>
      </c>
      <c r="F90" s="36"/>
      <c r="G90" s="38"/>
      <c r="H90" s="38"/>
      <c r="I90" s="39"/>
      <c r="J90" s="39"/>
      <c r="K90" s="35"/>
      <c r="L90" s="35"/>
      <c r="M90" s="40" t="s">
        <v>112</v>
      </c>
    </row>
    <row r="91" spans="1:13" ht="60" customHeight="1">
      <c r="A91" s="41" t="s">
        <v>310</v>
      </c>
      <c r="B91" s="35"/>
      <c r="C91" s="35"/>
      <c r="D91" s="36"/>
      <c r="E91" s="36"/>
      <c r="F91" s="37" t="s">
        <v>311</v>
      </c>
      <c r="G91" s="38"/>
      <c r="H91" s="38"/>
      <c r="I91" s="39"/>
      <c r="J91" s="39"/>
      <c r="K91" s="35"/>
      <c r="L91" s="35"/>
      <c r="M91" s="41" t="s">
        <v>115</v>
      </c>
    </row>
    <row r="92" spans="1:13" ht="60" customHeight="1">
      <c r="A92" s="41" t="s">
        <v>312</v>
      </c>
      <c r="B92" s="35"/>
      <c r="C92" s="35"/>
      <c r="D92" s="36"/>
      <c r="E92" s="36"/>
      <c r="F92" s="37" t="s">
        <v>313</v>
      </c>
      <c r="G92" s="38"/>
      <c r="H92" s="38"/>
      <c r="I92" s="39"/>
      <c r="J92" s="39"/>
      <c r="K92" s="35"/>
      <c r="L92" s="35"/>
      <c r="M92" s="41" t="s">
        <v>206</v>
      </c>
    </row>
    <row r="93" spans="1:13" ht="5.0999999999999996" customHeight="1">
      <c r="A93" s="62"/>
      <c r="B93" s="62"/>
      <c r="C93" s="62"/>
      <c r="D93" s="117"/>
      <c r="E93" s="117"/>
      <c r="F93" s="117"/>
      <c r="G93" s="62"/>
      <c r="H93" s="62"/>
      <c r="I93" s="118"/>
      <c r="J93" s="118"/>
      <c r="K93" s="62"/>
      <c r="L93" s="62"/>
      <c r="M93" s="62"/>
    </row>
    <row r="94" spans="1:13" ht="90" customHeight="1">
      <c r="A94" s="17" t="s">
        <v>314</v>
      </c>
      <c r="B94" s="24" t="s">
        <v>210</v>
      </c>
      <c r="C94" s="25" t="s">
        <v>255</v>
      </c>
      <c r="D94" s="26" t="s">
        <v>315</v>
      </c>
      <c r="E94" s="27"/>
      <c r="F94" s="27"/>
      <c r="G94" s="28" t="s">
        <v>154</v>
      </c>
      <c r="H94" s="28" t="s">
        <v>104</v>
      </c>
      <c r="I94" s="29" t="s">
        <v>239</v>
      </c>
      <c r="J94" s="30" t="s">
        <v>106</v>
      </c>
      <c r="K94" s="31" t="s">
        <v>183</v>
      </c>
      <c r="L94" s="32" t="s">
        <v>316</v>
      </c>
      <c r="M94" s="33" t="s">
        <v>109</v>
      </c>
    </row>
    <row r="95" spans="1:13" ht="65.099999999999994" customHeight="1">
      <c r="A95" s="34" t="s">
        <v>317</v>
      </c>
      <c r="B95" s="35"/>
      <c r="C95" s="35"/>
      <c r="D95" s="36"/>
      <c r="E95" s="37" t="s">
        <v>318</v>
      </c>
      <c r="F95" s="36"/>
      <c r="G95" s="38"/>
      <c r="H95" s="38"/>
      <c r="I95" s="39"/>
      <c r="J95" s="39"/>
      <c r="K95" s="35"/>
      <c r="L95" s="35"/>
      <c r="M95" s="40" t="s">
        <v>112</v>
      </c>
    </row>
    <row r="96" spans="1:13" ht="60" customHeight="1">
      <c r="A96" s="63" t="s">
        <v>319</v>
      </c>
      <c r="B96" s="64"/>
      <c r="C96" s="64"/>
      <c r="D96" s="65"/>
      <c r="E96" s="65"/>
      <c r="F96" s="66" t="s">
        <v>320</v>
      </c>
      <c r="G96" s="67"/>
      <c r="H96" s="67"/>
      <c r="I96" s="68"/>
      <c r="J96" s="68"/>
      <c r="K96" s="64"/>
      <c r="L96" s="64"/>
      <c r="M96" s="63" t="s">
        <v>138</v>
      </c>
    </row>
    <row r="97" spans="1:13" ht="60" customHeight="1">
      <c r="A97" s="41" t="s">
        <v>321</v>
      </c>
      <c r="B97" s="35"/>
      <c r="C97" s="35"/>
      <c r="D97" s="36"/>
      <c r="E97" s="36"/>
      <c r="F97" s="37" t="s">
        <v>322</v>
      </c>
      <c r="G97" s="38"/>
      <c r="H97" s="38"/>
      <c r="I97" s="39"/>
      <c r="J97" s="39"/>
      <c r="K97" s="35"/>
      <c r="L97" s="35"/>
      <c r="M97" s="41" t="s">
        <v>206</v>
      </c>
    </row>
    <row r="98" spans="1:13" ht="5.0999999999999996" customHeight="1">
      <c r="A98" s="62"/>
      <c r="B98" s="62"/>
      <c r="C98" s="62"/>
      <c r="D98" s="117"/>
      <c r="E98" s="117"/>
      <c r="F98" s="117"/>
      <c r="G98" s="62"/>
      <c r="H98" s="62"/>
      <c r="I98" s="118"/>
      <c r="J98" s="118"/>
      <c r="K98" s="62"/>
      <c r="L98" s="62"/>
      <c r="M98" s="62"/>
    </row>
    <row r="99" spans="1:13" ht="90" customHeight="1">
      <c r="A99" s="17" t="s">
        <v>323</v>
      </c>
      <c r="B99" s="24" t="s">
        <v>324</v>
      </c>
      <c r="C99" s="25" t="s">
        <v>101</v>
      </c>
      <c r="D99" s="26" t="s">
        <v>325</v>
      </c>
      <c r="E99" s="27"/>
      <c r="F99" s="27"/>
      <c r="G99" s="28" t="s">
        <v>154</v>
      </c>
      <c r="H99" s="28" t="s">
        <v>104</v>
      </c>
      <c r="I99" s="29" t="s">
        <v>239</v>
      </c>
      <c r="J99" s="30" t="s">
        <v>106</v>
      </c>
      <c r="K99" s="31" t="s">
        <v>326</v>
      </c>
      <c r="L99" s="32" t="s">
        <v>327</v>
      </c>
      <c r="M99" s="33" t="s">
        <v>109</v>
      </c>
    </row>
    <row r="100" spans="1:13" ht="65.099999999999994" customHeight="1">
      <c r="A100" s="34" t="s">
        <v>328</v>
      </c>
      <c r="B100" s="35"/>
      <c r="C100" s="35"/>
      <c r="D100" s="36"/>
      <c r="E100" s="37" t="s">
        <v>329</v>
      </c>
      <c r="F100" s="36"/>
      <c r="G100" s="38"/>
      <c r="H100" s="38"/>
      <c r="I100" s="39"/>
      <c r="J100" s="39"/>
      <c r="K100" s="35"/>
      <c r="L100" s="35"/>
      <c r="M100" s="40" t="s">
        <v>112</v>
      </c>
    </row>
    <row r="101" spans="1:13" ht="60" customHeight="1">
      <c r="A101" s="63" t="s">
        <v>330</v>
      </c>
      <c r="B101" s="64"/>
      <c r="C101" s="64"/>
      <c r="D101" s="65"/>
      <c r="E101" s="65"/>
      <c r="F101" s="66" t="s">
        <v>331</v>
      </c>
      <c r="G101" s="67"/>
      <c r="H101" s="67"/>
      <c r="I101" s="68"/>
      <c r="J101" s="68"/>
      <c r="K101" s="64"/>
      <c r="L101" s="64"/>
      <c r="M101" s="63" t="s">
        <v>138</v>
      </c>
    </row>
    <row r="102" spans="1:13" ht="60" customHeight="1">
      <c r="A102" s="48" t="s">
        <v>332</v>
      </c>
      <c r="B102" s="49"/>
      <c r="C102" s="49"/>
      <c r="D102" s="50"/>
      <c r="E102" s="50"/>
      <c r="F102" s="51" t="s">
        <v>333</v>
      </c>
      <c r="G102" s="52"/>
      <c r="H102" s="52"/>
      <c r="I102" s="53"/>
      <c r="J102" s="53"/>
      <c r="K102" s="49"/>
      <c r="L102" s="49"/>
      <c r="M102" s="48" t="s">
        <v>126</v>
      </c>
    </row>
    <row r="103" spans="1:13" ht="5.0999999999999996" customHeight="1">
      <c r="A103" s="89"/>
      <c r="B103" s="90"/>
      <c r="C103" s="91"/>
      <c r="D103" s="56"/>
      <c r="E103" s="56"/>
      <c r="F103" s="56"/>
      <c r="G103" s="119"/>
      <c r="H103" s="120"/>
      <c r="I103" s="121"/>
      <c r="J103" s="95"/>
      <c r="K103" s="74"/>
      <c r="L103" s="75"/>
      <c r="M103" s="96"/>
    </row>
    <row r="104" spans="1:13" ht="90" customHeight="1">
      <c r="A104" s="17" t="s">
        <v>334</v>
      </c>
      <c r="B104" s="24" t="s">
        <v>210</v>
      </c>
      <c r="C104" s="25" t="s">
        <v>237</v>
      </c>
      <c r="D104" s="26" t="s">
        <v>335</v>
      </c>
      <c r="E104" s="27"/>
      <c r="F104" s="27"/>
      <c r="G104" s="28" t="s">
        <v>103</v>
      </c>
      <c r="H104" s="28" t="s">
        <v>155</v>
      </c>
      <c r="I104" s="29" t="s">
        <v>336</v>
      </c>
      <c r="J104" s="30" t="s">
        <v>106</v>
      </c>
      <c r="K104" s="31" t="s">
        <v>169</v>
      </c>
      <c r="L104" s="32" t="s">
        <v>337</v>
      </c>
      <c r="M104" s="33" t="s">
        <v>109</v>
      </c>
    </row>
    <row r="105" spans="1:13" ht="65.099999999999994" customHeight="1">
      <c r="A105" s="34" t="s">
        <v>338</v>
      </c>
      <c r="B105" s="35"/>
      <c r="C105" s="35"/>
      <c r="D105" s="36"/>
      <c r="E105" s="37" t="s">
        <v>339</v>
      </c>
      <c r="F105" s="36"/>
      <c r="G105" s="38"/>
      <c r="H105" s="38"/>
      <c r="I105" s="39"/>
      <c r="J105" s="39"/>
      <c r="K105" s="35"/>
      <c r="L105" s="35"/>
      <c r="M105" s="40" t="s">
        <v>112</v>
      </c>
    </row>
    <row r="106" spans="1:13" ht="60" customHeight="1">
      <c r="A106" s="41" t="s">
        <v>340</v>
      </c>
      <c r="B106" s="35"/>
      <c r="C106" s="35"/>
      <c r="D106" s="36"/>
      <c r="E106" s="36"/>
      <c r="F106" s="37" t="s">
        <v>341</v>
      </c>
      <c r="G106" s="38"/>
      <c r="H106" s="38"/>
      <c r="I106" s="39"/>
      <c r="J106" s="39"/>
      <c r="K106" s="35"/>
      <c r="L106" s="35"/>
      <c r="M106" s="41" t="s">
        <v>191</v>
      </c>
    </row>
    <row r="107" spans="1:13" ht="60" customHeight="1">
      <c r="A107" s="76" t="s">
        <v>342</v>
      </c>
      <c r="B107" s="77"/>
      <c r="C107" s="77"/>
      <c r="D107" s="78"/>
      <c r="E107" s="78"/>
      <c r="F107" s="79" t="s">
        <v>343</v>
      </c>
      <c r="G107" s="80"/>
      <c r="H107" s="80"/>
      <c r="I107" s="81"/>
      <c r="J107" s="81"/>
      <c r="K107" s="77"/>
      <c r="L107" s="77"/>
      <c r="M107" s="76" t="s">
        <v>344</v>
      </c>
    </row>
    <row r="108" spans="1:13" ht="5.0999999999999996" customHeight="1">
      <c r="A108" s="89"/>
      <c r="B108" s="90"/>
      <c r="C108" s="91"/>
      <c r="D108" s="56"/>
      <c r="E108" s="56"/>
      <c r="F108" s="56"/>
      <c r="G108" s="107"/>
      <c r="H108" s="108"/>
      <c r="I108" s="109"/>
      <c r="J108" s="95"/>
      <c r="K108" s="74"/>
      <c r="L108" s="75"/>
      <c r="M108" s="96"/>
    </row>
    <row r="109" spans="1:13" ht="90" customHeight="1">
      <c r="A109" s="17" t="s">
        <v>345</v>
      </c>
      <c r="B109" s="24" t="s">
        <v>282</v>
      </c>
      <c r="C109" s="25" t="s">
        <v>181</v>
      </c>
      <c r="D109" s="26" t="s">
        <v>346</v>
      </c>
      <c r="E109" s="27"/>
      <c r="F109" s="27"/>
      <c r="G109" s="122" t="s">
        <v>347</v>
      </c>
      <c r="H109" s="122" t="s">
        <v>104</v>
      </c>
      <c r="I109" s="123" t="s">
        <v>348</v>
      </c>
      <c r="J109" s="124" t="s">
        <v>154</v>
      </c>
      <c r="K109" s="31" t="s">
        <v>349</v>
      </c>
      <c r="L109" s="32" t="s">
        <v>350</v>
      </c>
      <c r="M109" s="33" t="s">
        <v>109</v>
      </c>
    </row>
    <row r="110" spans="1:13" ht="65.099999999999994" customHeight="1">
      <c r="A110" s="34" t="s">
        <v>351</v>
      </c>
      <c r="B110" s="35"/>
      <c r="C110" s="35"/>
      <c r="D110" s="36"/>
      <c r="E110" s="37" t="s">
        <v>352</v>
      </c>
      <c r="F110" s="36"/>
      <c r="G110" s="38"/>
      <c r="H110" s="38"/>
      <c r="I110" s="39"/>
      <c r="J110" s="39"/>
      <c r="K110" s="35"/>
      <c r="L110" s="35"/>
      <c r="M110" s="40" t="s">
        <v>112</v>
      </c>
    </row>
    <row r="111" spans="1:13" ht="60" customHeight="1">
      <c r="A111" s="63" t="s">
        <v>353</v>
      </c>
      <c r="B111" s="64"/>
      <c r="C111" s="64"/>
      <c r="D111" s="65"/>
      <c r="E111" s="65"/>
      <c r="F111" s="66" t="s">
        <v>354</v>
      </c>
      <c r="G111" s="67"/>
      <c r="H111" s="67"/>
      <c r="I111" s="68"/>
      <c r="J111" s="68"/>
      <c r="K111" s="64"/>
      <c r="L111" s="64"/>
      <c r="M111" s="63" t="s">
        <v>138</v>
      </c>
    </row>
    <row r="112" spans="1:13" ht="60" customHeight="1">
      <c r="A112" s="41" t="s">
        <v>355</v>
      </c>
      <c r="B112" s="35"/>
      <c r="C112" s="35"/>
      <c r="D112" s="36"/>
      <c r="E112" s="36"/>
      <c r="F112" s="37" t="s">
        <v>356</v>
      </c>
      <c r="G112" s="38"/>
      <c r="H112" s="38"/>
      <c r="I112" s="39"/>
      <c r="J112" s="39"/>
      <c r="K112" s="35"/>
      <c r="L112" s="35"/>
      <c r="M112" s="41" t="s">
        <v>206</v>
      </c>
    </row>
    <row r="113" spans="1:13" ht="5.0999999999999996" customHeight="1">
      <c r="A113" s="62"/>
      <c r="B113" s="62"/>
      <c r="C113" s="62"/>
      <c r="D113" s="117"/>
      <c r="E113" s="117"/>
      <c r="F113" s="117"/>
      <c r="G113" s="62"/>
      <c r="H113" s="62"/>
      <c r="I113" s="118"/>
      <c r="J113" s="118"/>
      <c r="K113" s="62"/>
      <c r="L113" s="62"/>
      <c r="M113" s="62"/>
    </row>
    <row r="114" spans="1:13" ht="90" customHeight="1">
      <c r="A114" s="17" t="s">
        <v>357</v>
      </c>
      <c r="B114" s="24" t="s">
        <v>254</v>
      </c>
      <c r="C114" s="25" t="s">
        <v>237</v>
      </c>
      <c r="D114" s="26" t="s">
        <v>358</v>
      </c>
      <c r="E114" s="27"/>
      <c r="F114" s="27"/>
      <c r="G114" s="125" t="s">
        <v>347</v>
      </c>
      <c r="H114" s="125" t="s">
        <v>359</v>
      </c>
      <c r="I114" s="126" t="s">
        <v>360</v>
      </c>
      <c r="J114" s="127" t="s">
        <v>361</v>
      </c>
      <c r="K114" s="31" t="s">
        <v>257</v>
      </c>
      <c r="L114" s="32" t="s">
        <v>362</v>
      </c>
      <c r="M114" s="33" t="s">
        <v>109</v>
      </c>
    </row>
    <row r="115" spans="1:13" ht="65.099999999999994" customHeight="1">
      <c r="A115" s="34" t="s">
        <v>363</v>
      </c>
      <c r="B115" s="35"/>
      <c r="C115" s="35"/>
      <c r="D115" s="36"/>
      <c r="E115" s="37" t="s">
        <v>364</v>
      </c>
      <c r="F115" s="36"/>
      <c r="G115" s="38"/>
      <c r="H115" s="38"/>
      <c r="I115" s="39"/>
      <c r="J115" s="39"/>
      <c r="K115" s="35"/>
      <c r="L115" s="35"/>
      <c r="M115" s="40" t="s">
        <v>112</v>
      </c>
    </row>
    <row r="116" spans="1:13" ht="60" customHeight="1">
      <c r="A116" s="63" t="s">
        <v>365</v>
      </c>
      <c r="B116" s="64"/>
      <c r="C116" s="64"/>
      <c r="D116" s="65"/>
      <c r="E116" s="65"/>
      <c r="F116" s="66" t="s">
        <v>366</v>
      </c>
      <c r="G116" s="67"/>
      <c r="H116" s="67"/>
      <c r="I116" s="68"/>
      <c r="J116" s="68"/>
      <c r="K116" s="64"/>
      <c r="L116" s="64"/>
      <c r="M116" s="63" t="s">
        <v>135</v>
      </c>
    </row>
    <row r="117" spans="1:13" ht="5.0999999999999996" customHeight="1">
      <c r="A117" s="62"/>
      <c r="B117" s="62"/>
      <c r="C117" s="62"/>
      <c r="D117" s="117"/>
      <c r="E117" s="117"/>
      <c r="F117" s="117"/>
      <c r="G117" s="62"/>
      <c r="H117" s="62"/>
      <c r="I117" s="118"/>
      <c r="J117" s="118"/>
      <c r="K117" s="62"/>
      <c r="L117" s="62"/>
      <c r="M117" s="62"/>
    </row>
    <row r="118" spans="1:13" ht="90" customHeight="1">
      <c r="A118" s="17" t="s">
        <v>367</v>
      </c>
      <c r="B118" s="24" t="s">
        <v>100</v>
      </c>
      <c r="C118" s="25" t="s">
        <v>283</v>
      </c>
      <c r="D118" s="26" t="s">
        <v>368</v>
      </c>
      <c r="E118" s="27"/>
      <c r="F118" s="27"/>
      <c r="G118" s="122" t="s">
        <v>347</v>
      </c>
      <c r="H118" s="122" t="s">
        <v>104</v>
      </c>
      <c r="I118" s="123" t="s">
        <v>348</v>
      </c>
      <c r="J118" s="124" t="s">
        <v>154</v>
      </c>
      <c r="K118" s="31" t="s">
        <v>183</v>
      </c>
      <c r="L118" s="32" t="s">
        <v>369</v>
      </c>
      <c r="M118" s="33" t="s">
        <v>109</v>
      </c>
    </row>
    <row r="119" spans="1:13" ht="65.099999999999994" customHeight="1">
      <c r="A119" s="34" t="s">
        <v>370</v>
      </c>
      <c r="B119" s="35"/>
      <c r="C119" s="35"/>
      <c r="D119" s="36"/>
      <c r="E119" s="37" t="s">
        <v>371</v>
      </c>
      <c r="F119" s="36"/>
      <c r="G119" s="38"/>
      <c r="H119" s="38"/>
      <c r="I119" s="39"/>
      <c r="J119" s="39"/>
      <c r="K119" s="35"/>
      <c r="L119" s="35"/>
      <c r="M119" s="40" t="s">
        <v>112</v>
      </c>
    </row>
    <row r="120" spans="1:13" ht="60" customHeight="1">
      <c r="A120" s="41" t="s">
        <v>372</v>
      </c>
      <c r="B120" s="35"/>
      <c r="C120" s="35"/>
      <c r="D120" s="36"/>
      <c r="E120" s="36"/>
      <c r="F120" s="37" t="s">
        <v>373</v>
      </c>
      <c r="G120" s="38"/>
      <c r="H120" s="38"/>
      <c r="I120" s="39"/>
      <c r="J120" s="39"/>
      <c r="K120" s="35"/>
      <c r="L120" s="35"/>
      <c r="M120" s="41" t="s">
        <v>206</v>
      </c>
    </row>
    <row r="121" spans="1:13" ht="60" customHeight="1">
      <c r="A121" s="48" t="s">
        <v>374</v>
      </c>
      <c r="B121" s="49"/>
      <c r="C121" s="49"/>
      <c r="D121" s="50"/>
      <c r="E121" s="50"/>
      <c r="F121" s="51" t="s">
        <v>375</v>
      </c>
      <c r="G121" s="52"/>
      <c r="H121" s="52"/>
      <c r="I121" s="53"/>
      <c r="J121" s="53"/>
      <c r="K121" s="49"/>
      <c r="L121" s="49"/>
      <c r="M121" s="48" t="s">
        <v>126</v>
      </c>
    </row>
    <row r="122" spans="1:13" ht="5.0999999999999996" customHeight="1">
      <c r="A122" s="62"/>
      <c r="B122" s="62"/>
      <c r="C122" s="62"/>
      <c r="D122" s="117"/>
      <c r="E122" s="117"/>
      <c r="F122" s="117"/>
      <c r="G122" s="62"/>
      <c r="H122" s="62"/>
      <c r="I122" s="118"/>
      <c r="J122" s="118"/>
      <c r="K122" s="62"/>
      <c r="L122" s="62"/>
      <c r="M122" s="62"/>
    </row>
    <row r="123" spans="1:13" ht="90" customHeight="1">
      <c r="A123" s="17" t="s">
        <v>376</v>
      </c>
      <c r="B123" s="24" t="s">
        <v>270</v>
      </c>
      <c r="C123" s="25" t="s">
        <v>181</v>
      </c>
      <c r="D123" s="26" t="s">
        <v>377</v>
      </c>
      <c r="E123" s="27"/>
      <c r="F123" s="27"/>
      <c r="G123" s="28" t="s">
        <v>199</v>
      </c>
      <c r="H123" s="28" t="s">
        <v>104</v>
      </c>
      <c r="I123" s="29" t="s">
        <v>200</v>
      </c>
      <c r="J123" s="30" t="s">
        <v>106</v>
      </c>
      <c r="K123" s="31" t="s">
        <v>183</v>
      </c>
      <c r="L123" s="32" t="s">
        <v>378</v>
      </c>
      <c r="M123" s="33" t="s">
        <v>109</v>
      </c>
    </row>
    <row r="124" spans="1:13" ht="65.099999999999994" customHeight="1">
      <c r="A124" s="34" t="s">
        <v>379</v>
      </c>
      <c r="B124" s="35"/>
      <c r="C124" s="35"/>
      <c r="D124" s="36"/>
      <c r="E124" s="37" t="s">
        <v>380</v>
      </c>
      <c r="F124" s="36"/>
      <c r="G124" s="38"/>
      <c r="H124" s="38"/>
      <c r="I124" s="39"/>
      <c r="J124" s="39"/>
      <c r="K124" s="35"/>
      <c r="L124" s="35"/>
      <c r="M124" s="40" t="s">
        <v>112</v>
      </c>
    </row>
    <row r="125" spans="1:13" ht="60" customHeight="1">
      <c r="A125" s="42" t="s">
        <v>381</v>
      </c>
      <c r="B125" s="43"/>
      <c r="C125" s="43"/>
      <c r="D125" s="44"/>
      <c r="E125" s="44"/>
      <c r="F125" s="45" t="s">
        <v>382</v>
      </c>
      <c r="G125" s="46"/>
      <c r="H125" s="46"/>
      <c r="I125" s="47"/>
      <c r="J125" s="47"/>
      <c r="K125" s="43"/>
      <c r="L125" s="43"/>
      <c r="M125" s="42" t="s">
        <v>123</v>
      </c>
    </row>
    <row r="126" spans="1:13" ht="60" customHeight="1">
      <c r="A126" s="41" t="s">
        <v>383</v>
      </c>
      <c r="B126" s="35"/>
      <c r="C126" s="35"/>
      <c r="D126" s="36"/>
      <c r="E126" s="36"/>
      <c r="F126" s="37" t="s">
        <v>384</v>
      </c>
      <c r="G126" s="38"/>
      <c r="H126" s="38"/>
      <c r="I126" s="39"/>
      <c r="J126" s="39"/>
      <c r="K126" s="35"/>
      <c r="L126" s="35"/>
      <c r="M126" s="41" t="s">
        <v>115</v>
      </c>
    </row>
    <row r="127" spans="1:13" ht="5.0999999999999996" customHeight="1">
      <c r="A127" s="62"/>
      <c r="B127" s="62"/>
      <c r="C127" s="62"/>
      <c r="D127" s="117"/>
      <c r="E127" s="117"/>
      <c r="F127" s="117"/>
      <c r="G127" s="62"/>
      <c r="H127" s="62"/>
      <c r="I127" s="118"/>
      <c r="J127" s="118"/>
      <c r="K127" s="62"/>
      <c r="L127" s="62"/>
      <c r="M127" s="62"/>
    </row>
  </sheetData>
  <autoFilter ref="A3:K3" xr:uid="{00000000-0009-0000-0000-000002000000}"/>
  <mergeCells count="2">
    <mergeCell ref="A2:M2"/>
    <mergeCell ref="A1:M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9BFB1-A6BB-4FC9-83A3-94D63AEFF5B0}">
  <dimension ref="A1:N22"/>
  <sheetViews>
    <sheetView workbookViewId="0"/>
  </sheetViews>
  <sheetFormatPr defaultRowHeight="15"/>
  <sheetData>
    <row r="1" spans="1:14" ht="18">
      <c r="A1" s="294" t="s">
        <v>385</v>
      </c>
      <c r="B1" s="294"/>
      <c r="C1" s="294"/>
      <c r="D1" s="294"/>
      <c r="E1" s="294"/>
      <c r="F1" s="294"/>
      <c r="G1" s="294"/>
      <c r="H1" s="294"/>
      <c r="I1" s="294"/>
      <c r="J1" s="294"/>
      <c r="K1" s="294"/>
      <c r="L1" s="294"/>
      <c r="M1" s="294"/>
      <c r="N1" s="294"/>
    </row>
    <row r="2" spans="1:14">
      <c r="A2" s="196"/>
      <c r="B2" s="196"/>
      <c r="C2" s="196"/>
      <c r="D2" s="196"/>
      <c r="E2" s="196"/>
      <c r="F2" s="196"/>
      <c r="G2" s="196"/>
      <c r="H2" s="196"/>
      <c r="I2" s="196"/>
      <c r="J2" s="196"/>
      <c r="K2" s="196"/>
      <c r="L2" s="196"/>
      <c r="M2" s="196"/>
      <c r="N2" s="196"/>
    </row>
    <row r="3" spans="1:14" ht="15" customHeight="1">
      <c r="A3" s="290" t="s">
        <v>386</v>
      </c>
      <c r="B3" s="290"/>
      <c r="C3" s="290"/>
      <c r="D3" s="290"/>
      <c r="E3" s="290"/>
      <c r="F3" s="290"/>
      <c r="G3" s="196"/>
      <c r="H3" s="290" t="s">
        <v>387</v>
      </c>
      <c r="I3" s="290"/>
      <c r="J3" s="290"/>
      <c r="K3" s="290"/>
      <c r="L3" s="290"/>
      <c r="M3" s="290"/>
      <c r="N3" s="290"/>
    </row>
    <row r="4" spans="1:14">
      <c r="A4" s="291" t="s">
        <v>388</v>
      </c>
      <c r="B4" s="291"/>
      <c r="C4" s="291"/>
      <c r="D4" s="291" t="s">
        <v>389</v>
      </c>
      <c r="E4" s="291"/>
      <c r="F4" s="291"/>
      <c r="G4" s="196"/>
      <c r="H4" s="291" t="s">
        <v>390</v>
      </c>
      <c r="I4" s="291"/>
      <c r="J4" s="291"/>
      <c r="K4" s="293" t="s">
        <v>391</v>
      </c>
      <c r="L4" s="293"/>
      <c r="M4" s="293"/>
      <c r="N4" s="293"/>
    </row>
    <row r="5" spans="1:14">
      <c r="A5" s="289" t="s">
        <v>392</v>
      </c>
      <c r="B5" s="289"/>
      <c r="C5" s="289"/>
      <c r="D5" s="289" t="s">
        <v>393</v>
      </c>
      <c r="E5" s="289"/>
      <c r="F5" s="289"/>
      <c r="G5" s="196"/>
      <c r="H5" s="289" t="s">
        <v>394</v>
      </c>
      <c r="I5" s="289"/>
      <c r="J5" s="289"/>
      <c r="K5" s="289" t="s">
        <v>395</v>
      </c>
      <c r="L5" s="289"/>
      <c r="M5" s="289"/>
      <c r="N5" s="289"/>
    </row>
    <row r="6" spans="1:14">
      <c r="A6" s="289" t="s">
        <v>396</v>
      </c>
      <c r="B6" s="289"/>
      <c r="C6" s="289"/>
      <c r="D6" s="289" t="s">
        <v>397</v>
      </c>
      <c r="E6" s="289"/>
      <c r="F6" s="289"/>
      <c r="G6" s="196"/>
      <c r="H6" s="289" t="s">
        <v>398</v>
      </c>
      <c r="I6" s="289"/>
      <c r="J6" s="289"/>
      <c r="K6" s="289" t="s">
        <v>399</v>
      </c>
      <c r="L6" s="289"/>
      <c r="M6" s="289"/>
      <c r="N6" s="289"/>
    </row>
    <row r="7" spans="1:14">
      <c r="A7" s="289" t="s">
        <v>400</v>
      </c>
      <c r="B7" s="289"/>
      <c r="C7" s="289"/>
      <c r="D7" s="289" t="s">
        <v>401</v>
      </c>
      <c r="E7" s="289"/>
      <c r="F7" s="289"/>
      <c r="G7" s="196"/>
      <c r="H7" s="289" t="s">
        <v>402</v>
      </c>
      <c r="I7" s="289"/>
      <c r="J7" s="289"/>
      <c r="K7" s="289" t="s">
        <v>403</v>
      </c>
      <c r="L7" s="289"/>
      <c r="M7" s="289"/>
      <c r="N7" s="289"/>
    </row>
    <row r="8" spans="1:14">
      <c r="A8" s="289" t="s">
        <v>404</v>
      </c>
      <c r="B8" s="289"/>
      <c r="C8" s="289"/>
      <c r="D8" s="289" t="s">
        <v>405</v>
      </c>
      <c r="E8" s="289"/>
      <c r="F8" s="289"/>
      <c r="G8" s="196"/>
      <c r="H8" s="289" t="s">
        <v>406</v>
      </c>
      <c r="I8" s="289"/>
      <c r="J8" s="289"/>
      <c r="K8" s="289" t="s">
        <v>407</v>
      </c>
      <c r="L8" s="289"/>
      <c r="M8" s="289"/>
      <c r="N8" s="289"/>
    </row>
    <row r="9" spans="1:14">
      <c r="A9" s="289" t="s">
        <v>408</v>
      </c>
      <c r="B9" s="289"/>
      <c r="C9" s="289"/>
      <c r="D9" s="289" t="s">
        <v>409</v>
      </c>
      <c r="E9" s="289"/>
      <c r="F9" s="289"/>
      <c r="G9" s="196"/>
      <c r="H9" s="289" t="s">
        <v>410</v>
      </c>
      <c r="I9" s="289"/>
      <c r="J9" s="289"/>
      <c r="K9" s="289"/>
      <c r="L9" s="289"/>
      <c r="M9" s="289"/>
      <c r="N9" s="289"/>
    </row>
    <row r="10" spans="1:14">
      <c r="A10" s="289" t="s">
        <v>411</v>
      </c>
      <c r="B10" s="289"/>
      <c r="C10" s="289"/>
      <c r="D10" s="289" t="s">
        <v>412</v>
      </c>
      <c r="E10" s="289"/>
      <c r="F10" s="289"/>
      <c r="G10" s="196"/>
      <c r="H10" s="196"/>
      <c r="I10" s="196"/>
      <c r="J10" s="196"/>
      <c r="K10" s="196"/>
      <c r="L10" s="196"/>
      <c r="M10" s="196"/>
      <c r="N10" s="196"/>
    </row>
    <row r="11" spans="1:14">
      <c r="A11" s="289" t="s">
        <v>413</v>
      </c>
      <c r="B11" s="289"/>
      <c r="C11" s="289"/>
      <c r="D11" s="289" t="s">
        <v>414</v>
      </c>
      <c r="E11" s="289"/>
      <c r="F11" s="289"/>
      <c r="G11" s="196"/>
      <c r="H11" s="196"/>
      <c r="I11" s="196"/>
      <c r="J11" s="196"/>
      <c r="K11" s="196"/>
      <c r="L11" s="196"/>
      <c r="M11" s="196"/>
      <c r="N11" s="196"/>
    </row>
    <row r="12" spans="1:14">
      <c r="A12" s="289" t="s">
        <v>415</v>
      </c>
      <c r="B12" s="289"/>
      <c r="C12" s="289"/>
      <c r="D12" s="289"/>
      <c r="E12" s="289"/>
      <c r="F12" s="289"/>
      <c r="G12" s="196"/>
      <c r="H12" s="293" t="s">
        <v>416</v>
      </c>
      <c r="I12" s="293"/>
      <c r="J12" s="293"/>
      <c r="K12" s="293"/>
      <c r="L12" s="293"/>
      <c r="M12" s="293"/>
      <c r="N12" s="293"/>
    </row>
    <row r="13" spans="1:14">
      <c r="A13" s="196"/>
      <c r="B13" s="196"/>
      <c r="C13" s="196"/>
      <c r="D13" s="196"/>
      <c r="E13" s="196"/>
      <c r="F13" s="196"/>
      <c r="G13" s="196"/>
      <c r="H13" s="289" t="s">
        <v>417</v>
      </c>
      <c r="I13" s="289"/>
      <c r="J13" s="289"/>
      <c r="K13" s="289"/>
      <c r="L13" s="289"/>
      <c r="M13" s="289"/>
      <c r="N13" s="289"/>
    </row>
    <row r="14" spans="1:14">
      <c r="A14" s="196"/>
      <c r="B14" s="196"/>
      <c r="C14" s="196"/>
      <c r="D14" s="196"/>
      <c r="E14" s="196"/>
      <c r="F14" s="196"/>
      <c r="G14" s="196"/>
      <c r="H14" s="196"/>
      <c r="I14" s="196"/>
      <c r="J14" s="196"/>
      <c r="K14" s="196"/>
      <c r="L14" s="196"/>
      <c r="M14" s="196"/>
      <c r="N14" s="196"/>
    </row>
    <row r="15" spans="1:14" ht="15.75">
      <c r="A15" s="290" t="s">
        <v>418</v>
      </c>
      <c r="B15" s="290"/>
      <c r="C15" s="290"/>
      <c r="D15" s="290"/>
      <c r="E15" s="290"/>
      <c r="F15" s="290"/>
      <c r="G15" s="196"/>
      <c r="H15" s="196"/>
      <c r="I15" s="196"/>
      <c r="J15" s="196"/>
      <c r="K15" s="196"/>
      <c r="L15" s="196"/>
      <c r="M15" s="196"/>
      <c r="N15" s="196"/>
    </row>
    <row r="16" spans="1:14">
      <c r="A16" s="291" t="s">
        <v>419</v>
      </c>
      <c r="B16" s="291"/>
      <c r="C16" s="291"/>
      <c r="D16" s="291" t="s">
        <v>420</v>
      </c>
      <c r="E16" s="291"/>
      <c r="F16" s="291"/>
      <c r="G16" s="196"/>
      <c r="H16" s="292" t="s">
        <v>421</v>
      </c>
      <c r="I16" s="292"/>
      <c r="J16" s="292"/>
      <c r="K16" s="292"/>
      <c r="L16" s="292"/>
      <c r="M16" s="292"/>
      <c r="N16" s="292"/>
    </row>
    <row r="17" spans="1:14">
      <c r="A17" s="289" t="s">
        <v>422</v>
      </c>
      <c r="B17" s="289"/>
      <c r="C17" s="289"/>
      <c r="D17" s="289"/>
      <c r="E17" s="289"/>
      <c r="F17" s="289"/>
      <c r="G17" s="196"/>
      <c r="H17" s="289" t="s">
        <v>423</v>
      </c>
      <c r="I17" s="289"/>
      <c r="J17" s="289"/>
      <c r="K17" s="289"/>
      <c r="L17" s="289"/>
      <c r="M17" s="289"/>
      <c r="N17" s="289"/>
    </row>
    <row r="18" spans="1:14">
      <c r="A18" s="289" t="s">
        <v>424</v>
      </c>
      <c r="B18" s="289"/>
      <c r="C18" s="289"/>
      <c r="D18" s="289"/>
      <c r="E18" s="289"/>
      <c r="F18" s="289"/>
      <c r="G18" s="196"/>
      <c r="H18" s="289" t="s">
        <v>425</v>
      </c>
      <c r="I18" s="289"/>
      <c r="J18" s="289"/>
      <c r="K18" s="289"/>
      <c r="L18" s="289"/>
      <c r="M18" s="289"/>
      <c r="N18" s="289"/>
    </row>
    <row r="19" spans="1:14">
      <c r="A19" s="196"/>
      <c r="B19" s="196"/>
      <c r="C19" s="196"/>
      <c r="D19" s="196"/>
      <c r="E19" s="196"/>
      <c r="F19" s="196"/>
      <c r="G19" s="196"/>
      <c r="H19" s="289" t="s">
        <v>426</v>
      </c>
      <c r="I19" s="289"/>
      <c r="J19" s="289"/>
      <c r="K19" s="289"/>
      <c r="L19" s="289"/>
      <c r="M19" s="289"/>
      <c r="N19" s="289"/>
    </row>
    <row r="20" spans="1:14">
      <c r="A20" s="196"/>
      <c r="B20" s="196"/>
      <c r="C20" s="196"/>
      <c r="D20" s="196"/>
      <c r="E20" s="196"/>
      <c r="F20" s="196"/>
      <c r="G20" s="196"/>
      <c r="H20" s="196"/>
      <c r="I20" s="196"/>
      <c r="J20" s="196"/>
      <c r="K20" s="196"/>
      <c r="L20" s="196"/>
      <c r="M20" s="196"/>
      <c r="N20" s="196"/>
    </row>
    <row r="21" spans="1:14">
      <c r="A21" s="196"/>
      <c r="B21" s="196"/>
      <c r="C21" s="196"/>
      <c r="D21" s="196"/>
      <c r="E21" s="196"/>
      <c r="F21" s="196"/>
      <c r="G21" s="196"/>
      <c r="H21" s="196"/>
      <c r="I21" s="196"/>
      <c r="J21" s="196"/>
      <c r="K21" s="196"/>
      <c r="L21" s="196"/>
      <c r="M21" s="196"/>
      <c r="N21" s="196"/>
    </row>
    <row r="22" spans="1:14">
      <c r="A22" s="196"/>
      <c r="B22" s="196"/>
      <c r="C22" s="196"/>
      <c r="D22" s="196"/>
      <c r="E22" s="196"/>
      <c r="F22" s="196"/>
      <c r="G22" s="196"/>
      <c r="H22" s="196"/>
      <c r="I22" s="196"/>
      <c r="J22" s="196"/>
      <c r="K22" s="196"/>
      <c r="L22" s="196"/>
      <c r="M22" s="196"/>
      <c r="N22" s="196"/>
    </row>
  </sheetData>
  <mergeCells count="46">
    <mergeCell ref="A1:N1"/>
    <mergeCell ref="A3:F3"/>
    <mergeCell ref="H3:N3"/>
    <mergeCell ref="A4:C4"/>
    <mergeCell ref="D4:F4"/>
    <mergeCell ref="H4:J4"/>
    <mergeCell ref="K4:N4"/>
    <mergeCell ref="A5:C5"/>
    <mergeCell ref="D5:F5"/>
    <mergeCell ref="H5:J5"/>
    <mergeCell ref="K5:N5"/>
    <mergeCell ref="A6:C6"/>
    <mergeCell ref="D6:F6"/>
    <mergeCell ref="H6:J6"/>
    <mergeCell ref="K6:N6"/>
    <mergeCell ref="A7:C7"/>
    <mergeCell ref="D7:F7"/>
    <mergeCell ref="H7:J7"/>
    <mergeCell ref="K7:N7"/>
    <mergeCell ref="A8:C8"/>
    <mergeCell ref="D8:F8"/>
    <mergeCell ref="H8:J8"/>
    <mergeCell ref="K8:N8"/>
    <mergeCell ref="H13:N13"/>
    <mergeCell ref="A9:C9"/>
    <mergeCell ref="D9:F9"/>
    <mergeCell ref="H9:J9"/>
    <mergeCell ref="K9:N9"/>
    <mergeCell ref="A10:C10"/>
    <mergeCell ref="D10:F10"/>
    <mergeCell ref="A11:C11"/>
    <mergeCell ref="D11:F11"/>
    <mergeCell ref="A12:C12"/>
    <mergeCell ref="D12:F12"/>
    <mergeCell ref="H12:N12"/>
    <mergeCell ref="A18:C18"/>
    <mergeCell ref="D18:F18"/>
    <mergeCell ref="H18:N18"/>
    <mergeCell ref="H19:N19"/>
    <mergeCell ref="A15:F15"/>
    <mergeCell ref="A16:C16"/>
    <mergeCell ref="D16:F16"/>
    <mergeCell ref="H16:N16"/>
    <mergeCell ref="A17:C17"/>
    <mergeCell ref="D17:F17"/>
    <mergeCell ref="H17:N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D2714-2DF5-46D7-8C56-555595E6866D}">
  <dimension ref="A1:L36"/>
  <sheetViews>
    <sheetView topLeftCell="A7" workbookViewId="0"/>
  </sheetViews>
  <sheetFormatPr defaultRowHeight="15"/>
  <cols>
    <col min="1" max="1" width="70.7109375" customWidth="1"/>
    <col min="5" max="5" width="39.42578125" customWidth="1"/>
  </cols>
  <sheetData>
    <row r="1" spans="1:12" ht="18">
      <c r="A1" s="294" t="s">
        <v>427</v>
      </c>
      <c r="B1" s="294"/>
      <c r="C1" s="294"/>
      <c r="D1" s="294"/>
      <c r="E1" s="294"/>
      <c r="F1" s="294"/>
      <c r="G1" s="294"/>
      <c r="H1" s="294"/>
      <c r="I1" s="294"/>
      <c r="J1" s="294"/>
      <c r="K1" s="294"/>
      <c r="L1" s="294"/>
    </row>
    <row r="2" spans="1:12">
      <c r="A2" s="196"/>
      <c r="B2" s="196"/>
      <c r="C2" s="196"/>
      <c r="D2" s="196"/>
      <c r="E2" s="196"/>
      <c r="F2" s="196"/>
      <c r="G2" s="196"/>
      <c r="H2" s="196"/>
      <c r="I2" s="196"/>
      <c r="J2" s="196"/>
      <c r="K2" s="196"/>
      <c r="L2" s="196"/>
    </row>
    <row r="3" spans="1:12" ht="15" customHeight="1">
      <c r="A3" s="290" t="s">
        <v>428</v>
      </c>
      <c r="B3" s="290"/>
      <c r="C3" s="290"/>
      <c r="D3" s="290"/>
      <c r="E3" s="290" t="s">
        <v>429</v>
      </c>
      <c r="F3" s="290"/>
      <c r="G3" s="290"/>
      <c r="H3" s="290"/>
      <c r="I3" s="290"/>
      <c r="J3" s="290"/>
      <c r="K3" s="290"/>
      <c r="L3" s="290"/>
    </row>
    <row r="4" spans="1:12" ht="100.5">
      <c r="A4" s="196" t="s">
        <v>430</v>
      </c>
      <c r="B4" s="196"/>
      <c r="C4" s="196"/>
      <c r="D4" s="196"/>
      <c r="E4" s="196" t="s">
        <v>431</v>
      </c>
      <c r="F4" s="196"/>
      <c r="G4" s="196"/>
      <c r="H4" s="196"/>
      <c r="I4" s="196"/>
      <c r="J4" s="196"/>
      <c r="K4" s="196"/>
      <c r="L4" s="196"/>
    </row>
    <row r="5" spans="1:12" ht="50.25">
      <c r="A5" s="196" t="s">
        <v>432</v>
      </c>
      <c r="B5" s="196"/>
      <c r="C5" s="196"/>
      <c r="D5" s="196"/>
      <c r="E5" s="196" t="s">
        <v>433</v>
      </c>
      <c r="F5" s="196"/>
      <c r="G5" s="196"/>
      <c r="H5" s="196"/>
      <c r="I5" s="196"/>
      <c r="J5" s="196"/>
      <c r="K5" s="196"/>
      <c r="L5" s="196"/>
    </row>
    <row r="6" spans="1:12" ht="100.5">
      <c r="A6" s="196" t="s">
        <v>434</v>
      </c>
      <c r="B6" s="196"/>
      <c r="C6" s="196"/>
      <c r="D6" s="196"/>
      <c r="E6" s="196" t="s">
        <v>435</v>
      </c>
      <c r="F6" s="196"/>
      <c r="G6" s="196"/>
      <c r="H6" s="196"/>
      <c r="I6" s="196"/>
      <c r="J6" s="196"/>
      <c r="K6" s="196"/>
      <c r="L6" s="196"/>
    </row>
    <row r="7" spans="1:12" ht="117">
      <c r="A7" s="196"/>
      <c r="B7" s="196"/>
      <c r="C7" s="196"/>
      <c r="D7" s="196"/>
      <c r="E7" s="196" t="s">
        <v>436</v>
      </c>
      <c r="F7" s="196"/>
      <c r="G7" s="196"/>
      <c r="H7" s="196"/>
      <c r="I7" s="196"/>
      <c r="J7" s="196"/>
      <c r="K7" s="196"/>
      <c r="L7" s="196"/>
    </row>
    <row r="8" spans="1:12" ht="50.25">
      <c r="A8" s="196"/>
      <c r="B8" s="196"/>
      <c r="C8" s="196"/>
      <c r="D8" s="196"/>
      <c r="E8" s="196" t="s">
        <v>437</v>
      </c>
      <c r="F8" s="196"/>
      <c r="G8" s="196"/>
      <c r="H8" s="196"/>
      <c r="I8" s="196"/>
      <c r="J8" s="196"/>
      <c r="K8" s="196"/>
      <c r="L8" s="196"/>
    </row>
    <row r="9" spans="1:12">
      <c r="A9" s="291" t="s">
        <v>438</v>
      </c>
      <c r="B9" s="291"/>
      <c r="C9" s="291"/>
      <c r="D9" s="291"/>
      <c r="E9" s="291" t="s">
        <v>439</v>
      </c>
      <c r="F9" s="291"/>
      <c r="G9" s="291"/>
      <c r="H9" s="291"/>
      <c r="I9" s="291"/>
      <c r="J9" s="291"/>
      <c r="K9" s="291"/>
      <c r="L9" s="291"/>
    </row>
    <row r="10" spans="1:12" ht="100.5">
      <c r="A10" s="196" t="s">
        <v>440</v>
      </c>
      <c r="B10" s="196"/>
      <c r="C10" s="196"/>
      <c r="D10" s="196"/>
      <c r="E10" s="196" t="s">
        <v>441</v>
      </c>
      <c r="F10" s="196"/>
      <c r="G10" s="196"/>
      <c r="H10" s="196"/>
      <c r="I10" s="196"/>
      <c r="J10" s="196"/>
      <c r="K10" s="196"/>
      <c r="L10" s="196"/>
    </row>
    <row r="11" spans="1:12" ht="100.5">
      <c r="A11" s="196" t="s">
        <v>442</v>
      </c>
      <c r="B11" s="196"/>
      <c r="C11" s="196"/>
      <c r="D11" s="196"/>
      <c r="E11" s="196" t="s">
        <v>443</v>
      </c>
      <c r="F11" s="196"/>
      <c r="G11" s="196"/>
      <c r="H11" s="196"/>
      <c r="I11" s="196"/>
      <c r="J11" s="196"/>
      <c r="K11" s="196"/>
      <c r="L11" s="196"/>
    </row>
    <row r="12" spans="1:12" ht="100.5">
      <c r="A12" s="196" t="s">
        <v>444</v>
      </c>
      <c r="B12" s="196"/>
      <c r="C12" s="196"/>
      <c r="D12" s="196"/>
      <c r="E12" s="196" t="s">
        <v>445</v>
      </c>
      <c r="F12" s="196"/>
      <c r="G12" s="196"/>
      <c r="H12" s="196"/>
      <c r="I12" s="196"/>
      <c r="J12" s="196"/>
      <c r="K12" s="196"/>
      <c r="L12" s="196"/>
    </row>
    <row r="13" spans="1:12" ht="84">
      <c r="A13" s="196" t="s">
        <v>446</v>
      </c>
      <c r="B13" s="196"/>
      <c r="C13" s="196"/>
      <c r="D13" s="196"/>
      <c r="E13" s="196" t="s">
        <v>447</v>
      </c>
      <c r="F13" s="196"/>
      <c r="G13" s="196"/>
      <c r="H13" s="196"/>
      <c r="I13" s="196"/>
      <c r="J13" s="196"/>
      <c r="K13" s="196"/>
      <c r="L13" s="196"/>
    </row>
    <row r="14" spans="1:12" ht="50.25">
      <c r="A14" s="196"/>
      <c r="B14" s="196"/>
      <c r="C14" s="196"/>
      <c r="D14" s="196"/>
      <c r="E14" s="196" t="s">
        <v>448</v>
      </c>
      <c r="F14" s="196"/>
      <c r="G14" s="196"/>
      <c r="H14" s="196"/>
      <c r="I14" s="196"/>
      <c r="J14" s="196"/>
      <c r="K14" s="196"/>
      <c r="L14" s="196"/>
    </row>
    <row r="15" spans="1:12">
      <c r="A15" s="291" t="s">
        <v>449</v>
      </c>
      <c r="B15" s="291"/>
      <c r="C15" s="291"/>
      <c r="D15" s="291"/>
      <c r="E15" s="291" t="s">
        <v>450</v>
      </c>
      <c r="F15" s="291"/>
      <c r="G15" s="291"/>
      <c r="H15" s="291"/>
      <c r="I15" s="291"/>
      <c r="J15" s="291"/>
      <c r="K15" s="291"/>
      <c r="L15" s="291"/>
    </row>
    <row r="16" spans="1:12" ht="66.75">
      <c r="A16" s="196" t="s">
        <v>451</v>
      </c>
      <c r="B16" s="196"/>
      <c r="C16" s="196"/>
      <c r="D16" s="196"/>
      <c r="E16" s="196" t="s">
        <v>452</v>
      </c>
      <c r="F16" s="196"/>
      <c r="G16" s="196"/>
      <c r="H16" s="196"/>
      <c r="I16" s="196"/>
      <c r="J16" s="196"/>
      <c r="K16" s="196"/>
      <c r="L16" s="196"/>
    </row>
    <row r="17" spans="1:12" ht="100.5">
      <c r="A17" s="196" t="s">
        <v>453</v>
      </c>
      <c r="B17" s="196"/>
      <c r="C17" s="196"/>
      <c r="D17" s="196"/>
      <c r="E17" s="196" t="s">
        <v>454</v>
      </c>
      <c r="F17" s="196"/>
      <c r="G17" s="196"/>
      <c r="H17" s="196"/>
      <c r="I17" s="196"/>
      <c r="J17" s="196"/>
      <c r="K17" s="196"/>
      <c r="L17" s="196"/>
    </row>
    <row r="18" spans="1:12" ht="66.75">
      <c r="A18" s="196" t="s">
        <v>455</v>
      </c>
      <c r="B18" s="196"/>
      <c r="C18" s="196"/>
      <c r="D18" s="196"/>
      <c r="E18" s="196" t="s">
        <v>456</v>
      </c>
      <c r="F18" s="196"/>
      <c r="G18" s="196"/>
      <c r="H18" s="196"/>
      <c r="I18" s="196"/>
      <c r="J18" s="196"/>
      <c r="K18" s="196"/>
      <c r="L18" s="196"/>
    </row>
    <row r="19" spans="1:12" ht="66.75">
      <c r="A19" s="196" t="s">
        <v>457</v>
      </c>
      <c r="B19" s="196"/>
      <c r="C19" s="196"/>
      <c r="D19" s="196"/>
      <c r="E19" s="196" t="s">
        <v>458</v>
      </c>
      <c r="F19" s="196"/>
      <c r="G19" s="196"/>
      <c r="H19" s="196"/>
      <c r="I19" s="196"/>
      <c r="J19" s="196"/>
      <c r="K19" s="196"/>
      <c r="L19" s="196"/>
    </row>
    <row r="20" spans="1:12">
      <c r="A20" s="196"/>
      <c r="B20" s="196"/>
      <c r="C20" s="196"/>
      <c r="D20" s="196"/>
      <c r="E20" s="196"/>
      <c r="F20" s="196"/>
      <c r="G20" s="196"/>
      <c r="H20" s="196"/>
      <c r="I20" s="196"/>
      <c r="J20" s="196"/>
      <c r="K20" s="196"/>
      <c r="L20" s="196"/>
    </row>
    <row r="21" spans="1:12" ht="15.75">
      <c r="A21" s="290" t="s">
        <v>459</v>
      </c>
      <c r="B21" s="290"/>
      <c r="C21" s="290"/>
      <c r="D21" s="290"/>
      <c r="E21" s="290"/>
      <c r="F21" s="290"/>
      <c r="G21" s="290"/>
      <c r="H21" s="290"/>
      <c r="I21" s="290"/>
      <c r="J21" s="290"/>
      <c r="K21" s="290"/>
      <c r="L21" s="290"/>
    </row>
    <row r="22" spans="1:12" ht="117">
      <c r="A22" s="196" t="s">
        <v>460</v>
      </c>
      <c r="B22" s="196"/>
      <c r="C22" s="196"/>
      <c r="D22" s="196"/>
      <c r="E22" s="196"/>
      <c r="F22" s="196"/>
      <c r="G22" s="196"/>
      <c r="H22" s="196"/>
      <c r="I22" s="196"/>
      <c r="J22" s="196"/>
      <c r="K22" s="196"/>
      <c r="L22" s="196"/>
    </row>
    <row r="23" spans="1:12" ht="33.75">
      <c r="A23" s="196" t="s">
        <v>461</v>
      </c>
      <c r="B23" s="196"/>
      <c r="C23" s="196"/>
      <c r="D23" s="196"/>
      <c r="E23" s="196"/>
      <c r="F23" s="196"/>
      <c r="G23" s="196"/>
      <c r="H23" s="196"/>
      <c r="I23" s="196"/>
      <c r="J23" s="196"/>
      <c r="K23" s="196"/>
      <c r="L23" s="196"/>
    </row>
    <row r="24" spans="1:12" ht="117">
      <c r="A24" s="196" t="s">
        <v>462</v>
      </c>
      <c r="B24" s="196"/>
      <c r="C24" s="196"/>
      <c r="D24" s="196"/>
      <c r="E24" s="196"/>
      <c r="F24" s="196"/>
      <c r="G24" s="196"/>
      <c r="H24" s="196"/>
      <c r="I24" s="196"/>
      <c r="J24" s="196"/>
      <c r="K24" s="196"/>
      <c r="L24" s="196"/>
    </row>
    <row r="25" spans="1:12" ht="33.75">
      <c r="A25" s="196" t="s">
        <v>463</v>
      </c>
      <c r="B25" s="196"/>
      <c r="C25" s="196"/>
      <c r="D25" s="196"/>
      <c r="E25" s="196"/>
      <c r="F25" s="196"/>
      <c r="G25" s="196"/>
      <c r="H25" s="196"/>
      <c r="I25" s="196"/>
      <c r="J25" s="196"/>
      <c r="K25" s="196"/>
      <c r="L25" s="196"/>
    </row>
    <row r="26" spans="1:12" ht="84">
      <c r="A26" s="196" t="s">
        <v>464</v>
      </c>
      <c r="B26" s="196"/>
      <c r="C26" s="196"/>
      <c r="D26" s="196"/>
      <c r="E26" s="196"/>
      <c r="F26" s="196"/>
      <c r="G26" s="196"/>
      <c r="H26" s="196"/>
      <c r="I26" s="196"/>
      <c r="J26" s="196"/>
      <c r="K26" s="196"/>
      <c r="L26" s="196"/>
    </row>
    <row r="27" spans="1:12" ht="33.75">
      <c r="A27" s="196" t="s">
        <v>465</v>
      </c>
      <c r="B27" s="196"/>
      <c r="C27" s="196"/>
      <c r="D27" s="196"/>
      <c r="E27" s="196"/>
      <c r="F27" s="196"/>
      <c r="G27" s="196"/>
      <c r="H27" s="196"/>
      <c r="I27" s="196"/>
      <c r="J27" s="196"/>
      <c r="K27" s="196"/>
      <c r="L27" s="196"/>
    </row>
    <row r="28" spans="1:12" ht="50.25">
      <c r="A28" s="196" t="s">
        <v>466</v>
      </c>
      <c r="B28" s="196"/>
      <c r="C28" s="196"/>
      <c r="D28" s="196"/>
      <c r="E28" s="196"/>
      <c r="F28" s="196"/>
      <c r="G28" s="196"/>
      <c r="H28" s="196"/>
      <c r="I28" s="196"/>
      <c r="J28" s="196"/>
      <c r="K28" s="196"/>
      <c r="L28" s="196"/>
    </row>
    <row r="29" spans="1:12">
      <c r="A29" s="196"/>
      <c r="B29" s="196"/>
      <c r="C29" s="196"/>
      <c r="D29" s="196"/>
      <c r="E29" s="196"/>
      <c r="F29" s="196"/>
      <c r="G29" s="196"/>
      <c r="H29" s="196"/>
      <c r="I29" s="196"/>
      <c r="J29" s="196"/>
      <c r="K29" s="196"/>
      <c r="L29" s="196"/>
    </row>
    <row r="30" spans="1:12" ht="15.75">
      <c r="A30" s="290" t="s">
        <v>467</v>
      </c>
      <c r="B30" s="290"/>
      <c r="C30" s="290"/>
      <c r="D30" s="290"/>
      <c r="E30" s="290"/>
      <c r="F30" s="290"/>
      <c r="G30" s="290"/>
      <c r="H30" s="290"/>
      <c r="I30" s="290"/>
      <c r="J30" s="290"/>
      <c r="K30" s="290"/>
      <c r="L30" s="290"/>
    </row>
    <row r="31" spans="1:12" ht="100.5">
      <c r="A31" s="196" t="s">
        <v>468</v>
      </c>
      <c r="B31" s="196"/>
      <c r="C31" s="196"/>
      <c r="D31" s="196"/>
      <c r="E31" s="196"/>
      <c r="F31" s="196"/>
      <c r="G31" s="196"/>
      <c r="H31" s="196"/>
      <c r="I31" s="196"/>
      <c r="J31" s="196"/>
      <c r="K31" s="196"/>
      <c r="L31" s="196"/>
    </row>
    <row r="32" spans="1:12" ht="16.5">
      <c r="A32" s="196" t="s">
        <v>469</v>
      </c>
      <c r="B32" s="196"/>
      <c r="C32" s="196"/>
      <c r="D32" s="196"/>
      <c r="E32" s="196"/>
      <c r="F32" s="196"/>
      <c r="G32" s="196"/>
      <c r="H32" s="196"/>
      <c r="I32" s="196"/>
      <c r="J32" s="196"/>
      <c r="K32" s="196"/>
      <c r="L32" s="196"/>
    </row>
    <row r="33" spans="1:12" ht="33.75">
      <c r="A33" s="196" t="s">
        <v>470</v>
      </c>
      <c r="B33" s="196"/>
      <c r="C33" s="196"/>
      <c r="D33" s="196"/>
      <c r="E33" s="196"/>
      <c r="F33" s="196"/>
      <c r="G33" s="196"/>
      <c r="H33" s="196"/>
      <c r="I33" s="196"/>
      <c r="J33" s="196"/>
      <c r="K33" s="196"/>
      <c r="L33" s="196"/>
    </row>
    <row r="34" spans="1:12">
      <c r="A34" s="196"/>
      <c r="B34" s="196"/>
      <c r="C34" s="196"/>
      <c r="D34" s="196"/>
      <c r="E34" s="196"/>
      <c r="F34" s="196"/>
      <c r="G34" s="196"/>
      <c r="H34" s="196"/>
      <c r="I34" s="196"/>
      <c r="J34" s="196"/>
      <c r="K34" s="196"/>
      <c r="L34" s="196"/>
    </row>
    <row r="35" spans="1:12">
      <c r="A35" s="196"/>
      <c r="B35" s="196"/>
      <c r="C35" s="196"/>
      <c r="D35" s="196"/>
      <c r="E35" s="196"/>
      <c r="F35" s="196"/>
      <c r="G35" s="196"/>
      <c r="H35" s="196"/>
      <c r="I35" s="196"/>
      <c r="J35" s="196"/>
      <c r="K35" s="196"/>
      <c r="L35" s="196"/>
    </row>
    <row r="36" spans="1:12">
      <c r="A36" s="196"/>
      <c r="B36" s="196"/>
      <c r="C36" s="196"/>
      <c r="D36" s="196"/>
      <c r="E36" s="196"/>
      <c r="F36" s="196"/>
      <c r="G36" s="196"/>
      <c r="H36" s="196"/>
      <c r="I36" s="196"/>
      <c r="J36" s="196"/>
      <c r="K36" s="196"/>
      <c r="L36" s="196"/>
    </row>
  </sheetData>
  <mergeCells count="9">
    <mergeCell ref="A21:L21"/>
    <mergeCell ref="A30:L30"/>
    <mergeCell ref="A1:L1"/>
    <mergeCell ref="A3:D3"/>
    <mergeCell ref="E3:L3"/>
    <mergeCell ref="A9:D9"/>
    <mergeCell ref="E9:L9"/>
    <mergeCell ref="A15:D15"/>
    <mergeCell ref="E15:L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9533C-BF58-4289-8849-2D362BCA27CE}">
  <dimension ref="B1:Q26"/>
  <sheetViews>
    <sheetView tabSelected="1" workbookViewId="0">
      <selection activeCell="B3" sqref="B3:B4"/>
    </sheetView>
  </sheetViews>
  <sheetFormatPr defaultRowHeight="15"/>
  <cols>
    <col min="1" max="1" width="3" customWidth="1"/>
    <col min="2" max="2" width="24.42578125" customWidth="1"/>
    <col min="3" max="3" width="13.85546875" customWidth="1"/>
    <col min="4" max="4" width="15.28515625" customWidth="1"/>
    <col min="5" max="5" width="2.85546875" customWidth="1"/>
    <col min="6" max="6" width="16.28515625" bestFit="1" customWidth="1"/>
    <col min="7" max="7" width="12.28515625" bestFit="1" customWidth="1"/>
    <col min="8" max="8" width="9.7109375" customWidth="1"/>
    <col min="9" max="9" width="7.7109375" customWidth="1"/>
    <col min="10" max="10" width="7.140625" bestFit="1" customWidth="1"/>
    <col min="11" max="11" width="9.85546875" customWidth="1"/>
    <col min="12" max="12" width="16.28515625" bestFit="1" customWidth="1"/>
    <col min="13" max="13" width="12.140625" bestFit="1" customWidth="1"/>
    <col min="14" max="14" width="10.85546875" bestFit="1" customWidth="1"/>
    <col min="15" max="15" width="8.7109375" bestFit="1" customWidth="1"/>
    <col min="16" max="16" width="7.140625" bestFit="1" customWidth="1"/>
  </cols>
  <sheetData>
    <row r="1" spans="2:17" ht="7.5" customHeight="1"/>
    <row r="2" spans="2:17">
      <c r="B2" s="263" t="s">
        <v>471</v>
      </c>
      <c r="C2" s="264"/>
      <c r="D2" s="265"/>
      <c r="F2" s="260" t="s">
        <v>472</v>
      </c>
      <c r="G2" s="261"/>
      <c r="H2" s="262"/>
      <c r="I2" s="153"/>
      <c r="J2" s="153"/>
      <c r="K2" s="153"/>
      <c r="L2" s="257" t="s">
        <v>473</v>
      </c>
      <c r="M2" s="258"/>
      <c r="N2" s="259"/>
      <c r="Q2" s="197"/>
    </row>
    <row r="3" spans="2:17">
      <c r="B3" s="305" t="s">
        <v>474</v>
      </c>
      <c r="C3" s="251">
        <v>4</v>
      </c>
      <c r="D3" s="210">
        <f>C3*4000</f>
        <v>16000</v>
      </c>
      <c r="F3" s="266" t="s">
        <v>475</v>
      </c>
      <c r="G3" s="267"/>
      <c r="H3" s="268"/>
      <c r="I3" s="240"/>
      <c r="J3" s="155"/>
      <c r="K3" s="153"/>
      <c r="L3" s="280" t="s">
        <v>476</v>
      </c>
      <c r="M3" s="281"/>
      <c r="N3" s="282"/>
    </row>
    <row r="4" spans="2:17">
      <c r="B4" s="306" t="s">
        <v>477</v>
      </c>
      <c r="C4" s="251">
        <v>13</v>
      </c>
      <c r="D4" s="212">
        <f>C4*350</f>
        <v>4550</v>
      </c>
      <c r="F4" s="229" t="s">
        <v>478</v>
      </c>
      <c r="G4" s="238" t="s">
        <v>479</v>
      </c>
      <c r="H4" s="216">
        <f>0.004*D3</f>
        <v>64</v>
      </c>
      <c r="I4" s="153" t="s">
        <v>480</v>
      </c>
      <c r="J4" s="162">
        <f>H4/23</f>
        <v>2.7826086956521738</v>
      </c>
      <c r="K4" s="153" t="s">
        <v>481</v>
      </c>
      <c r="L4" s="229" t="s">
        <v>478</v>
      </c>
      <c r="M4" s="238" t="s">
        <v>479</v>
      </c>
      <c r="N4" s="216">
        <f>0.004*D4</f>
        <v>18.2</v>
      </c>
      <c r="O4" s="153" t="s">
        <v>480</v>
      </c>
      <c r="P4" s="199">
        <f>N4/23</f>
        <v>0.79130434782608694</v>
      </c>
      <c r="Q4" s="153" t="s">
        <v>481</v>
      </c>
    </row>
    <row r="5" spans="2:17">
      <c r="B5" s="211"/>
      <c r="C5" s="207"/>
      <c r="D5" s="212"/>
      <c r="F5" s="232" t="s">
        <v>482</v>
      </c>
      <c r="G5" s="236" t="s">
        <v>483</v>
      </c>
      <c r="H5" s="237">
        <f>0.085*D3</f>
        <v>1360</v>
      </c>
      <c r="I5" s="153" t="s">
        <v>480</v>
      </c>
      <c r="J5" s="162">
        <f>H5/23</f>
        <v>59.130434782608695</v>
      </c>
      <c r="K5" s="153" t="s">
        <v>481</v>
      </c>
      <c r="L5" s="232" t="s">
        <v>482</v>
      </c>
      <c r="M5" s="236" t="s">
        <v>483</v>
      </c>
      <c r="N5" s="237">
        <f>0.085*D4</f>
        <v>386.75</v>
      </c>
      <c r="O5" s="153" t="s">
        <v>480</v>
      </c>
      <c r="P5" s="199">
        <f>N5/23</f>
        <v>16.815217391304348</v>
      </c>
      <c r="Q5" s="153" t="s">
        <v>481</v>
      </c>
    </row>
    <row r="6" spans="2:17">
      <c r="B6" s="211"/>
      <c r="C6" s="207"/>
      <c r="D6" s="212"/>
      <c r="F6" s="153"/>
      <c r="G6" s="153"/>
      <c r="H6" s="153"/>
      <c r="I6" s="153"/>
      <c r="J6" s="155"/>
      <c r="K6" s="153"/>
    </row>
    <row r="7" spans="2:17">
      <c r="B7" s="213"/>
      <c r="C7" s="214" t="s">
        <v>484</v>
      </c>
      <c r="D7" s="215">
        <f>D3+D4+D5</f>
        <v>20550</v>
      </c>
      <c r="F7" s="269" t="s">
        <v>485</v>
      </c>
      <c r="G7" s="270"/>
      <c r="H7" s="271"/>
      <c r="I7" s="153"/>
      <c r="J7" s="155"/>
      <c r="K7" s="153"/>
      <c r="L7" s="266" t="s">
        <v>486</v>
      </c>
      <c r="M7" s="267"/>
      <c r="N7" s="268"/>
    </row>
    <row r="8" spans="2:17">
      <c r="B8" s="160"/>
      <c r="F8" s="232" t="s">
        <v>487</v>
      </c>
      <c r="G8" s="236" t="s">
        <v>488</v>
      </c>
      <c r="H8" s="237">
        <f>C3*10</f>
        <v>40</v>
      </c>
      <c r="I8" s="153" t="s">
        <v>480</v>
      </c>
      <c r="J8" s="162">
        <f>40/23</f>
        <v>1.7391304347826086</v>
      </c>
      <c r="K8" s="153" t="s">
        <v>481</v>
      </c>
      <c r="L8" s="241" t="s">
        <v>487</v>
      </c>
      <c r="M8" s="242" t="s">
        <v>489</v>
      </c>
      <c r="N8" s="243">
        <f>C4*10</f>
        <v>130</v>
      </c>
      <c r="O8" s="153" t="s">
        <v>480</v>
      </c>
      <c r="P8" s="199">
        <f>N8/23</f>
        <v>5.6521739130434785</v>
      </c>
      <c r="Q8" s="153" t="s">
        <v>481</v>
      </c>
    </row>
    <row r="9" spans="2:17">
      <c r="B9" s="252" t="s">
        <v>490</v>
      </c>
      <c r="C9" s="253"/>
      <c r="D9" s="254"/>
      <c r="F9" s="153"/>
      <c r="G9" s="153"/>
      <c r="H9" s="153"/>
      <c r="I9" s="153"/>
      <c r="J9" s="155"/>
      <c r="K9" s="153"/>
    </row>
    <row r="10" spans="2:17">
      <c r="B10" s="217" t="s">
        <v>476</v>
      </c>
      <c r="C10" s="218">
        <f>(J4+J5)+(P4+P5)</f>
        <v>79.519565217391303</v>
      </c>
      <c r="D10" s="210" t="s">
        <v>491</v>
      </c>
      <c r="F10" s="277" t="s">
        <v>492</v>
      </c>
      <c r="G10" s="278"/>
      <c r="H10" s="279"/>
      <c r="I10" s="153"/>
      <c r="J10" s="155"/>
      <c r="K10" s="153"/>
      <c r="L10" s="269" t="s">
        <v>493</v>
      </c>
      <c r="M10" s="270"/>
      <c r="N10" s="271"/>
    </row>
    <row r="11" spans="2:17">
      <c r="B11" s="219" t="s">
        <v>486</v>
      </c>
      <c r="C11" s="166">
        <f>J8+P8</f>
        <v>7.3913043478260869</v>
      </c>
      <c r="D11" s="212" t="s">
        <v>491</v>
      </c>
      <c r="F11" s="229" t="s">
        <v>494</v>
      </c>
      <c r="G11" s="230" t="s">
        <v>495</v>
      </c>
      <c r="H11" s="200" t="str">
        <f>IF(G11="Defensive", "1,5", IF(G11="Offensive", "2,5", IF(G11="Peace keeping", "1,0", "")))</f>
        <v>2,5</v>
      </c>
      <c r="I11" s="153"/>
      <c r="J11" s="155"/>
      <c r="K11" s="153"/>
      <c r="L11" s="247" t="s">
        <v>494</v>
      </c>
      <c r="M11" s="248" t="s">
        <v>496</v>
      </c>
      <c r="N11" s="249" t="str">
        <f>IF(M11="DCA", "240", IF(M11="OCA", "240", ""))</f>
        <v>240</v>
      </c>
    </row>
    <row r="12" spans="2:17">
      <c r="B12" s="219" t="s">
        <v>493</v>
      </c>
      <c r="C12" s="206">
        <f>H14+N12</f>
        <v>4065</v>
      </c>
      <c r="D12" s="212" t="s">
        <v>497</v>
      </c>
      <c r="F12" s="231" t="s">
        <v>498</v>
      </c>
      <c r="G12" s="156" t="s">
        <v>499</v>
      </c>
      <c r="H12" s="208" t="str">
        <f>IF(G12="Flat", "1,0", IF(G12="Hilly", "1,2", IF(G12="Mountainous", "1,5", "")))</f>
        <v>1,5</v>
      </c>
      <c r="I12" s="153"/>
      <c r="J12" s="155"/>
      <c r="K12" s="153"/>
      <c r="N12" s="202">
        <f>C4*N11</f>
        <v>3120</v>
      </c>
      <c r="O12" s="160" t="s">
        <v>500</v>
      </c>
      <c r="P12" s="199">
        <f>N12/23</f>
        <v>135.65217391304347</v>
      </c>
      <c r="Q12" s="153" t="s">
        <v>481</v>
      </c>
    </row>
    <row r="13" spans="2:17">
      <c r="B13" s="220" t="s">
        <v>501</v>
      </c>
      <c r="C13" s="221">
        <f>J18+P18</f>
        <v>886.08695652173913</v>
      </c>
      <c r="D13" s="222" t="s">
        <v>491</v>
      </c>
      <c r="F13" s="232" t="s">
        <v>502</v>
      </c>
      <c r="G13" s="233" t="s">
        <v>503</v>
      </c>
      <c r="H13" s="234" t="str">
        <f>IF(G13="Cold", "1,3", IF(G13="Temperate", "1,0", IF(G13="Hot", "0,9", "")))</f>
        <v>0,9</v>
      </c>
      <c r="I13" s="153"/>
      <c r="J13" s="155"/>
      <c r="K13" s="153"/>
    </row>
    <row r="14" spans="2:17">
      <c r="F14" s="153"/>
      <c r="G14" s="153"/>
      <c r="H14" s="154">
        <f>(C3*70)*H11*H12*H13</f>
        <v>945</v>
      </c>
      <c r="I14" s="153" t="s">
        <v>500</v>
      </c>
      <c r="J14" s="162">
        <f>H14/23</f>
        <v>41.086956521739133</v>
      </c>
      <c r="K14" s="153" t="s">
        <v>481</v>
      </c>
    </row>
    <row r="15" spans="2:17">
      <c r="B15" s="252" t="s">
        <v>504</v>
      </c>
      <c r="C15" s="253"/>
      <c r="D15" s="254"/>
      <c r="E15" s="203"/>
      <c r="F15" s="153"/>
      <c r="G15" s="153"/>
      <c r="H15" s="153"/>
      <c r="I15" s="153"/>
      <c r="J15" s="155"/>
      <c r="K15" s="153"/>
    </row>
    <row r="16" spans="2:17">
      <c r="B16" s="223"/>
      <c r="C16" s="209" t="s">
        <v>505</v>
      </c>
      <c r="D16" s="210" t="s">
        <v>506</v>
      </c>
      <c r="F16" s="266" t="s">
        <v>507</v>
      </c>
      <c r="G16" s="267"/>
      <c r="H16" s="268"/>
      <c r="I16" s="153"/>
      <c r="J16" s="155"/>
      <c r="K16" s="153"/>
      <c r="L16" s="266" t="s">
        <v>501</v>
      </c>
      <c r="M16" s="267"/>
      <c r="N16" s="268"/>
    </row>
    <row r="17" spans="2:17">
      <c r="B17" s="224" t="s">
        <v>508</v>
      </c>
      <c r="C17" s="225">
        <f>H21+N21</f>
        <v>972.99782608695648</v>
      </c>
      <c r="D17" s="226">
        <f>H22+N22</f>
        <v>897.05217391304336</v>
      </c>
      <c r="F17" s="235" t="s">
        <v>494</v>
      </c>
      <c r="G17" s="239" t="s">
        <v>495</v>
      </c>
      <c r="H17" s="198" t="str">
        <f>IF(G17="Defensive", "1,5", IF(G17="Offensive", "2,5", IF(G17="Peace keeping", "1,0", "")))</f>
        <v>2,5</v>
      </c>
      <c r="I17" s="153"/>
      <c r="J17" s="155"/>
      <c r="K17" s="153"/>
      <c r="L17" s="244" t="s">
        <v>494</v>
      </c>
      <c r="M17" s="245" t="s">
        <v>496</v>
      </c>
      <c r="N17" s="246" t="str">
        <f>IF(M17="DCA", "1440", IF(M17="OCA", "7200", ""))</f>
        <v>1440</v>
      </c>
    </row>
    <row r="18" spans="2:17">
      <c r="B18" s="219" t="s">
        <v>509</v>
      </c>
      <c r="C18">
        <v>10</v>
      </c>
      <c r="D18" s="212">
        <v>10</v>
      </c>
      <c r="F18" s="153"/>
      <c r="G18" s="153"/>
      <c r="H18" s="154">
        <f>(C3*166)*H17</f>
        <v>1660</v>
      </c>
      <c r="I18" s="153" t="s">
        <v>480</v>
      </c>
      <c r="J18" s="162">
        <f>H18/23</f>
        <v>72.173913043478265</v>
      </c>
      <c r="K18" s="153" t="s">
        <v>481</v>
      </c>
      <c r="N18" s="202">
        <f>N17*C4</f>
        <v>18720</v>
      </c>
      <c r="O18" s="201" t="s">
        <v>510</v>
      </c>
      <c r="P18" s="199">
        <f>N18/23</f>
        <v>813.91304347826087</v>
      </c>
      <c r="Q18" s="153" t="s">
        <v>481</v>
      </c>
    </row>
    <row r="19" spans="2:17">
      <c r="B19" s="219" t="s">
        <v>511</v>
      </c>
      <c r="C19" s="225">
        <f>C17*C18</f>
        <v>9729.9782608695641</v>
      </c>
      <c r="D19" s="226">
        <f>D17*C18</f>
        <v>8970.5217391304341</v>
      </c>
      <c r="F19" s="153"/>
      <c r="G19" s="153"/>
      <c r="H19" s="153"/>
      <c r="I19" s="153"/>
      <c r="J19" s="155"/>
      <c r="K19" s="153"/>
    </row>
    <row r="20" spans="2:17">
      <c r="B20" s="219" t="s">
        <v>512</v>
      </c>
      <c r="C20" s="225">
        <f>C19/3</f>
        <v>3243.3260869565215</v>
      </c>
      <c r="D20" s="226">
        <f>D19/3</f>
        <v>2990.173913043478</v>
      </c>
      <c r="F20" s="160"/>
      <c r="G20" s="250" t="s">
        <v>513</v>
      </c>
      <c r="H20" s="162">
        <f>J4+J5+J8+J14+J18</f>
        <v>176.91304347826087</v>
      </c>
      <c r="I20" s="153" t="s">
        <v>514</v>
      </c>
      <c r="M20" s="207" t="s">
        <v>513</v>
      </c>
      <c r="N20" s="199">
        <f>P4+P5+P8+P12+P18</f>
        <v>972.82391304347823</v>
      </c>
      <c r="O20" s="153" t="s">
        <v>514</v>
      </c>
    </row>
    <row r="21" spans="2:17">
      <c r="B21" s="272" t="s">
        <v>515</v>
      </c>
      <c r="C21" s="273">
        <f>C20*30</f>
        <v>97299.782608695648</v>
      </c>
      <c r="D21" s="275">
        <f>D20*30</f>
        <v>89705.217391304337</v>
      </c>
      <c r="G21" s="153"/>
      <c r="H21" s="162">
        <f>H20-J14</f>
        <v>135.82608695652175</v>
      </c>
      <c r="I21" s="153" t="s">
        <v>516</v>
      </c>
      <c r="N21" s="199">
        <f>N20-P12</f>
        <v>837.17173913043473</v>
      </c>
      <c r="O21" s="153" t="s">
        <v>516</v>
      </c>
    </row>
    <row r="22" spans="2:17">
      <c r="B22" s="272"/>
      <c r="C22" s="274"/>
      <c r="D22" s="276"/>
      <c r="G22" s="153"/>
      <c r="H22" s="204">
        <f>H21-J5</f>
        <v>76.695652173913061</v>
      </c>
      <c r="I22" s="153" t="s">
        <v>517</v>
      </c>
      <c r="N22" s="199">
        <f>N21-P5</f>
        <v>820.35652173913036</v>
      </c>
      <c r="O22" s="153" t="s">
        <v>517</v>
      </c>
    </row>
    <row r="23" spans="2:17">
      <c r="B23" s="219" t="s">
        <v>518</v>
      </c>
      <c r="C23" s="227" t="s">
        <v>519</v>
      </c>
      <c r="D23" s="255" t="s">
        <v>520</v>
      </c>
      <c r="F23" s="153"/>
    </row>
    <row r="24" spans="2:17">
      <c r="B24" s="220" t="s">
        <v>521</v>
      </c>
      <c r="C24" s="228" t="s">
        <v>522</v>
      </c>
      <c r="D24" s="256"/>
      <c r="E24" s="166"/>
      <c r="F24" s="197"/>
      <c r="G24" s="197"/>
      <c r="H24" s="197"/>
    </row>
    <row r="26" spans="2:17">
      <c r="D26" s="205"/>
    </row>
  </sheetData>
  <mergeCells count="17">
    <mergeCell ref="L16:N16"/>
    <mergeCell ref="B9:D9"/>
    <mergeCell ref="B15:D15"/>
    <mergeCell ref="D23:D24"/>
    <mergeCell ref="L2:N2"/>
    <mergeCell ref="F2:H2"/>
    <mergeCell ref="B2:D2"/>
    <mergeCell ref="F3:H3"/>
    <mergeCell ref="F7:H7"/>
    <mergeCell ref="B21:B22"/>
    <mergeCell ref="C21:C22"/>
    <mergeCell ref="D21:D22"/>
    <mergeCell ref="F10:H10"/>
    <mergeCell ref="F16:H16"/>
    <mergeCell ref="L3:N3"/>
    <mergeCell ref="L7:N7"/>
    <mergeCell ref="L10:N10"/>
  </mergeCells>
  <conditionalFormatting sqref="D21">
    <cfRule type="cellIs" dxfId="3" priority="4" operator="lessThan">
      <formula>100000</formula>
    </cfRule>
  </conditionalFormatting>
  <conditionalFormatting sqref="C21">
    <cfRule type="cellIs" dxfId="2" priority="3" operator="lessThan">
      <formula>100000</formula>
    </cfRule>
  </conditionalFormatting>
  <conditionalFormatting sqref="D21">
    <cfRule type="cellIs" dxfId="1" priority="2" operator="greaterThan">
      <formula>100000</formula>
    </cfRule>
  </conditionalFormatting>
  <conditionalFormatting sqref="C21">
    <cfRule type="cellIs" dxfId="0" priority="1" operator="greaterThan">
      <formula>100000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26519BF4-EED9-4589-BC4F-48604AA553CC}">
          <x14:formula1>
            <xm:f>'Supply DATA'!$C$3:$E$3</xm:f>
          </x14:formula1>
          <xm:sqref>G11 G17</xm:sqref>
        </x14:dataValidation>
        <x14:dataValidation type="list" allowBlank="1" showInputMessage="1" showErrorMessage="1" xr:uid="{DDD3FE63-1482-4798-889D-D1803BA578D2}">
          <x14:formula1>
            <xm:f>'Supply DATA'!$C$4:$E$4</xm:f>
          </x14:formula1>
          <xm:sqref>G12</xm:sqref>
        </x14:dataValidation>
        <x14:dataValidation type="list" allowBlank="1" showInputMessage="1" showErrorMessage="1" xr:uid="{B63C19E7-8ED0-464E-BA9B-F052C668A21C}">
          <x14:formula1>
            <xm:f>'Supply DATA'!$C$5:$E$5</xm:f>
          </x14:formula1>
          <xm:sqref>G13</xm:sqref>
        </x14:dataValidation>
        <x14:dataValidation type="list" allowBlank="1" showInputMessage="1" showErrorMessage="1" xr:uid="{6AAA0621-CD66-40A8-8B23-0206DCF3E185}">
          <x14:formula1>
            <xm:f>'Supply DATA'!$B$8:$B$9</xm:f>
          </x14:formula1>
          <xm:sqref>M11 M17</xm:sqref>
        </x14:dataValidation>
        <x14:dataValidation type="list" allowBlank="1" showInputMessage="1" showErrorMessage="1" xr:uid="{4FEF7D9B-3D33-41DB-A893-BD408E60EAD0}">
          <x14:formula1>
            <xm:f>'Supply DATA'!$G$3:$G$19</xm:f>
          </x14:formula1>
          <xm:sqref>C3:C4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A5C2E-5205-4D3F-A5C5-543B30763686}">
  <sheetPr>
    <tabColor rgb="FFFF0000"/>
  </sheetPr>
  <dimension ref="B3:G19"/>
  <sheetViews>
    <sheetView workbookViewId="0">
      <selection activeCell="G3" sqref="G3:G19"/>
    </sheetView>
  </sheetViews>
  <sheetFormatPr defaultRowHeight="15"/>
  <cols>
    <col min="2" max="2" width="16.28515625" bestFit="1" customWidth="1"/>
    <col min="3" max="3" width="9.5703125" bestFit="1" customWidth="1"/>
    <col min="4" max="4" width="10.28515625" bestFit="1" customWidth="1"/>
    <col min="5" max="5" width="13.5703125" bestFit="1" customWidth="1"/>
  </cols>
  <sheetData>
    <row r="3" spans="2:7">
      <c r="B3" s="153" t="s">
        <v>494</v>
      </c>
      <c r="C3" s="153" t="s">
        <v>523</v>
      </c>
      <c r="D3" s="153" t="s">
        <v>495</v>
      </c>
      <c r="E3" s="153" t="s">
        <v>524</v>
      </c>
    </row>
    <row r="4" spans="2:7">
      <c r="B4" s="153" t="s">
        <v>498</v>
      </c>
      <c r="C4" s="153" t="s">
        <v>525</v>
      </c>
      <c r="D4" s="153" t="s">
        <v>526</v>
      </c>
      <c r="E4" s="153" t="s">
        <v>499</v>
      </c>
      <c r="G4">
        <v>1</v>
      </c>
    </row>
    <row r="5" spans="2:7">
      <c r="B5" s="153" t="s">
        <v>502</v>
      </c>
      <c r="C5" s="153" t="s">
        <v>527</v>
      </c>
      <c r="D5" s="153" t="s">
        <v>528</v>
      </c>
      <c r="E5" s="153" t="s">
        <v>503</v>
      </c>
      <c r="G5">
        <v>2</v>
      </c>
    </row>
    <row r="6" spans="2:7">
      <c r="G6">
        <v>3</v>
      </c>
    </row>
    <row r="7" spans="2:7">
      <c r="G7">
        <v>4</v>
      </c>
    </row>
    <row r="8" spans="2:7">
      <c r="B8" t="s">
        <v>496</v>
      </c>
      <c r="G8">
        <v>5</v>
      </c>
    </row>
    <row r="9" spans="2:7">
      <c r="B9" t="s">
        <v>529</v>
      </c>
      <c r="G9">
        <v>6</v>
      </c>
    </row>
    <row r="10" spans="2:7">
      <c r="G10">
        <v>7</v>
      </c>
    </row>
    <row r="11" spans="2:7">
      <c r="G11">
        <v>8</v>
      </c>
    </row>
    <row r="12" spans="2:7">
      <c r="G12">
        <v>9</v>
      </c>
    </row>
    <row r="13" spans="2:7">
      <c r="G13">
        <v>10</v>
      </c>
    </row>
    <row r="14" spans="2:7">
      <c r="G14">
        <v>11</v>
      </c>
    </row>
    <row r="15" spans="2:7">
      <c r="G15">
        <v>12</v>
      </c>
    </row>
    <row r="16" spans="2:7">
      <c r="G16">
        <v>13</v>
      </c>
    </row>
    <row r="17" spans="7:7">
      <c r="G17">
        <v>14</v>
      </c>
    </row>
    <row r="18" spans="7:7">
      <c r="G18">
        <v>15</v>
      </c>
    </row>
    <row r="19" spans="7:7">
      <c r="G19">
        <v>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7"/>
  <sheetViews>
    <sheetView showGridLines="0" topLeftCell="A4" zoomScale="55" zoomScaleNormal="55" workbookViewId="0">
      <selection activeCell="J4" sqref="J4"/>
    </sheetView>
  </sheetViews>
  <sheetFormatPr defaultRowHeight="14.45"/>
  <cols>
    <col min="1" max="1" width="18" bestFit="1" customWidth="1"/>
    <col min="2" max="6" width="26" customWidth="1"/>
    <col min="8" max="9" width="12" customWidth="1"/>
    <col min="10" max="11" width="14" customWidth="1"/>
    <col min="12" max="12" width="65.140625" customWidth="1"/>
  </cols>
  <sheetData>
    <row r="1" spans="1:12" ht="24" customHeight="1">
      <c r="A1" s="295" t="s">
        <v>530</v>
      </c>
      <c r="B1" s="296"/>
      <c r="C1" s="296"/>
      <c r="D1" s="296"/>
      <c r="E1" s="296"/>
      <c r="F1" s="297"/>
      <c r="G1" s="167"/>
      <c r="H1" s="167"/>
      <c r="I1" s="167"/>
      <c r="J1" s="167"/>
      <c r="K1" s="167"/>
      <c r="L1" s="167"/>
    </row>
    <row r="2" spans="1:12" ht="27.95" customHeight="1">
      <c r="A2" s="298" t="s">
        <v>531</v>
      </c>
      <c r="B2" s="298"/>
      <c r="C2" s="298"/>
      <c r="D2" s="298"/>
      <c r="E2" s="298"/>
      <c r="F2" s="298"/>
      <c r="G2" s="167"/>
      <c r="H2" s="167"/>
      <c r="I2" s="167"/>
      <c r="J2" s="167"/>
      <c r="K2" s="167"/>
      <c r="L2" s="167"/>
    </row>
    <row r="3" spans="1:12" ht="45.95" customHeight="1">
      <c r="A3" s="168" t="s">
        <v>532</v>
      </c>
      <c r="B3" s="169" t="s">
        <v>533</v>
      </c>
      <c r="C3" s="169" t="s">
        <v>534</v>
      </c>
      <c r="D3" s="169" t="s">
        <v>535</v>
      </c>
      <c r="E3" s="169" t="s">
        <v>536</v>
      </c>
      <c r="F3" s="169" t="s">
        <v>537</v>
      </c>
      <c r="G3" s="167"/>
      <c r="H3" s="170" t="s">
        <v>86</v>
      </c>
      <c r="I3" s="169" t="s">
        <v>538</v>
      </c>
      <c r="J3" s="169" t="s">
        <v>539</v>
      </c>
      <c r="K3" s="169" t="s">
        <v>96</v>
      </c>
      <c r="L3" s="169" t="s">
        <v>540</v>
      </c>
    </row>
    <row r="4" spans="1:12" ht="80.45" customHeight="1">
      <c r="A4" s="171" t="s">
        <v>541</v>
      </c>
      <c r="B4" s="172" t="s">
        <v>542</v>
      </c>
      <c r="C4" s="172" t="s">
        <v>543</v>
      </c>
      <c r="D4" s="173" t="s">
        <v>544</v>
      </c>
      <c r="E4" s="173" t="s">
        <v>545</v>
      </c>
      <c r="F4" s="173" t="s">
        <v>546</v>
      </c>
      <c r="G4" s="167"/>
      <c r="H4" s="174" t="s">
        <v>99</v>
      </c>
      <c r="I4" s="175" t="s">
        <v>105</v>
      </c>
      <c r="J4" s="175" t="s">
        <v>106</v>
      </c>
      <c r="K4" s="176" t="s">
        <v>107</v>
      </c>
      <c r="L4" s="176" t="s">
        <v>547</v>
      </c>
    </row>
    <row r="5" spans="1:12" ht="92.1" customHeight="1">
      <c r="A5" s="171" t="s">
        <v>548</v>
      </c>
      <c r="B5" s="172" t="s">
        <v>549</v>
      </c>
      <c r="C5" s="177" t="s">
        <v>550</v>
      </c>
      <c r="D5" s="173" t="s">
        <v>551</v>
      </c>
      <c r="E5" s="178" t="s">
        <v>552</v>
      </c>
      <c r="F5" s="173" t="s">
        <v>553</v>
      </c>
      <c r="G5" s="167"/>
      <c r="H5" s="174" t="s">
        <v>127</v>
      </c>
      <c r="I5" s="175" t="s">
        <v>105</v>
      </c>
      <c r="J5" s="175" t="s">
        <v>106</v>
      </c>
      <c r="K5" s="176" t="s">
        <v>129</v>
      </c>
      <c r="L5" s="176" t="s">
        <v>554</v>
      </c>
    </row>
    <row r="6" spans="1:12" ht="103.5" customHeight="1">
      <c r="A6" s="171" t="s">
        <v>555</v>
      </c>
      <c r="B6" s="179" t="s">
        <v>556</v>
      </c>
      <c r="C6" s="177" t="s">
        <v>557</v>
      </c>
      <c r="D6" s="180" t="s">
        <v>558</v>
      </c>
      <c r="E6" s="173" t="s">
        <v>559</v>
      </c>
      <c r="F6" s="173" t="s">
        <v>560</v>
      </c>
      <c r="G6" s="167"/>
      <c r="H6" s="174" t="s">
        <v>139</v>
      </c>
      <c r="I6" s="175" t="s">
        <v>105</v>
      </c>
      <c r="J6" s="175" t="s">
        <v>106</v>
      </c>
      <c r="K6" s="176" t="s">
        <v>141</v>
      </c>
      <c r="L6" s="176" t="s">
        <v>561</v>
      </c>
    </row>
    <row r="7" spans="1:12" ht="57.6" customHeight="1">
      <c r="A7" s="171" t="s">
        <v>562</v>
      </c>
      <c r="B7" s="172" t="s">
        <v>563</v>
      </c>
      <c r="C7" s="181" t="s">
        <v>564</v>
      </c>
      <c r="D7" s="179" t="s">
        <v>565</v>
      </c>
      <c r="E7" s="179" t="s">
        <v>566</v>
      </c>
      <c r="F7" s="182" t="s">
        <v>567</v>
      </c>
      <c r="G7" s="167"/>
      <c r="H7" s="174" t="s">
        <v>152</v>
      </c>
      <c r="I7" s="175" t="s">
        <v>156</v>
      </c>
      <c r="J7" s="175" t="s">
        <v>157</v>
      </c>
      <c r="K7" s="176" t="s">
        <v>158</v>
      </c>
      <c r="L7" s="176" t="s">
        <v>568</v>
      </c>
    </row>
    <row r="8" spans="1:12" ht="31.5" customHeight="1">
      <c r="A8" s="171" t="s">
        <v>569</v>
      </c>
      <c r="B8" s="172" t="s">
        <v>570</v>
      </c>
      <c r="C8" s="172" t="s">
        <v>571</v>
      </c>
      <c r="D8" s="172" t="s">
        <v>572</v>
      </c>
      <c r="E8" s="172" t="s">
        <v>573</v>
      </c>
      <c r="F8" s="172" t="s">
        <v>574</v>
      </c>
      <c r="G8" s="167"/>
      <c r="H8" s="174" t="s">
        <v>164</v>
      </c>
      <c r="I8" s="175" t="s">
        <v>168</v>
      </c>
      <c r="J8" s="175" t="s">
        <v>106</v>
      </c>
      <c r="K8" s="176" t="s">
        <v>169</v>
      </c>
      <c r="L8" s="176" t="s">
        <v>575</v>
      </c>
    </row>
    <row r="9" spans="1:12" ht="51.75" customHeight="1">
      <c r="A9" s="167"/>
      <c r="B9" s="167"/>
      <c r="C9" s="167"/>
      <c r="D9" s="167"/>
      <c r="E9" s="167"/>
      <c r="F9" s="167"/>
      <c r="G9" s="167"/>
      <c r="H9" s="174" t="s">
        <v>334</v>
      </c>
      <c r="I9" s="175" t="s">
        <v>336</v>
      </c>
      <c r="J9" s="175" t="s">
        <v>106</v>
      </c>
      <c r="K9" s="176" t="s">
        <v>169</v>
      </c>
      <c r="L9" s="176" t="s">
        <v>576</v>
      </c>
    </row>
    <row r="10" spans="1:12" ht="32.1" customHeight="1">
      <c r="A10" s="311" t="s">
        <v>577</v>
      </c>
      <c r="B10" s="312"/>
      <c r="C10" s="312"/>
      <c r="D10" s="312"/>
      <c r="E10" s="312"/>
      <c r="F10" s="313"/>
      <c r="G10" s="167"/>
      <c r="H10" s="174" t="s">
        <v>180</v>
      </c>
      <c r="I10" s="175" t="s">
        <v>105</v>
      </c>
      <c r="J10" s="175" t="s">
        <v>106</v>
      </c>
      <c r="K10" s="176" t="s">
        <v>183</v>
      </c>
      <c r="L10" s="176" t="s">
        <v>578</v>
      </c>
    </row>
    <row r="11" spans="1:12" ht="32.1" customHeight="1">
      <c r="A11" s="183" t="s">
        <v>579</v>
      </c>
      <c r="B11" s="184" t="s">
        <v>580</v>
      </c>
      <c r="C11" s="167"/>
      <c r="D11" s="167"/>
      <c r="E11" s="167"/>
      <c r="F11" s="167"/>
      <c r="G11" s="167"/>
      <c r="H11" s="174" t="s">
        <v>197</v>
      </c>
      <c r="I11" s="175" t="s">
        <v>200</v>
      </c>
      <c r="J11" s="175" t="s">
        <v>106</v>
      </c>
      <c r="K11" s="176" t="s">
        <v>183</v>
      </c>
      <c r="L11" s="176" t="s">
        <v>581</v>
      </c>
    </row>
    <row r="12" spans="1:12" ht="32.1" customHeight="1">
      <c r="A12" s="185" t="s">
        <v>582</v>
      </c>
      <c r="B12" s="184" t="s">
        <v>583</v>
      </c>
      <c r="C12" s="167"/>
      <c r="D12" s="167"/>
      <c r="E12" s="167"/>
      <c r="F12" s="167"/>
      <c r="G12" s="167"/>
      <c r="H12" s="174" t="s">
        <v>209</v>
      </c>
      <c r="I12" s="175" t="s">
        <v>200</v>
      </c>
      <c r="J12" s="175" t="s">
        <v>106</v>
      </c>
      <c r="K12" s="176" t="s">
        <v>158</v>
      </c>
      <c r="L12" s="176" t="s">
        <v>584</v>
      </c>
    </row>
    <row r="13" spans="1:12" ht="32.1" customHeight="1">
      <c r="A13" s="186" t="s">
        <v>585</v>
      </c>
      <c r="B13" s="184" t="s">
        <v>586</v>
      </c>
      <c r="C13" s="167"/>
      <c r="D13" s="167"/>
      <c r="E13" s="167"/>
      <c r="F13" s="167"/>
      <c r="G13" s="167"/>
      <c r="H13" s="174" t="s">
        <v>587</v>
      </c>
      <c r="I13" s="175" t="s">
        <v>200</v>
      </c>
      <c r="J13" s="175" t="s">
        <v>106</v>
      </c>
      <c r="K13" s="176" t="s">
        <v>532</v>
      </c>
      <c r="L13" s="176" t="s">
        <v>588</v>
      </c>
    </row>
    <row r="14" spans="1:12" ht="32.1" customHeight="1">
      <c r="A14" s="187" t="s">
        <v>589</v>
      </c>
      <c r="B14" s="184" t="s">
        <v>590</v>
      </c>
      <c r="C14" s="167"/>
      <c r="D14" s="167"/>
      <c r="E14" s="167"/>
      <c r="F14" s="167"/>
      <c r="G14" s="167"/>
      <c r="H14" s="174" t="s">
        <v>228</v>
      </c>
      <c r="I14" s="175" t="s">
        <v>230</v>
      </c>
      <c r="J14" s="175" t="s">
        <v>106</v>
      </c>
      <c r="K14" s="176" t="s">
        <v>158</v>
      </c>
      <c r="L14" s="176" t="s">
        <v>591</v>
      </c>
    </row>
    <row r="15" spans="1:12" ht="32.1" customHeight="1">
      <c r="A15" s="167"/>
      <c r="B15" s="167"/>
      <c r="C15" s="167"/>
      <c r="D15" s="167"/>
      <c r="E15" s="167"/>
      <c r="F15" s="167"/>
      <c r="G15" s="167"/>
      <c r="H15" s="174" t="s">
        <v>236</v>
      </c>
      <c r="I15" s="175" t="s">
        <v>239</v>
      </c>
      <c r="J15" s="175" t="s">
        <v>106</v>
      </c>
      <c r="K15" s="176" t="s">
        <v>240</v>
      </c>
      <c r="L15" s="176" t="s">
        <v>592</v>
      </c>
    </row>
    <row r="16" spans="1:12" ht="32.1" customHeight="1">
      <c r="A16" s="167"/>
      <c r="B16" s="167"/>
      <c r="C16" s="167"/>
      <c r="D16" s="167"/>
      <c r="E16" s="167"/>
      <c r="F16" s="167"/>
      <c r="G16" s="167"/>
      <c r="H16" s="174" t="s">
        <v>253</v>
      </c>
      <c r="I16" s="175" t="s">
        <v>200</v>
      </c>
      <c r="J16" s="175" t="s">
        <v>106</v>
      </c>
      <c r="K16" s="176" t="s">
        <v>257</v>
      </c>
      <c r="L16" s="176" t="s">
        <v>593</v>
      </c>
    </row>
    <row r="17" spans="1:13" ht="32.1" customHeight="1">
      <c r="A17" s="167"/>
      <c r="B17" s="167"/>
      <c r="C17" s="167"/>
      <c r="D17" s="167"/>
      <c r="E17" s="167"/>
      <c r="F17" s="167"/>
      <c r="G17" s="167"/>
      <c r="H17" s="174" t="s">
        <v>269</v>
      </c>
      <c r="I17" s="175" t="s">
        <v>272</v>
      </c>
      <c r="J17" s="175" t="s">
        <v>106</v>
      </c>
      <c r="K17" s="176" t="s">
        <v>273</v>
      </c>
      <c r="L17" s="176" t="s">
        <v>594</v>
      </c>
    </row>
    <row r="18" spans="1:13" ht="32.1" customHeight="1">
      <c r="A18" s="167"/>
      <c r="B18" s="167"/>
      <c r="C18" s="167"/>
      <c r="D18" s="167"/>
      <c r="E18" s="167"/>
      <c r="F18" s="167"/>
      <c r="G18" s="167"/>
      <c r="H18" s="174" t="s">
        <v>281</v>
      </c>
      <c r="I18" s="175" t="s">
        <v>239</v>
      </c>
      <c r="J18" s="175" t="s">
        <v>106</v>
      </c>
      <c r="K18" s="176" t="s">
        <v>285</v>
      </c>
      <c r="L18" s="176" t="s">
        <v>595</v>
      </c>
    </row>
    <row r="19" spans="1:13" ht="32.1" customHeight="1">
      <c r="A19" s="167"/>
      <c r="B19" s="167"/>
      <c r="C19" s="167"/>
      <c r="D19" s="167"/>
      <c r="E19" s="167"/>
      <c r="F19" s="167"/>
      <c r="G19" s="167"/>
      <c r="H19" s="174" t="s">
        <v>293</v>
      </c>
      <c r="I19" s="175" t="s">
        <v>239</v>
      </c>
      <c r="J19" s="175" t="s">
        <v>106</v>
      </c>
      <c r="K19" s="176" t="s">
        <v>295</v>
      </c>
      <c r="L19" s="176" t="s">
        <v>596</v>
      </c>
    </row>
    <row r="20" spans="1:13" ht="32.1" customHeight="1">
      <c r="A20" s="167"/>
      <c r="B20" s="167"/>
      <c r="C20" s="167"/>
      <c r="D20" s="167"/>
      <c r="E20" s="167"/>
      <c r="F20" s="167"/>
      <c r="G20" s="167"/>
      <c r="H20" s="174" t="s">
        <v>305</v>
      </c>
      <c r="I20" s="175" t="s">
        <v>239</v>
      </c>
      <c r="J20" s="175" t="s">
        <v>106</v>
      </c>
      <c r="K20" s="176" t="s">
        <v>240</v>
      </c>
      <c r="L20" s="176" t="s">
        <v>597</v>
      </c>
    </row>
    <row r="21" spans="1:13" ht="32.1" customHeight="1">
      <c r="A21" s="167"/>
      <c r="B21" s="167"/>
      <c r="C21" s="167"/>
      <c r="D21" s="167"/>
      <c r="E21" s="167"/>
      <c r="F21" s="167"/>
      <c r="G21" s="167"/>
      <c r="H21" s="174" t="s">
        <v>314</v>
      </c>
      <c r="I21" s="175" t="s">
        <v>239</v>
      </c>
      <c r="J21" s="175" t="s">
        <v>106</v>
      </c>
      <c r="K21" s="176" t="s">
        <v>183</v>
      </c>
      <c r="L21" s="176" t="s">
        <v>598</v>
      </c>
    </row>
    <row r="22" spans="1:13" ht="32.1" customHeight="1">
      <c r="A22" s="167"/>
      <c r="B22" s="167"/>
      <c r="C22" s="167"/>
      <c r="D22" s="167"/>
      <c r="E22" s="167"/>
      <c r="F22" s="167"/>
      <c r="G22" s="167"/>
      <c r="H22" s="174" t="s">
        <v>323</v>
      </c>
      <c r="I22" s="175" t="s">
        <v>239</v>
      </c>
      <c r="J22" s="175" t="s">
        <v>106</v>
      </c>
      <c r="K22" s="176" t="s">
        <v>326</v>
      </c>
      <c r="L22" s="176" t="s">
        <v>599</v>
      </c>
    </row>
    <row r="23" spans="1:13" ht="32.1" customHeight="1">
      <c r="A23" s="167"/>
      <c r="B23" s="167"/>
      <c r="C23" s="167"/>
      <c r="D23" s="167"/>
      <c r="E23" s="167"/>
      <c r="F23" s="167"/>
      <c r="G23" s="167"/>
      <c r="H23" s="188" t="s">
        <v>345</v>
      </c>
      <c r="I23" s="189" t="s">
        <v>348</v>
      </c>
      <c r="J23" s="189" t="s">
        <v>154</v>
      </c>
      <c r="K23" s="176" t="s">
        <v>349</v>
      </c>
      <c r="L23" s="176" t="s">
        <v>600</v>
      </c>
    </row>
    <row r="24" spans="1:13" ht="32.1" customHeight="1">
      <c r="A24" s="167"/>
      <c r="B24" s="167"/>
      <c r="C24" s="167"/>
      <c r="D24" s="167"/>
      <c r="E24" s="167"/>
      <c r="F24" s="167"/>
      <c r="G24" s="167"/>
      <c r="H24" s="190" t="s">
        <v>357</v>
      </c>
      <c r="I24" s="191" t="s">
        <v>360</v>
      </c>
      <c r="J24" s="191" t="s">
        <v>361</v>
      </c>
      <c r="K24" s="176" t="s">
        <v>257</v>
      </c>
      <c r="L24" s="176" t="s">
        <v>601</v>
      </c>
    </row>
    <row r="25" spans="1:13" ht="32.1" customHeight="1">
      <c r="A25" s="167"/>
      <c r="B25" s="167"/>
      <c r="C25" s="167"/>
      <c r="D25" s="167"/>
      <c r="E25" s="167"/>
      <c r="F25" s="167"/>
      <c r="G25" s="167"/>
      <c r="H25" s="188" t="s">
        <v>367</v>
      </c>
      <c r="I25" s="189" t="s">
        <v>348</v>
      </c>
      <c r="J25" s="189" t="s">
        <v>154</v>
      </c>
      <c r="K25" s="176" t="s">
        <v>183</v>
      </c>
      <c r="L25" s="176" t="s">
        <v>602</v>
      </c>
    </row>
    <row r="26" spans="1:13" ht="32.1" customHeight="1">
      <c r="A26" s="167"/>
      <c r="B26" s="167"/>
      <c r="C26" s="167"/>
      <c r="D26" s="167"/>
      <c r="E26" s="167"/>
      <c r="F26" s="167"/>
      <c r="G26" s="167"/>
      <c r="H26" s="174" t="s">
        <v>376</v>
      </c>
      <c r="I26" s="175" t="s">
        <v>200</v>
      </c>
      <c r="J26" s="175" t="s">
        <v>106</v>
      </c>
      <c r="K26" s="176" t="s">
        <v>183</v>
      </c>
      <c r="L26" s="176" t="s">
        <v>603</v>
      </c>
      <c r="M26" s="32"/>
    </row>
    <row r="27" spans="1:13" ht="32.1" customHeight="1"/>
  </sheetData>
  <mergeCells count="3">
    <mergeCell ref="A1:F1"/>
    <mergeCell ref="A2:F2"/>
    <mergeCell ref="A10:F1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3"/>
  <sheetViews>
    <sheetView showGridLines="0" zoomScale="70" zoomScaleNormal="70" workbookViewId="0">
      <pane ySplit="3" topLeftCell="A12" activePane="bottomLeft" state="frozen"/>
      <selection pane="bottomLeft" activeCell="D22" sqref="D22"/>
    </sheetView>
  </sheetViews>
  <sheetFormatPr defaultRowHeight="14.45"/>
  <cols>
    <col min="1" max="1" width="8" customWidth="1"/>
    <col min="2" max="2" width="14" customWidth="1"/>
    <col min="3" max="3" width="55.28515625" customWidth="1"/>
    <col min="4" max="4" width="48" customWidth="1"/>
    <col min="5" max="5" width="14" customWidth="1"/>
    <col min="6" max="6" width="20" customWidth="1"/>
    <col min="7" max="7" width="14" customWidth="1"/>
    <col min="8" max="8" width="18" customWidth="1"/>
  </cols>
  <sheetData>
    <row r="1" spans="1:8" ht="21.95" customHeight="1">
      <c r="A1" s="287" t="s">
        <v>604</v>
      </c>
      <c r="B1" s="310"/>
      <c r="C1" s="310"/>
      <c r="D1" s="310"/>
      <c r="E1" s="310"/>
      <c r="F1" s="310"/>
      <c r="G1" s="310"/>
      <c r="H1" s="307"/>
    </row>
    <row r="2" spans="1:8" ht="27.95" customHeight="1">
      <c r="A2" s="286" t="s">
        <v>605</v>
      </c>
      <c r="B2" s="309"/>
      <c r="C2" s="309"/>
      <c r="D2" s="309"/>
      <c r="E2" s="309"/>
      <c r="F2" s="309"/>
      <c r="G2" s="309"/>
      <c r="H2" s="309"/>
    </row>
    <row r="3" spans="1:8" ht="36" customHeight="1">
      <c r="A3" s="17" t="s">
        <v>606</v>
      </c>
      <c r="B3" s="17" t="s">
        <v>607</v>
      </c>
      <c r="C3" s="17" t="s">
        <v>608</v>
      </c>
      <c r="D3" s="17" t="s">
        <v>609</v>
      </c>
      <c r="E3" s="17" t="s">
        <v>610</v>
      </c>
      <c r="F3" s="17" t="s">
        <v>611</v>
      </c>
      <c r="G3" s="17" t="s">
        <v>612</v>
      </c>
      <c r="H3" s="17" t="s">
        <v>613</v>
      </c>
    </row>
    <row r="4" spans="1:8" ht="18" customHeight="1">
      <c r="A4" s="299" t="s">
        <v>614</v>
      </c>
      <c r="B4" s="309"/>
      <c r="C4" s="309"/>
      <c r="D4" s="309"/>
      <c r="E4" s="309"/>
      <c r="F4" s="309"/>
      <c r="G4" s="309"/>
      <c r="H4" s="309"/>
    </row>
    <row r="5" spans="1:8" ht="69.95" customHeight="1">
      <c r="A5" s="134" t="s">
        <v>615</v>
      </c>
      <c r="B5" s="134" t="s">
        <v>135</v>
      </c>
      <c r="C5" s="135" t="s">
        <v>616</v>
      </c>
      <c r="D5" s="135" t="s">
        <v>617</v>
      </c>
      <c r="E5" s="128" t="s">
        <v>618</v>
      </c>
      <c r="F5" s="136" t="s">
        <v>619</v>
      </c>
      <c r="G5" s="136" t="s">
        <v>620</v>
      </c>
      <c r="H5" s="136" t="s">
        <v>621</v>
      </c>
    </row>
    <row r="6" spans="1:8" ht="69.95" customHeight="1">
      <c r="A6" s="134" t="s">
        <v>622</v>
      </c>
      <c r="B6" s="134" t="s">
        <v>135</v>
      </c>
      <c r="C6" s="137" t="s">
        <v>623</v>
      </c>
      <c r="D6" s="137" t="s">
        <v>624</v>
      </c>
      <c r="E6" s="131" t="s">
        <v>625</v>
      </c>
      <c r="F6" s="138" t="s">
        <v>626</v>
      </c>
      <c r="G6" s="138" t="s">
        <v>627</v>
      </c>
      <c r="H6" s="138" t="s">
        <v>628</v>
      </c>
    </row>
    <row r="7" spans="1:8" ht="69.95" customHeight="1">
      <c r="A7" s="134" t="s">
        <v>629</v>
      </c>
      <c r="B7" s="134" t="s">
        <v>135</v>
      </c>
      <c r="C7" s="135" t="s">
        <v>630</v>
      </c>
      <c r="D7" s="135" t="s">
        <v>631</v>
      </c>
      <c r="E7" s="128" t="s">
        <v>618</v>
      </c>
      <c r="F7" s="136" t="s">
        <v>632</v>
      </c>
      <c r="G7" s="136" t="s">
        <v>633</v>
      </c>
      <c r="H7" s="136" t="s">
        <v>634</v>
      </c>
    </row>
    <row r="8" spans="1:8" ht="69.95" customHeight="1">
      <c r="A8" s="134" t="s">
        <v>635</v>
      </c>
      <c r="B8" s="134" t="s">
        <v>135</v>
      </c>
      <c r="C8" s="137" t="s">
        <v>636</v>
      </c>
      <c r="D8" s="137" t="s">
        <v>637</v>
      </c>
      <c r="E8" s="131" t="s">
        <v>625</v>
      </c>
      <c r="F8" s="138" t="s">
        <v>638</v>
      </c>
      <c r="G8" s="138" t="s">
        <v>639</v>
      </c>
      <c r="H8" s="138" t="s">
        <v>640</v>
      </c>
    </row>
    <row r="9" spans="1:8" ht="69.95" customHeight="1">
      <c r="A9" s="134" t="s">
        <v>641</v>
      </c>
      <c r="B9" s="134" t="s">
        <v>135</v>
      </c>
      <c r="C9" s="135" t="s">
        <v>642</v>
      </c>
      <c r="D9" s="135" t="s">
        <v>643</v>
      </c>
      <c r="E9" s="128" t="s">
        <v>618</v>
      </c>
      <c r="F9" s="136" t="s">
        <v>644</v>
      </c>
      <c r="G9" s="136" t="s">
        <v>645</v>
      </c>
      <c r="H9" s="136" t="s">
        <v>646</v>
      </c>
    </row>
    <row r="10" spans="1:8" ht="18" customHeight="1">
      <c r="A10" s="299" t="s">
        <v>647</v>
      </c>
      <c r="B10" s="309"/>
      <c r="C10" s="309"/>
      <c r="D10" s="309"/>
      <c r="E10" s="309"/>
      <c r="F10" s="309"/>
      <c r="G10" s="309"/>
      <c r="H10" s="309"/>
    </row>
    <row r="11" spans="1:8" ht="69.95" customHeight="1">
      <c r="A11" s="131" t="s">
        <v>648</v>
      </c>
      <c r="B11" s="131" t="s">
        <v>344</v>
      </c>
      <c r="C11" s="135" t="s">
        <v>649</v>
      </c>
      <c r="D11" s="135" t="s">
        <v>650</v>
      </c>
      <c r="E11" s="128" t="s">
        <v>618</v>
      </c>
      <c r="F11" s="136" t="s">
        <v>651</v>
      </c>
      <c r="G11" s="136" t="s">
        <v>639</v>
      </c>
      <c r="H11" s="136" t="s">
        <v>652</v>
      </c>
    </row>
    <row r="12" spans="1:8" ht="69.95" customHeight="1">
      <c r="A12" s="131" t="s">
        <v>653</v>
      </c>
      <c r="B12" s="131" t="s">
        <v>344</v>
      </c>
      <c r="C12" s="137" t="s">
        <v>654</v>
      </c>
      <c r="D12" s="137" t="s">
        <v>655</v>
      </c>
      <c r="E12" s="131" t="s">
        <v>625</v>
      </c>
      <c r="F12" s="138" t="s">
        <v>656</v>
      </c>
      <c r="G12" s="138" t="s">
        <v>657</v>
      </c>
      <c r="H12" s="138" t="s">
        <v>658</v>
      </c>
    </row>
    <row r="13" spans="1:8" ht="69.95" customHeight="1">
      <c r="A13" s="131" t="s">
        <v>659</v>
      </c>
      <c r="B13" s="131" t="s">
        <v>344</v>
      </c>
      <c r="C13" s="135" t="s">
        <v>660</v>
      </c>
      <c r="D13" s="135" t="s">
        <v>661</v>
      </c>
      <c r="E13" s="131" t="s">
        <v>625</v>
      </c>
      <c r="F13" s="136" t="s">
        <v>662</v>
      </c>
      <c r="G13" s="136" t="s">
        <v>663</v>
      </c>
      <c r="H13" s="136" t="s">
        <v>664</v>
      </c>
    </row>
    <row r="14" spans="1:8" ht="18" customHeight="1">
      <c r="A14" s="299" t="s">
        <v>665</v>
      </c>
      <c r="B14" s="309"/>
      <c r="C14" s="309"/>
      <c r="D14" s="309"/>
      <c r="E14" s="309"/>
      <c r="F14" s="309"/>
      <c r="G14" s="309"/>
      <c r="H14" s="309"/>
    </row>
    <row r="15" spans="1:8" ht="69.95" customHeight="1">
      <c r="A15" s="132" t="s">
        <v>666</v>
      </c>
      <c r="B15" s="132" t="s">
        <v>667</v>
      </c>
      <c r="C15" s="135" t="s">
        <v>668</v>
      </c>
      <c r="D15" s="135" t="s">
        <v>669</v>
      </c>
      <c r="E15" s="128" t="s">
        <v>618</v>
      </c>
      <c r="F15" s="136" t="s">
        <v>670</v>
      </c>
      <c r="G15" s="136" t="s">
        <v>639</v>
      </c>
      <c r="H15" s="136" t="s">
        <v>671</v>
      </c>
    </row>
    <row r="16" spans="1:8" ht="69.95" customHeight="1">
      <c r="A16" s="132" t="s">
        <v>672</v>
      </c>
      <c r="B16" s="132" t="s">
        <v>667</v>
      </c>
      <c r="C16" s="137" t="s">
        <v>673</v>
      </c>
      <c r="D16" s="137" t="s">
        <v>674</v>
      </c>
      <c r="E16" s="131" t="s">
        <v>625</v>
      </c>
      <c r="F16" s="138" t="s">
        <v>675</v>
      </c>
      <c r="G16" s="138" t="s">
        <v>676</v>
      </c>
      <c r="H16" s="138" t="s">
        <v>677</v>
      </c>
    </row>
    <row r="17" spans="1:8" ht="69.95" customHeight="1">
      <c r="A17" s="132" t="s">
        <v>678</v>
      </c>
      <c r="B17" s="132" t="s">
        <v>667</v>
      </c>
      <c r="C17" s="135" t="s">
        <v>679</v>
      </c>
      <c r="D17" s="135" t="s">
        <v>680</v>
      </c>
      <c r="E17" s="131" t="s">
        <v>625</v>
      </c>
      <c r="F17" s="136" t="s">
        <v>681</v>
      </c>
      <c r="G17" s="136" t="s">
        <v>682</v>
      </c>
      <c r="H17" s="136" t="s">
        <v>683</v>
      </c>
    </row>
    <row r="18" spans="1:8" ht="18" customHeight="1">
      <c r="A18" s="299" t="s">
        <v>684</v>
      </c>
      <c r="B18" s="309"/>
      <c r="C18" s="309"/>
      <c r="D18" s="309"/>
      <c r="E18" s="309"/>
      <c r="F18" s="309"/>
      <c r="G18" s="309"/>
      <c r="H18" s="309"/>
    </row>
    <row r="19" spans="1:8" ht="69.95" customHeight="1">
      <c r="A19" s="139" t="s">
        <v>685</v>
      </c>
      <c r="B19" s="139" t="s">
        <v>206</v>
      </c>
      <c r="C19" s="135" t="s">
        <v>686</v>
      </c>
      <c r="D19" s="135" t="s">
        <v>687</v>
      </c>
      <c r="E19" s="128" t="s">
        <v>618</v>
      </c>
      <c r="F19" s="136" t="s">
        <v>688</v>
      </c>
      <c r="G19" s="136" t="s">
        <v>689</v>
      </c>
      <c r="H19" s="136" t="s">
        <v>690</v>
      </c>
    </row>
    <row r="20" spans="1:8" ht="69.95" customHeight="1">
      <c r="A20" s="139" t="s">
        <v>691</v>
      </c>
      <c r="B20" s="139" t="s">
        <v>206</v>
      </c>
      <c r="C20" s="137" t="s">
        <v>692</v>
      </c>
      <c r="D20" s="137" t="s">
        <v>693</v>
      </c>
      <c r="E20" s="128" t="s">
        <v>618</v>
      </c>
      <c r="F20" s="138" t="s">
        <v>694</v>
      </c>
      <c r="G20" s="138" t="s">
        <v>695</v>
      </c>
      <c r="H20" s="138" t="s">
        <v>696</v>
      </c>
    </row>
    <row r="21" spans="1:8" ht="69.95" customHeight="1">
      <c r="A21" s="139" t="s">
        <v>697</v>
      </c>
      <c r="B21" s="139" t="s">
        <v>206</v>
      </c>
      <c r="C21" s="135" t="s">
        <v>698</v>
      </c>
      <c r="D21" s="135" t="s">
        <v>699</v>
      </c>
      <c r="E21" s="128" t="s">
        <v>618</v>
      </c>
      <c r="F21" s="136" t="s">
        <v>700</v>
      </c>
      <c r="G21" s="136" t="s">
        <v>701</v>
      </c>
      <c r="H21" s="136" t="s">
        <v>702</v>
      </c>
    </row>
    <row r="22" spans="1:8" ht="69.95" customHeight="1">
      <c r="A22" s="139" t="s">
        <v>703</v>
      </c>
      <c r="B22" s="139" t="s">
        <v>206</v>
      </c>
      <c r="C22" s="137" t="s">
        <v>704</v>
      </c>
      <c r="D22" s="137" t="s">
        <v>705</v>
      </c>
      <c r="E22" s="128" t="s">
        <v>618</v>
      </c>
      <c r="F22" s="138" t="s">
        <v>706</v>
      </c>
      <c r="G22" s="138" t="s">
        <v>639</v>
      </c>
      <c r="H22" s="138" t="s">
        <v>707</v>
      </c>
    </row>
    <row r="23" spans="1:8" ht="69.95" customHeight="1">
      <c r="A23" s="139" t="s">
        <v>708</v>
      </c>
      <c r="B23" s="139" t="s">
        <v>206</v>
      </c>
      <c r="C23" s="135" t="s">
        <v>709</v>
      </c>
      <c r="D23" s="135" t="s">
        <v>710</v>
      </c>
      <c r="E23" s="131" t="s">
        <v>625</v>
      </c>
      <c r="F23" s="136" t="s">
        <v>711</v>
      </c>
      <c r="G23" s="136" t="s">
        <v>701</v>
      </c>
      <c r="H23" s="136" t="s">
        <v>712</v>
      </c>
    </row>
    <row r="24" spans="1:8" ht="69.95" customHeight="1">
      <c r="A24" s="139" t="s">
        <v>713</v>
      </c>
      <c r="B24" s="139" t="s">
        <v>206</v>
      </c>
      <c r="C24" s="137" t="s">
        <v>714</v>
      </c>
      <c r="D24" s="137" t="s">
        <v>715</v>
      </c>
      <c r="E24" s="128" t="s">
        <v>618</v>
      </c>
      <c r="F24" s="138" t="s">
        <v>716</v>
      </c>
      <c r="G24" s="138" t="s">
        <v>639</v>
      </c>
      <c r="H24" s="138" t="s">
        <v>717</v>
      </c>
    </row>
    <row r="25" spans="1:8" ht="69.95" customHeight="1">
      <c r="A25" s="139" t="s">
        <v>718</v>
      </c>
      <c r="B25" s="139" t="s">
        <v>206</v>
      </c>
      <c r="C25" s="135" t="s">
        <v>719</v>
      </c>
      <c r="D25" s="135" t="s">
        <v>720</v>
      </c>
      <c r="E25" s="131" t="s">
        <v>625</v>
      </c>
      <c r="F25" s="136" t="s">
        <v>721</v>
      </c>
      <c r="G25" s="136" t="s">
        <v>639</v>
      </c>
      <c r="H25" s="136" t="s">
        <v>722</v>
      </c>
    </row>
    <row r="26" spans="1:8" ht="69.95" customHeight="1">
      <c r="A26" s="139" t="s">
        <v>723</v>
      </c>
      <c r="B26" s="139" t="s">
        <v>206</v>
      </c>
      <c r="C26" s="137" t="s">
        <v>724</v>
      </c>
      <c r="D26" s="137" t="s">
        <v>725</v>
      </c>
      <c r="E26" s="132" t="s">
        <v>726</v>
      </c>
      <c r="F26" s="138" t="s">
        <v>727</v>
      </c>
      <c r="G26" s="138" t="s">
        <v>701</v>
      </c>
      <c r="H26" s="138" t="s">
        <v>728</v>
      </c>
    </row>
    <row r="27" spans="1:8" ht="18" customHeight="1">
      <c r="A27" s="299" t="s">
        <v>729</v>
      </c>
      <c r="B27" s="309"/>
      <c r="C27" s="309"/>
      <c r="D27" s="309"/>
      <c r="E27" s="309"/>
      <c r="F27" s="309"/>
      <c r="G27" s="309"/>
      <c r="H27" s="309"/>
    </row>
    <row r="28" spans="1:8" ht="69.95" customHeight="1">
      <c r="A28" s="133" t="s">
        <v>730</v>
      </c>
      <c r="B28" s="133" t="s">
        <v>126</v>
      </c>
      <c r="C28" s="135" t="s">
        <v>731</v>
      </c>
      <c r="D28" s="135" t="s">
        <v>732</v>
      </c>
      <c r="E28" s="128" t="s">
        <v>618</v>
      </c>
      <c r="F28" s="136" t="s">
        <v>733</v>
      </c>
      <c r="G28" s="136" t="s">
        <v>734</v>
      </c>
      <c r="H28" s="136" t="s">
        <v>735</v>
      </c>
    </row>
    <row r="29" spans="1:8" ht="69.95" customHeight="1">
      <c r="A29" s="133" t="s">
        <v>736</v>
      </c>
      <c r="B29" s="133" t="s">
        <v>126</v>
      </c>
      <c r="C29" s="137" t="s">
        <v>737</v>
      </c>
      <c r="D29" s="137" t="s">
        <v>738</v>
      </c>
      <c r="E29" s="131" t="s">
        <v>625</v>
      </c>
      <c r="F29" s="138" t="s">
        <v>739</v>
      </c>
      <c r="G29" s="138" t="s">
        <v>740</v>
      </c>
      <c r="H29" s="138" t="s">
        <v>741</v>
      </c>
    </row>
    <row r="30" spans="1:8" ht="69.95" customHeight="1">
      <c r="A30" s="133" t="s">
        <v>742</v>
      </c>
      <c r="B30" s="133" t="s">
        <v>126</v>
      </c>
      <c r="C30" s="135" t="s">
        <v>743</v>
      </c>
      <c r="D30" s="135" t="s">
        <v>744</v>
      </c>
      <c r="E30" s="128" t="s">
        <v>618</v>
      </c>
      <c r="F30" s="136" t="s">
        <v>745</v>
      </c>
      <c r="G30" s="136" t="s">
        <v>746</v>
      </c>
      <c r="H30" s="136" t="s">
        <v>741</v>
      </c>
    </row>
    <row r="31" spans="1:8" ht="69.95" customHeight="1">
      <c r="A31" s="133" t="s">
        <v>747</v>
      </c>
      <c r="B31" s="133" t="s">
        <v>126</v>
      </c>
      <c r="C31" s="137" t="s">
        <v>748</v>
      </c>
      <c r="D31" s="137" t="s">
        <v>749</v>
      </c>
      <c r="E31" s="131" t="s">
        <v>625</v>
      </c>
      <c r="F31" s="138" t="s">
        <v>750</v>
      </c>
      <c r="G31" s="138" t="s">
        <v>740</v>
      </c>
      <c r="H31" s="138" t="s">
        <v>751</v>
      </c>
    </row>
    <row r="32" spans="1:8" ht="69.95" customHeight="1">
      <c r="A32" s="133" t="s">
        <v>752</v>
      </c>
      <c r="B32" s="133" t="s">
        <v>126</v>
      </c>
      <c r="C32" s="135" t="s">
        <v>753</v>
      </c>
      <c r="D32" s="135" t="s">
        <v>754</v>
      </c>
      <c r="E32" s="131" t="s">
        <v>625</v>
      </c>
      <c r="F32" s="136" t="s">
        <v>755</v>
      </c>
      <c r="G32" s="136" t="s">
        <v>756</v>
      </c>
      <c r="H32" s="136" t="s">
        <v>757</v>
      </c>
    </row>
    <row r="33" spans="1:8" ht="69.95" customHeight="1">
      <c r="A33" s="133" t="s">
        <v>758</v>
      </c>
      <c r="B33" s="133" t="s">
        <v>126</v>
      </c>
      <c r="C33" s="137" t="s">
        <v>759</v>
      </c>
      <c r="D33" s="137" t="s">
        <v>760</v>
      </c>
      <c r="E33" s="131" t="s">
        <v>625</v>
      </c>
      <c r="F33" s="138" t="s">
        <v>761</v>
      </c>
      <c r="G33" s="138" t="s">
        <v>762</v>
      </c>
      <c r="H33" s="138" t="s">
        <v>712</v>
      </c>
    </row>
    <row r="34" spans="1:8" ht="69.95" customHeight="1">
      <c r="A34" s="133" t="s">
        <v>763</v>
      </c>
      <c r="B34" s="133" t="s">
        <v>126</v>
      </c>
      <c r="C34" s="135" t="s">
        <v>764</v>
      </c>
      <c r="D34" s="135" t="s">
        <v>765</v>
      </c>
      <c r="E34" s="131" t="s">
        <v>625</v>
      </c>
      <c r="F34" s="136" t="s">
        <v>766</v>
      </c>
      <c r="G34" s="136" t="s">
        <v>740</v>
      </c>
      <c r="H34" s="136" t="s">
        <v>767</v>
      </c>
    </row>
    <row r="35" spans="1:8" ht="18" customHeight="1">
      <c r="A35" s="299" t="s">
        <v>768</v>
      </c>
      <c r="B35" s="309"/>
      <c r="C35" s="309"/>
      <c r="D35" s="309"/>
      <c r="E35" s="309"/>
      <c r="F35" s="309"/>
      <c r="G35" s="309"/>
      <c r="H35" s="309"/>
    </row>
    <row r="36" spans="1:8" ht="69.95" customHeight="1">
      <c r="A36" s="140" t="s">
        <v>769</v>
      </c>
      <c r="B36" s="140" t="s">
        <v>227</v>
      </c>
      <c r="C36" s="135" t="s">
        <v>770</v>
      </c>
      <c r="D36" s="135" t="s">
        <v>771</v>
      </c>
      <c r="E36" s="128" t="s">
        <v>618</v>
      </c>
      <c r="F36" s="136" t="s">
        <v>772</v>
      </c>
      <c r="G36" s="136" t="s">
        <v>773</v>
      </c>
      <c r="H36" s="136" t="s">
        <v>774</v>
      </c>
    </row>
    <row r="37" spans="1:8" ht="69.95" customHeight="1">
      <c r="A37" s="140" t="s">
        <v>775</v>
      </c>
      <c r="B37" s="140" t="s">
        <v>227</v>
      </c>
      <c r="C37" s="137" t="s">
        <v>776</v>
      </c>
      <c r="D37" s="137" t="s">
        <v>777</v>
      </c>
      <c r="E37" s="131" t="s">
        <v>625</v>
      </c>
      <c r="F37" s="138" t="s">
        <v>778</v>
      </c>
      <c r="G37" s="138" t="s">
        <v>779</v>
      </c>
      <c r="H37" s="138" t="s">
        <v>780</v>
      </c>
    </row>
    <row r="38" spans="1:8" ht="69.95" customHeight="1">
      <c r="A38" s="140" t="s">
        <v>781</v>
      </c>
      <c r="B38" s="140" t="s">
        <v>227</v>
      </c>
      <c r="C38" s="135" t="s">
        <v>782</v>
      </c>
      <c r="D38" s="135" t="s">
        <v>783</v>
      </c>
      <c r="E38" s="128" t="s">
        <v>618</v>
      </c>
      <c r="F38" s="136" t="s">
        <v>784</v>
      </c>
      <c r="G38" s="136" t="s">
        <v>639</v>
      </c>
      <c r="H38" s="136" t="s">
        <v>735</v>
      </c>
    </row>
    <row r="39" spans="1:8" ht="69.95" customHeight="1">
      <c r="A39" s="140" t="s">
        <v>785</v>
      </c>
      <c r="B39" s="140" t="s">
        <v>227</v>
      </c>
      <c r="C39" s="137" t="s">
        <v>786</v>
      </c>
      <c r="D39" s="137" t="s">
        <v>787</v>
      </c>
      <c r="E39" s="131" t="s">
        <v>625</v>
      </c>
      <c r="F39" s="138" t="s">
        <v>788</v>
      </c>
      <c r="G39" s="138" t="s">
        <v>789</v>
      </c>
      <c r="H39" s="138" t="s">
        <v>790</v>
      </c>
    </row>
    <row r="40" spans="1:8" ht="18" customHeight="1">
      <c r="A40" s="299" t="s">
        <v>791</v>
      </c>
      <c r="B40" s="309"/>
      <c r="C40" s="309"/>
      <c r="D40" s="309"/>
      <c r="E40" s="309"/>
      <c r="F40" s="309"/>
      <c r="G40" s="309"/>
      <c r="H40" s="309"/>
    </row>
    <row r="41" spans="1:8" ht="69.95" customHeight="1">
      <c r="A41" s="141" t="s">
        <v>792</v>
      </c>
      <c r="B41" s="141" t="s">
        <v>793</v>
      </c>
      <c r="C41" s="135" t="s">
        <v>794</v>
      </c>
      <c r="D41" s="135" t="s">
        <v>795</v>
      </c>
      <c r="E41" s="131" t="s">
        <v>625</v>
      </c>
      <c r="F41" s="136" t="s">
        <v>796</v>
      </c>
      <c r="G41" s="136" t="s">
        <v>797</v>
      </c>
      <c r="H41" s="136" t="s">
        <v>798</v>
      </c>
    </row>
    <row r="42" spans="1:8" ht="69.95" customHeight="1">
      <c r="A42" s="141" t="s">
        <v>799</v>
      </c>
      <c r="B42" s="141" t="s">
        <v>793</v>
      </c>
      <c r="C42" s="137" t="s">
        <v>800</v>
      </c>
      <c r="D42" s="137" t="s">
        <v>801</v>
      </c>
      <c r="E42" s="128" t="s">
        <v>618</v>
      </c>
      <c r="F42" s="138" t="s">
        <v>802</v>
      </c>
      <c r="G42" s="138" t="s">
        <v>803</v>
      </c>
      <c r="H42" s="138" t="s">
        <v>735</v>
      </c>
    </row>
    <row r="43" spans="1:8" ht="69.95" customHeight="1">
      <c r="A43" s="141" t="s">
        <v>804</v>
      </c>
      <c r="B43" s="141" t="s">
        <v>793</v>
      </c>
      <c r="C43" s="135" t="s">
        <v>805</v>
      </c>
      <c r="D43" s="135" t="s">
        <v>806</v>
      </c>
      <c r="E43" s="131" t="s">
        <v>625</v>
      </c>
      <c r="F43" s="136" t="s">
        <v>807</v>
      </c>
      <c r="G43" s="136" t="s">
        <v>682</v>
      </c>
      <c r="H43" s="136" t="s">
        <v>808</v>
      </c>
    </row>
  </sheetData>
  <autoFilter ref="A3:H3" xr:uid="{00000000-0009-0000-0000-000004000000}"/>
  <mergeCells count="9">
    <mergeCell ref="A1:H1"/>
    <mergeCell ref="A27:H27"/>
    <mergeCell ref="A40:H40"/>
    <mergeCell ref="A18:H18"/>
    <mergeCell ref="A4:H4"/>
    <mergeCell ref="A35:H35"/>
    <mergeCell ref="A2:H2"/>
    <mergeCell ref="A10:H10"/>
    <mergeCell ref="A14:H1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8"/>
  <sheetViews>
    <sheetView showGridLines="0" workbookViewId="0">
      <pane ySplit="2" topLeftCell="A3" activePane="bottomLeft" state="frozen"/>
      <selection pane="bottomLeft" activeCell="A12" sqref="A12"/>
    </sheetView>
  </sheetViews>
  <sheetFormatPr defaultRowHeight="15" customHeight="1"/>
  <cols>
    <col min="1" max="1" width="10.7109375" customWidth="1"/>
    <col min="2" max="2" width="64.42578125" customWidth="1"/>
    <col min="3" max="3" width="47.140625" customWidth="1"/>
  </cols>
  <sheetData>
    <row r="1" spans="1:3" ht="21.95" customHeight="1">
      <c r="A1" s="287" t="s">
        <v>809</v>
      </c>
      <c r="B1" s="310"/>
      <c r="C1" s="310"/>
    </row>
    <row r="2" spans="1:3" ht="39.950000000000003" customHeight="1">
      <c r="A2" s="193" t="s">
        <v>86</v>
      </c>
      <c r="B2" s="193" t="s">
        <v>810</v>
      </c>
      <c r="C2" s="193" t="s">
        <v>811</v>
      </c>
    </row>
    <row r="3" spans="1:3" ht="20.25">
      <c r="A3" s="192" t="s">
        <v>792</v>
      </c>
      <c r="B3" s="194" t="s">
        <v>812</v>
      </c>
      <c r="C3" s="194" t="s">
        <v>813</v>
      </c>
    </row>
    <row r="4" spans="1:3" ht="20.25">
      <c r="A4" s="192" t="s">
        <v>799</v>
      </c>
      <c r="B4" s="194" t="s">
        <v>814</v>
      </c>
      <c r="C4" s="194" t="s">
        <v>815</v>
      </c>
    </row>
    <row r="5" spans="1:3" ht="20.25">
      <c r="A5" s="192" t="s">
        <v>804</v>
      </c>
      <c r="B5" s="194" t="s">
        <v>816</v>
      </c>
      <c r="C5" s="194" t="s">
        <v>817</v>
      </c>
    </row>
    <row r="6" spans="1:3" ht="20.25">
      <c r="A6" s="192" t="s">
        <v>818</v>
      </c>
      <c r="B6" s="194" t="s">
        <v>819</v>
      </c>
      <c r="C6" s="194" t="s">
        <v>820</v>
      </c>
    </row>
    <row r="7" spans="1:3" ht="20.25">
      <c r="A7" s="192" t="s">
        <v>821</v>
      </c>
      <c r="B7" s="194" t="s">
        <v>822</v>
      </c>
      <c r="C7" s="194" t="s">
        <v>823</v>
      </c>
    </row>
    <row r="8" spans="1:3">
      <c r="A8" s="192" t="s">
        <v>824</v>
      </c>
      <c r="B8" s="194" t="s">
        <v>825</v>
      </c>
      <c r="C8" s="194" t="s">
        <v>826</v>
      </c>
    </row>
    <row r="9" spans="1:3" ht="20.25">
      <c r="A9" s="192" t="s">
        <v>827</v>
      </c>
      <c r="B9" s="195" t="s">
        <v>828</v>
      </c>
      <c r="C9" s="195" t="s">
        <v>829</v>
      </c>
    </row>
    <row r="10" spans="1:3" ht="27" customHeight="1">
      <c r="A10" s="192" t="s">
        <v>830</v>
      </c>
      <c r="B10" s="195" t="s">
        <v>831</v>
      </c>
      <c r="C10" s="194" t="s">
        <v>813</v>
      </c>
    </row>
    <row r="11" spans="1:3" ht="15" customHeight="1">
      <c r="B11" s="165"/>
      <c r="C11" s="165"/>
    </row>
    <row r="12" spans="1:3" ht="15" customHeight="1">
      <c r="B12" s="165"/>
      <c r="C12" s="165"/>
    </row>
    <row r="13" spans="1:3" ht="15" customHeight="1">
      <c r="B13" s="165"/>
      <c r="C13" s="165"/>
    </row>
    <row r="14" spans="1:3" ht="15" customHeight="1">
      <c r="A14" s="163" t="s">
        <v>827</v>
      </c>
      <c r="B14" s="165" t="s">
        <v>832</v>
      </c>
      <c r="C14" s="165"/>
    </row>
    <row r="15" spans="1:3" ht="15" customHeight="1">
      <c r="B15" s="165"/>
      <c r="C15" s="165"/>
    </row>
    <row r="16" spans="1:3" ht="15" customHeight="1">
      <c r="B16" s="165"/>
      <c r="C16" s="165"/>
    </row>
    <row r="17" spans="2:3" ht="15" customHeight="1">
      <c r="B17" s="165"/>
      <c r="C17" s="165"/>
    </row>
    <row r="18" spans="2:3" ht="15" customHeight="1">
      <c r="B18" s="165"/>
      <c r="C18" s="165"/>
    </row>
    <row r="19" spans="2:3" ht="15" customHeight="1">
      <c r="B19" s="165"/>
      <c r="C19" s="165"/>
    </row>
    <row r="20" spans="2:3" ht="15" customHeight="1">
      <c r="B20" s="165"/>
      <c r="C20" s="165"/>
    </row>
    <row r="21" spans="2:3" ht="15" customHeight="1">
      <c r="B21" s="165"/>
      <c r="C21" s="165"/>
    </row>
    <row r="22" spans="2:3" ht="15" customHeight="1">
      <c r="B22" s="165"/>
      <c r="C22" s="165"/>
    </row>
    <row r="23" spans="2:3" ht="15" customHeight="1">
      <c r="B23" s="165"/>
      <c r="C23" s="165"/>
    </row>
    <row r="24" spans="2:3" ht="15" customHeight="1">
      <c r="B24" s="165"/>
      <c r="C24" s="165"/>
    </row>
    <row r="25" spans="2:3" ht="15" customHeight="1">
      <c r="B25" s="165"/>
      <c r="C25" s="165"/>
    </row>
    <row r="26" spans="2:3" ht="15" customHeight="1">
      <c r="B26" s="165"/>
      <c r="C26" s="165"/>
    </row>
    <row r="27" spans="2:3" ht="15" customHeight="1">
      <c r="B27" s="165"/>
      <c r="C27" s="165"/>
    </row>
    <row r="28" spans="2:3" ht="15" customHeight="1">
      <c r="B28" s="165"/>
      <c r="C28" s="165"/>
    </row>
    <row r="29" spans="2:3" ht="15" customHeight="1">
      <c r="B29" s="165"/>
      <c r="C29" s="165"/>
    </row>
    <row r="30" spans="2:3" ht="15" customHeight="1">
      <c r="B30" s="165"/>
      <c r="C30" s="165"/>
    </row>
    <row r="31" spans="2:3" ht="15" customHeight="1">
      <c r="B31" s="165"/>
      <c r="C31" s="165"/>
    </row>
    <row r="32" spans="2:3" ht="15" customHeight="1">
      <c r="B32" s="165"/>
      <c r="C32" s="165"/>
    </row>
    <row r="33" spans="2:3" ht="15" customHeight="1">
      <c r="B33" s="165"/>
      <c r="C33" s="165"/>
    </row>
    <row r="34" spans="2:3" ht="15" customHeight="1">
      <c r="B34" s="165"/>
      <c r="C34" s="165"/>
    </row>
    <row r="35" spans="2:3" ht="15" customHeight="1">
      <c r="B35" s="165"/>
      <c r="C35" s="165"/>
    </row>
    <row r="36" spans="2:3" ht="15" customHeight="1">
      <c r="B36" s="165"/>
      <c r="C36" s="165"/>
    </row>
    <row r="37" spans="2:3" ht="15" customHeight="1">
      <c r="B37" s="165"/>
      <c r="C37" s="165"/>
    </row>
    <row r="38" spans="2:3" ht="15" customHeight="1">
      <c r="B38" s="165"/>
      <c r="C38" s="165"/>
    </row>
  </sheetData>
  <autoFilter ref="A2:C2" xr:uid="{00000000-0009-0000-0000-000005000000}"/>
  <mergeCells count="1">
    <mergeCell ref="A1:C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2"/>
  <sheetViews>
    <sheetView showGridLines="0" zoomScale="85" zoomScaleNormal="85" workbookViewId="0">
      <pane ySplit="3" topLeftCell="C4" activePane="bottomLeft" state="frozen"/>
      <selection pane="bottomLeft" activeCell="E10" sqref="E10"/>
    </sheetView>
  </sheetViews>
  <sheetFormatPr defaultRowHeight="15" customHeight="1"/>
  <cols>
    <col min="1" max="1" width="9" customWidth="1"/>
    <col min="2" max="2" width="8" customWidth="1"/>
    <col min="3" max="3" width="67.28515625" customWidth="1"/>
    <col min="4" max="4" width="18" customWidth="1"/>
    <col min="5" max="5" width="134" bestFit="1" customWidth="1"/>
  </cols>
  <sheetData>
    <row r="1" spans="1:5" ht="21.95" customHeight="1">
      <c r="A1" s="287" t="s">
        <v>833</v>
      </c>
      <c r="B1" s="310"/>
      <c r="C1" s="310"/>
      <c r="D1" s="307"/>
    </row>
    <row r="2" spans="1:5" ht="32.1" customHeight="1">
      <c r="A2" s="286" t="s">
        <v>834</v>
      </c>
      <c r="B2" s="309"/>
      <c r="C2" s="309"/>
      <c r="D2" s="309"/>
    </row>
    <row r="3" spans="1:5" ht="36" customHeight="1">
      <c r="A3" s="23" t="s">
        <v>86</v>
      </c>
      <c r="B3" s="23" t="s">
        <v>835</v>
      </c>
      <c r="C3" s="23" t="s">
        <v>836</v>
      </c>
      <c r="D3" s="23" t="s">
        <v>837</v>
      </c>
      <c r="E3" s="23" t="s">
        <v>838</v>
      </c>
    </row>
    <row r="4" spans="1:5" ht="18" customHeight="1">
      <c r="A4" s="302" t="s">
        <v>839</v>
      </c>
      <c r="B4" s="310"/>
      <c r="C4" s="310"/>
      <c r="D4" s="307"/>
    </row>
    <row r="5" spans="1:5" ht="63.75" customHeight="1">
      <c r="A5" s="129" t="s">
        <v>730</v>
      </c>
      <c r="B5" s="129" t="s">
        <v>126</v>
      </c>
      <c r="C5" s="135" t="s">
        <v>840</v>
      </c>
      <c r="D5" s="135" t="s">
        <v>841</v>
      </c>
      <c r="E5" s="164" t="s">
        <v>842</v>
      </c>
    </row>
    <row r="6" spans="1:5" ht="33" customHeight="1">
      <c r="A6" s="129" t="s">
        <v>736</v>
      </c>
      <c r="B6" s="129" t="s">
        <v>126</v>
      </c>
      <c r="C6" s="137" t="s">
        <v>843</v>
      </c>
      <c r="D6" s="137" t="s">
        <v>844</v>
      </c>
    </row>
    <row r="7" spans="1:5" ht="20.25" customHeight="1">
      <c r="A7" s="129" t="s">
        <v>742</v>
      </c>
      <c r="B7" s="129" t="s">
        <v>126</v>
      </c>
      <c r="C7" s="158" t="s">
        <v>845</v>
      </c>
      <c r="D7" s="159"/>
      <c r="E7" t="s">
        <v>846</v>
      </c>
    </row>
    <row r="8" spans="1:5" ht="21" customHeight="1">
      <c r="A8" s="129" t="s">
        <v>747</v>
      </c>
      <c r="B8" s="129" t="s">
        <v>126</v>
      </c>
      <c r="C8" s="143" t="s">
        <v>847</v>
      </c>
      <c r="D8" s="144"/>
    </row>
    <row r="9" spans="1:5" ht="30" customHeight="1">
      <c r="A9" s="129" t="s">
        <v>752</v>
      </c>
      <c r="B9" s="129" t="s">
        <v>126</v>
      </c>
      <c r="C9" s="143" t="s">
        <v>848</v>
      </c>
      <c r="D9" s="144"/>
    </row>
    <row r="10" spans="1:5" ht="30" customHeight="1">
      <c r="A10" s="129" t="s">
        <v>758</v>
      </c>
      <c r="B10" s="161" t="s">
        <v>126</v>
      </c>
      <c r="C10" s="143" t="s">
        <v>849</v>
      </c>
      <c r="D10" s="144"/>
      <c r="E10" t="s">
        <v>846</v>
      </c>
    </row>
    <row r="11" spans="1:5" ht="18" customHeight="1">
      <c r="A11" s="301" t="s">
        <v>850</v>
      </c>
      <c r="B11" s="310"/>
      <c r="C11" s="310"/>
      <c r="D11" s="307"/>
    </row>
    <row r="12" spans="1:5" ht="30.75" customHeight="1">
      <c r="A12" s="130" t="s">
        <v>763</v>
      </c>
      <c r="B12" s="130" t="s">
        <v>126</v>
      </c>
      <c r="C12" s="137" t="s">
        <v>851</v>
      </c>
      <c r="D12" s="137" t="s">
        <v>852</v>
      </c>
    </row>
    <row r="13" spans="1:5" ht="34.5" customHeight="1">
      <c r="A13" s="130" t="s">
        <v>853</v>
      </c>
      <c r="B13" s="130" t="s">
        <v>126</v>
      </c>
      <c r="C13" s="135" t="s">
        <v>854</v>
      </c>
      <c r="D13" s="135" t="s">
        <v>855</v>
      </c>
    </row>
    <row r="14" spans="1:5" ht="33.75" customHeight="1">
      <c r="A14" s="130" t="s">
        <v>856</v>
      </c>
      <c r="B14" s="130" t="s">
        <v>126</v>
      </c>
      <c r="C14" s="137" t="s">
        <v>857</v>
      </c>
      <c r="D14" s="137" t="s">
        <v>858</v>
      </c>
    </row>
    <row r="15" spans="1:5" ht="20.25" customHeight="1">
      <c r="A15" s="130" t="s">
        <v>859</v>
      </c>
      <c r="B15" s="157" t="s">
        <v>126</v>
      </c>
      <c r="C15" s="158" t="s">
        <v>860</v>
      </c>
      <c r="D15" s="137"/>
      <c r="E15" t="s">
        <v>846</v>
      </c>
    </row>
    <row r="16" spans="1:5" ht="25.5" customHeight="1">
      <c r="A16" s="130" t="s">
        <v>861</v>
      </c>
      <c r="B16" s="157" t="s">
        <v>126</v>
      </c>
      <c r="C16" s="158" t="s">
        <v>862</v>
      </c>
      <c r="D16" s="137"/>
      <c r="E16" t="s">
        <v>863</v>
      </c>
    </row>
    <row r="17" spans="1:5" ht="20.25" customHeight="1">
      <c r="A17" s="130" t="s">
        <v>864</v>
      </c>
      <c r="B17" s="157" t="s">
        <v>126</v>
      </c>
      <c r="C17" s="158" t="s">
        <v>865</v>
      </c>
      <c r="D17" s="159"/>
    </row>
    <row r="18" spans="1:5" ht="20.25" customHeight="1">
      <c r="A18" s="130" t="s">
        <v>866</v>
      </c>
      <c r="B18" s="157" t="s">
        <v>126</v>
      </c>
      <c r="C18" s="158" t="s">
        <v>867</v>
      </c>
      <c r="D18" s="159"/>
      <c r="E18" t="s">
        <v>868</v>
      </c>
    </row>
    <row r="19" spans="1:5" ht="18" customHeight="1">
      <c r="A19" s="300" t="s">
        <v>869</v>
      </c>
      <c r="B19" s="310"/>
      <c r="C19" s="310"/>
      <c r="D19" s="307"/>
    </row>
    <row r="20" spans="1:5" ht="35.25" customHeight="1">
      <c r="A20" s="6" t="s">
        <v>769</v>
      </c>
      <c r="B20" s="6" t="s">
        <v>227</v>
      </c>
      <c r="C20" s="145" t="s">
        <v>870</v>
      </c>
      <c r="D20" s="135" t="s">
        <v>871</v>
      </c>
    </row>
    <row r="21" spans="1:5" ht="75" customHeight="1">
      <c r="A21" s="6"/>
      <c r="B21" s="6"/>
      <c r="C21" s="137"/>
      <c r="D21" s="137"/>
    </row>
    <row r="22" spans="1:5" ht="75" customHeight="1">
      <c r="A22" s="6"/>
      <c r="B22" s="6"/>
      <c r="C22" s="135"/>
      <c r="D22" s="135"/>
    </row>
  </sheetData>
  <autoFilter ref="A3:D3" xr:uid="{00000000-0009-0000-0000-000006000000}"/>
  <mergeCells count="5">
    <mergeCell ref="A19:D19"/>
    <mergeCell ref="A2:D2"/>
    <mergeCell ref="A1:D1"/>
    <mergeCell ref="A11:D11"/>
    <mergeCell ref="A4:D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
  <sheetViews>
    <sheetView showGridLines="0" workbookViewId="0">
      <pane ySplit="3" topLeftCell="A5" activePane="bottomLeft" state="frozen"/>
      <selection pane="bottomLeft" sqref="A1:F1"/>
    </sheetView>
  </sheetViews>
  <sheetFormatPr defaultRowHeight="14.45"/>
  <cols>
    <col min="1" max="1" width="6" customWidth="1"/>
    <col min="2" max="2" width="28" customWidth="1"/>
    <col min="3" max="3" width="24" customWidth="1"/>
    <col min="4" max="4" width="44" customWidth="1"/>
    <col min="5" max="5" width="52" customWidth="1"/>
    <col min="6" max="6" width="10" customWidth="1"/>
  </cols>
  <sheetData>
    <row r="1" spans="1:6" ht="24" customHeight="1">
      <c r="A1" s="287" t="s">
        <v>872</v>
      </c>
      <c r="B1" s="310"/>
      <c r="C1" s="310"/>
      <c r="D1" s="310"/>
      <c r="E1" s="310"/>
      <c r="F1" s="307"/>
    </row>
    <row r="2" spans="1:6" ht="18" customHeight="1">
      <c r="A2" s="286" t="s">
        <v>873</v>
      </c>
      <c r="B2" s="309"/>
      <c r="C2" s="309"/>
      <c r="D2" s="309"/>
      <c r="E2" s="309"/>
      <c r="F2" s="309"/>
    </row>
    <row r="3" spans="1:6" ht="24" customHeight="1">
      <c r="A3" s="11" t="s">
        <v>874</v>
      </c>
      <c r="B3" s="11" t="s">
        <v>875</v>
      </c>
      <c r="C3" s="11" t="s">
        <v>876</v>
      </c>
      <c r="D3" s="11" t="s">
        <v>877</v>
      </c>
      <c r="E3" s="11" t="s">
        <v>878</v>
      </c>
      <c r="F3" s="11" t="s">
        <v>811</v>
      </c>
    </row>
    <row r="4" spans="1:6" ht="90" customHeight="1">
      <c r="A4" s="146">
        <v>1</v>
      </c>
      <c r="B4" s="147" t="s">
        <v>879</v>
      </c>
      <c r="C4" s="8" t="s">
        <v>880</v>
      </c>
      <c r="D4" s="8" t="s">
        <v>881</v>
      </c>
      <c r="E4" s="8" t="s">
        <v>882</v>
      </c>
      <c r="F4" s="148" t="s">
        <v>618</v>
      </c>
    </row>
    <row r="5" spans="1:6" ht="90" customHeight="1">
      <c r="A5" s="146">
        <v>2</v>
      </c>
      <c r="B5" s="149" t="s">
        <v>883</v>
      </c>
      <c r="C5" s="142" t="s">
        <v>884</v>
      </c>
      <c r="D5" s="142" t="s">
        <v>885</v>
      </c>
      <c r="E5" s="142" t="s">
        <v>886</v>
      </c>
      <c r="F5" s="148" t="s">
        <v>618</v>
      </c>
    </row>
    <row r="6" spans="1:6" ht="90" customHeight="1">
      <c r="A6" s="146">
        <v>3</v>
      </c>
      <c r="B6" s="147" t="s">
        <v>887</v>
      </c>
      <c r="C6" s="8" t="s">
        <v>888</v>
      </c>
      <c r="D6" s="8" t="s">
        <v>889</v>
      </c>
      <c r="E6" s="8" t="s">
        <v>890</v>
      </c>
      <c r="F6" s="148" t="s">
        <v>618</v>
      </c>
    </row>
    <row r="7" spans="1:6" ht="90" customHeight="1">
      <c r="A7" s="146">
        <v>4</v>
      </c>
      <c r="B7" s="149" t="s">
        <v>891</v>
      </c>
      <c r="C7" s="142" t="s">
        <v>892</v>
      </c>
      <c r="D7" s="142" t="s">
        <v>893</v>
      </c>
      <c r="E7" s="142" t="s">
        <v>894</v>
      </c>
      <c r="F7" s="150" t="s">
        <v>625</v>
      </c>
    </row>
    <row r="8" spans="1:6" ht="90" customHeight="1">
      <c r="A8" s="146">
        <v>5</v>
      </c>
      <c r="B8" s="147" t="s">
        <v>895</v>
      </c>
      <c r="C8" s="8" t="s">
        <v>896</v>
      </c>
      <c r="D8" s="8" t="s">
        <v>897</v>
      </c>
      <c r="E8" s="8" t="s">
        <v>898</v>
      </c>
      <c r="F8" s="150" t="s">
        <v>625</v>
      </c>
    </row>
    <row r="9" spans="1:6" ht="80.099999999999994" customHeight="1">
      <c r="A9" s="303" t="s">
        <v>899</v>
      </c>
      <c r="B9" s="304" t="s">
        <v>900</v>
      </c>
      <c r="C9" s="314"/>
      <c r="D9" s="314"/>
      <c r="E9" s="314"/>
      <c r="F9" s="315"/>
    </row>
    <row r="10" spans="1:6" ht="39.950000000000003" customHeight="1">
      <c r="A10" s="316"/>
      <c r="B10" s="317"/>
      <c r="C10" s="318"/>
      <c r="D10" s="318"/>
      <c r="E10" s="318"/>
      <c r="F10" s="319"/>
    </row>
  </sheetData>
  <mergeCells count="4">
    <mergeCell ref="A2:F2"/>
    <mergeCell ref="A1:F1"/>
    <mergeCell ref="A9:A10"/>
    <mergeCell ref="B9:F10"/>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2"/>
  <sheetViews>
    <sheetView showGridLines="0" workbookViewId="0">
      <selection sqref="A1:C1"/>
    </sheetView>
  </sheetViews>
  <sheetFormatPr defaultRowHeight="14.45"/>
  <cols>
    <col min="1" max="1" width="12" customWidth="1"/>
    <col min="2" max="2" width="40" customWidth="1"/>
    <col min="3" max="3" width="70" customWidth="1"/>
  </cols>
  <sheetData>
    <row r="1" spans="1:3" ht="21.95" customHeight="1">
      <c r="A1" s="287" t="s">
        <v>901</v>
      </c>
      <c r="B1" s="310"/>
      <c r="C1" s="307"/>
    </row>
    <row r="2" spans="1:3" ht="21.95" customHeight="1">
      <c r="A2" s="11" t="s">
        <v>902</v>
      </c>
      <c r="B2" s="11" t="s">
        <v>903</v>
      </c>
      <c r="C2" s="11" t="s">
        <v>904</v>
      </c>
    </row>
    <row r="3" spans="1:3" ht="44.1" customHeight="1">
      <c r="A3" s="151" t="s">
        <v>905</v>
      </c>
      <c r="B3" s="8" t="s">
        <v>906</v>
      </c>
      <c r="C3" s="8" t="s">
        <v>907</v>
      </c>
    </row>
    <row r="4" spans="1:3" ht="44.1" customHeight="1">
      <c r="A4" s="151" t="s">
        <v>908</v>
      </c>
      <c r="B4" s="142" t="s">
        <v>909</v>
      </c>
      <c r="C4" s="142" t="s">
        <v>910</v>
      </c>
    </row>
    <row r="5" spans="1:3" ht="44.1" customHeight="1">
      <c r="A5" s="151" t="s">
        <v>911</v>
      </c>
      <c r="B5" s="8" t="s">
        <v>912</v>
      </c>
      <c r="C5" s="8" t="s">
        <v>913</v>
      </c>
    </row>
    <row r="6" spans="1:3" ht="44.1" customHeight="1">
      <c r="A6" s="151" t="s">
        <v>914</v>
      </c>
      <c r="B6" s="142" t="s">
        <v>915</v>
      </c>
      <c r="C6" s="142" t="s">
        <v>916</v>
      </c>
    </row>
    <row r="7" spans="1:3" ht="44.1" customHeight="1">
      <c r="A7" s="151" t="s">
        <v>917</v>
      </c>
      <c r="B7" s="8" t="s">
        <v>918</v>
      </c>
      <c r="C7" s="8" t="s">
        <v>919</v>
      </c>
    </row>
    <row r="8" spans="1:3" ht="44.1" customHeight="1">
      <c r="A8" s="151" t="s">
        <v>920</v>
      </c>
      <c r="B8" s="142" t="s">
        <v>921</v>
      </c>
      <c r="C8" s="142" t="s">
        <v>922</v>
      </c>
    </row>
    <row r="9" spans="1:3" ht="44.1" customHeight="1">
      <c r="A9" s="151" t="s">
        <v>923</v>
      </c>
      <c r="B9" s="8" t="s">
        <v>924</v>
      </c>
      <c r="C9" s="8" t="s">
        <v>925</v>
      </c>
    </row>
    <row r="10" spans="1:3" ht="44.1" customHeight="1">
      <c r="A10" s="151" t="s">
        <v>926</v>
      </c>
      <c r="B10" s="142" t="s">
        <v>927</v>
      </c>
      <c r="C10" s="142" t="s">
        <v>928</v>
      </c>
    </row>
    <row r="11" spans="1:3" ht="44.1" customHeight="1">
      <c r="A11" s="151" t="s">
        <v>929</v>
      </c>
      <c r="B11" s="8" t="s">
        <v>930</v>
      </c>
      <c r="C11" s="8" t="s">
        <v>931</v>
      </c>
    </row>
    <row r="12" spans="1:3" ht="44.1" customHeight="1">
      <c r="A12" s="151" t="s">
        <v>932</v>
      </c>
      <c r="B12" s="142" t="s">
        <v>933</v>
      </c>
      <c r="C12" s="142" t="s">
        <v>934</v>
      </c>
    </row>
  </sheetData>
  <mergeCells count="1">
    <mergeCell ref="A1:C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63"/>
  <sheetViews>
    <sheetView showGridLines="0" topLeftCell="A27" workbookViewId="0">
      <selection sqref="A1:B1"/>
    </sheetView>
  </sheetViews>
  <sheetFormatPr defaultRowHeight="14.45"/>
  <cols>
    <col min="1" max="1" width="18" customWidth="1"/>
    <col min="2" max="2" width="70" customWidth="1"/>
  </cols>
  <sheetData>
    <row r="1" spans="1:2" ht="21.95" customHeight="1">
      <c r="A1" s="287" t="s">
        <v>935</v>
      </c>
      <c r="B1" s="307"/>
    </row>
    <row r="2" spans="1:2" ht="21.95" customHeight="1">
      <c r="A2" s="11" t="s">
        <v>936</v>
      </c>
      <c r="B2" s="11" t="s">
        <v>937</v>
      </c>
    </row>
    <row r="3" spans="1:2" ht="24" customHeight="1">
      <c r="A3" s="151" t="s">
        <v>938</v>
      </c>
      <c r="B3" s="8" t="s">
        <v>939</v>
      </c>
    </row>
    <row r="4" spans="1:2" ht="24" customHeight="1">
      <c r="A4" s="151" t="s">
        <v>940</v>
      </c>
      <c r="B4" s="142" t="s">
        <v>941</v>
      </c>
    </row>
    <row r="5" spans="1:2" ht="24" customHeight="1">
      <c r="A5" s="151" t="s">
        <v>942</v>
      </c>
      <c r="B5" s="8" t="s">
        <v>943</v>
      </c>
    </row>
    <row r="6" spans="1:2" ht="24" customHeight="1">
      <c r="A6" s="151" t="s">
        <v>944</v>
      </c>
      <c r="B6" s="142" t="s">
        <v>945</v>
      </c>
    </row>
    <row r="7" spans="1:2" ht="24" customHeight="1">
      <c r="A7" s="151" t="s">
        <v>88</v>
      </c>
      <c r="B7" s="8" t="s">
        <v>946</v>
      </c>
    </row>
    <row r="8" spans="1:2" ht="24" customHeight="1">
      <c r="A8" s="151" t="s">
        <v>947</v>
      </c>
      <c r="B8" s="142" t="s">
        <v>948</v>
      </c>
    </row>
    <row r="9" spans="1:2" ht="24" customHeight="1">
      <c r="A9" s="151" t="s">
        <v>949</v>
      </c>
      <c r="B9" s="8" t="s">
        <v>950</v>
      </c>
    </row>
    <row r="10" spans="1:2" ht="24" customHeight="1">
      <c r="A10" s="151" t="s">
        <v>951</v>
      </c>
      <c r="B10" s="142" t="s">
        <v>952</v>
      </c>
    </row>
    <row r="11" spans="1:2" ht="24" customHeight="1">
      <c r="A11" s="151" t="s">
        <v>953</v>
      </c>
      <c r="B11" s="8" t="s">
        <v>954</v>
      </c>
    </row>
    <row r="12" spans="1:2" ht="24" customHeight="1">
      <c r="A12" s="151" t="s">
        <v>955</v>
      </c>
      <c r="B12" s="142" t="s">
        <v>956</v>
      </c>
    </row>
    <row r="13" spans="1:2" ht="24" customHeight="1">
      <c r="A13" s="151" t="s">
        <v>957</v>
      </c>
      <c r="B13" s="8" t="s">
        <v>958</v>
      </c>
    </row>
    <row r="14" spans="1:2" ht="24" customHeight="1">
      <c r="A14" s="151" t="s">
        <v>959</v>
      </c>
      <c r="B14" s="142" t="s">
        <v>960</v>
      </c>
    </row>
    <row r="15" spans="1:2" ht="24" customHeight="1">
      <c r="A15" s="151" t="s">
        <v>961</v>
      </c>
      <c r="B15" s="8" t="s">
        <v>962</v>
      </c>
    </row>
    <row r="16" spans="1:2" ht="24" customHeight="1">
      <c r="A16" s="151" t="s">
        <v>963</v>
      </c>
      <c r="B16" s="142" t="s">
        <v>964</v>
      </c>
    </row>
    <row r="17" spans="1:2" ht="24" customHeight="1">
      <c r="A17" s="151" t="s">
        <v>965</v>
      </c>
      <c r="B17" s="8" t="s">
        <v>966</v>
      </c>
    </row>
    <row r="18" spans="1:2" ht="24" customHeight="1">
      <c r="A18" s="151" t="s">
        <v>967</v>
      </c>
      <c r="B18" s="142" t="s">
        <v>968</v>
      </c>
    </row>
    <row r="19" spans="1:2" ht="24" customHeight="1">
      <c r="A19" s="151" t="s">
        <v>969</v>
      </c>
      <c r="B19" s="8" t="s">
        <v>970</v>
      </c>
    </row>
    <row r="20" spans="1:2" ht="24" customHeight="1">
      <c r="A20" s="151" t="s">
        <v>971</v>
      </c>
      <c r="B20" s="142" t="s">
        <v>972</v>
      </c>
    </row>
    <row r="21" spans="1:2" ht="24" customHeight="1">
      <c r="A21" s="151" t="s">
        <v>973</v>
      </c>
      <c r="B21" s="8" t="s">
        <v>974</v>
      </c>
    </row>
    <row r="22" spans="1:2" ht="24" customHeight="1">
      <c r="A22" s="151" t="s">
        <v>975</v>
      </c>
      <c r="B22" s="142" t="s">
        <v>976</v>
      </c>
    </row>
    <row r="23" spans="1:2" ht="24" customHeight="1">
      <c r="A23" s="151" t="s">
        <v>977</v>
      </c>
      <c r="B23" s="8" t="s">
        <v>978</v>
      </c>
    </row>
    <row r="24" spans="1:2" ht="24" customHeight="1">
      <c r="A24" s="151" t="s">
        <v>979</v>
      </c>
      <c r="B24" s="142" t="s">
        <v>980</v>
      </c>
    </row>
    <row r="25" spans="1:2" ht="24" customHeight="1">
      <c r="A25" s="151" t="s">
        <v>981</v>
      </c>
      <c r="B25" s="8" t="s">
        <v>982</v>
      </c>
    </row>
    <row r="26" spans="1:2" ht="24" customHeight="1">
      <c r="A26" s="151" t="s">
        <v>983</v>
      </c>
      <c r="B26" s="142" t="s">
        <v>984</v>
      </c>
    </row>
    <row r="27" spans="1:2" ht="24" customHeight="1">
      <c r="A27" s="151" t="s">
        <v>985</v>
      </c>
      <c r="B27" s="8" t="s">
        <v>986</v>
      </c>
    </row>
    <row r="28" spans="1:2" ht="24" customHeight="1">
      <c r="A28" s="151" t="s">
        <v>987</v>
      </c>
      <c r="B28" s="142" t="s">
        <v>988</v>
      </c>
    </row>
    <row r="29" spans="1:2" ht="24" customHeight="1">
      <c r="A29" s="151" t="s">
        <v>989</v>
      </c>
      <c r="B29" s="8" t="s">
        <v>909</v>
      </c>
    </row>
    <row r="30" spans="1:2" ht="24" customHeight="1">
      <c r="A30" s="151" t="s">
        <v>990</v>
      </c>
      <c r="B30" s="142" t="s">
        <v>991</v>
      </c>
    </row>
    <row r="31" spans="1:2" ht="24" customHeight="1">
      <c r="A31" s="151" t="s">
        <v>992</v>
      </c>
      <c r="B31" s="8" t="s">
        <v>993</v>
      </c>
    </row>
    <row r="32" spans="1:2" ht="24" customHeight="1">
      <c r="A32" s="151" t="s">
        <v>994</v>
      </c>
      <c r="B32" s="142" t="s">
        <v>995</v>
      </c>
    </row>
    <row r="33" spans="1:2" ht="24" customHeight="1">
      <c r="A33" s="151" t="s">
        <v>996</v>
      </c>
      <c r="B33" s="8" t="s">
        <v>997</v>
      </c>
    </row>
    <row r="34" spans="1:2" ht="24" customHeight="1">
      <c r="A34" s="151" t="s">
        <v>998</v>
      </c>
      <c r="B34" s="142" t="s">
        <v>999</v>
      </c>
    </row>
    <row r="35" spans="1:2" ht="24" customHeight="1">
      <c r="A35" s="151" t="s">
        <v>1000</v>
      </c>
      <c r="B35" s="8" t="s">
        <v>1001</v>
      </c>
    </row>
    <row r="36" spans="1:2" ht="24" customHeight="1">
      <c r="A36" s="151" t="s">
        <v>1002</v>
      </c>
      <c r="B36" s="142" t="s">
        <v>1003</v>
      </c>
    </row>
    <row r="37" spans="1:2" ht="24" customHeight="1">
      <c r="A37" s="151" t="s">
        <v>1004</v>
      </c>
      <c r="B37" s="8" t="s">
        <v>1005</v>
      </c>
    </row>
    <row r="38" spans="1:2" ht="24" customHeight="1">
      <c r="A38" s="151" t="s">
        <v>1006</v>
      </c>
      <c r="B38" s="142" t="s">
        <v>1007</v>
      </c>
    </row>
    <row r="39" spans="1:2" ht="24" customHeight="1">
      <c r="A39" s="151" t="s">
        <v>1008</v>
      </c>
      <c r="B39" s="8" t="s">
        <v>1009</v>
      </c>
    </row>
    <row r="40" spans="1:2" ht="24" customHeight="1">
      <c r="A40" s="151" t="s">
        <v>1010</v>
      </c>
      <c r="B40" s="142" t="s">
        <v>1011</v>
      </c>
    </row>
    <row r="41" spans="1:2" ht="24" customHeight="1">
      <c r="A41" s="151" t="s">
        <v>1012</v>
      </c>
      <c r="B41" s="8" t="s">
        <v>1013</v>
      </c>
    </row>
    <row r="42" spans="1:2" ht="24" customHeight="1">
      <c r="A42" s="151" t="s">
        <v>1014</v>
      </c>
      <c r="B42" s="142" t="s">
        <v>1015</v>
      </c>
    </row>
    <row r="43" spans="1:2" ht="24" customHeight="1">
      <c r="A43" s="151" t="s">
        <v>1016</v>
      </c>
      <c r="B43" s="8" t="s">
        <v>1017</v>
      </c>
    </row>
    <row r="44" spans="1:2" ht="24" customHeight="1">
      <c r="A44" s="151" t="s">
        <v>87</v>
      </c>
      <c r="B44" s="142" t="s">
        <v>1018</v>
      </c>
    </row>
    <row r="45" spans="1:2" ht="24" customHeight="1">
      <c r="A45" s="151" t="s">
        <v>1019</v>
      </c>
      <c r="B45" s="8" t="s">
        <v>1020</v>
      </c>
    </row>
    <row r="46" spans="1:2" ht="24" customHeight="1">
      <c r="A46" s="151" t="s">
        <v>1021</v>
      </c>
      <c r="B46" s="142" t="s">
        <v>1022</v>
      </c>
    </row>
    <row r="47" spans="1:2" ht="24" customHeight="1">
      <c r="A47" s="151" t="s">
        <v>1023</v>
      </c>
      <c r="B47" s="8" t="s">
        <v>1024</v>
      </c>
    </row>
    <row r="48" spans="1:2" ht="24" customHeight="1">
      <c r="A48" s="151" t="s">
        <v>1025</v>
      </c>
      <c r="B48" s="142" t="s">
        <v>1026</v>
      </c>
    </row>
    <row r="49" spans="1:2" ht="24" customHeight="1">
      <c r="A49" s="151" t="s">
        <v>1027</v>
      </c>
      <c r="B49" s="8" t="s">
        <v>1028</v>
      </c>
    </row>
    <row r="50" spans="1:2" ht="24" customHeight="1">
      <c r="A50" s="151" t="s">
        <v>1029</v>
      </c>
      <c r="B50" s="142" t="s">
        <v>1030</v>
      </c>
    </row>
    <row r="51" spans="1:2" ht="24" customHeight="1">
      <c r="A51" s="151" t="s">
        <v>1031</v>
      </c>
      <c r="B51" s="8" t="s">
        <v>1032</v>
      </c>
    </row>
    <row r="52" spans="1:2" ht="24" customHeight="1">
      <c r="A52" s="151" t="s">
        <v>1033</v>
      </c>
      <c r="B52" s="142" t="s">
        <v>1034</v>
      </c>
    </row>
    <row r="53" spans="1:2" ht="24" customHeight="1">
      <c r="A53" s="151" t="s">
        <v>1035</v>
      </c>
      <c r="B53" s="8" t="s">
        <v>1036</v>
      </c>
    </row>
    <row r="54" spans="1:2" ht="24" customHeight="1">
      <c r="A54" s="151" t="s">
        <v>1037</v>
      </c>
      <c r="B54" s="142" t="s">
        <v>1038</v>
      </c>
    </row>
    <row r="55" spans="1:2" ht="24" customHeight="1">
      <c r="A55" s="151" t="s">
        <v>1039</v>
      </c>
      <c r="B55" s="8" t="s">
        <v>1040</v>
      </c>
    </row>
    <row r="56" spans="1:2" ht="24" customHeight="1">
      <c r="A56" s="151" t="s">
        <v>1041</v>
      </c>
      <c r="B56" s="142" t="s">
        <v>1042</v>
      </c>
    </row>
    <row r="57" spans="1:2" ht="24" customHeight="1">
      <c r="A57" s="151" t="s">
        <v>1043</v>
      </c>
      <c r="B57" s="8" t="s">
        <v>1044</v>
      </c>
    </row>
    <row r="58" spans="1:2" ht="24" customHeight="1">
      <c r="A58" s="151" t="s">
        <v>1045</v>
      </c>
      <c r="B58" s="142" t="s">
        <v>1046</v>
      </c>
    </row>
    <row r="59" spans="1:2" ht="24" customHeight="1">
      <c r="A59" s="151" t="s">
        <v>1047</v>
      </c>
      <c r="B59" s="8" t="s">
        <v>1048</v>
      </c>
    </row>
    <row r="60" spans="1:2" ht="24" customHeight="1">
      <c r="A60" s="151" t="s">
        <v>1049</v>
      </c>
      <c r="B60" s="142" t="s">
        <v>1050</v>
      </c>
    </row>
    <row r="61" spans="1:2" ht="24" customHeight="1">
      <c r="A61" s="151" t="s">
        <v>1051</v>
      </c>
      <c r="B61" s="8" t="s">
        <v>1052</v>
      </c>
    </row>
    <row r="62" spans="1:2" ht="24" customHeight="1">
      <c r="A62" s="151" t="s">
        <v>1053</v>
      </c>
      <c r="B62" s="142" t="s">
        <v>1054</v>
      </c>
    </row>
    <row r="63" spans="1:2" ht="44.1" customHeight="1">
      <c r="A63" s="151" t="s">
        <v>1055</v>
      </c>
      <c r="B63" s="152" t="s">
        <v>1056</v>
      </c>
    </row>
  </sheetData>
  <mergeCells count="1">
    <mergeCell ref="A1:B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c3fb4c2-0da0-4d0a-ba1a-d31282cddde4">
      <Terms xmlns="http://schemas.microsoft.com/office/infopath/2007/PartnerControls"/>
    </lcf76f155ced4ddcb4097134ff3c332f>
    <TaxCatchAll xmlns="768ec260-3609-4363-825e-a27f1225886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65B27A65603CCE4286BCFAF569B13952" ma:contentTypeVersion="12" ma:contentTypeDescription="Criar um novo documento." ma:contentTypeScope="" ma:versionID="e8ed86e5e11f9f02dcb9587e66bef5b7">
  <xsd:schema xmlns:xsd="http://www.w3.org/2001/XMLSchema" xmlns:xs="http://www.w3.org/2001/XMLSchema" xmlns:p="http://schemas.microsoft.com/office/2006/metadata/properties" xmlns:ns2="1c3fb4c2-0da0-4d0a-ba1a-d31282cddde4" xmlns:ns3="768ec260-3609-4363-825e-a27f12258866" targetNamespace="http://schemas.microsoft.com/office/2006/metadata/properties" ma:root="true" ma:fieldsID="e12a2af26451616c9c41a45c543fea80" ns2:_="" ns3:_="">
    <xsd:import namespace="1c3fb4c2-0da0-4d0a-ba1a-d31282cddde4"/>
    <xsd:import namespace="768ec260-3609-4363-825e-a27f122588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3fb4c2-0da0-4d0a-ba1a-d31282cddd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m" ma:readOnly="false" ma:fieldId="{5cf76f15-5ced-4ddc-b409-7134ff3c332f}" ma:taxonomyMulti="true" ma:sspId="f8f0716f-eab5-442c-b43b-7dcdbaec426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8ec260-3609-4363-825e-a27f1225886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62ef64b-3660-49a0-8a9d-71bfcb2a4adc}" ma:internalName="TaxCatchAll" ma:showField="CatchAllData" ma:web="768ec260-3609-4363-825e-a27f122588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FD16C8-DC1C-443B-92C4-17A1F32B48ED}"/>
</file>

<file path=customXml/itemProps2.xml><?xml version="1.0" encoding="utf-8"?>
<ds:datastoreItem xmlns:ds="http://schemas.openxmlformats.org/officeDocument/2006/customXml" ds:itemID="{07AD765A-61A4-4591-849C-F8EC707EDBC6}"/>
</file>

<file path=customXml/itemProps3.xml><?xml version="1.0" encoding="utf-8"?>
<ds:datastoreItem xmlns:ds="http://schemas.openxmlformats.org/officeDocument/2006/customXml" ds:itemID="{03AA7062-D020-48F9-B99E-8CDDA8FAE63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johan.bjorklund@student.fhs.se</cp:lastModifiedBy>
  <cp:revision/>
  <dcterms:created xsi:type="dcterms:W3CDTF">2026-05-01T21:33:17Z</dcterms:created>
  <dcterms:modified xsi:type="dcterms:W3CDTF">2026-05-08T08:09:49Z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0x01010065B27A65603CCE4286BCFAF569B13952</vt:lpwstr>
  </property>
  <property fmtid="{D5CDD505-2E9C-101B-9397-08002B2CF9AE}" pid="3" name="MediaServiceImageTags">
    <vt:lpwstr/>
  </property>
</Properties>
</file>