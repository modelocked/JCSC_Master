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JCSC\10. OPP\cjex\Products\CJEX_final_products\"/>
    </mc:Choice>
  </mc:AlternateContent>
  <xr:revisionPtr revIDLastSave="0" documentId="13_ncr:1_{8B8C0165-B997-44E2-BDAC-CB1E7CBB6334}" xr6:coauthVersionLast="47" xr6:coauthVersionMax="47" xr10:uidLastSave="{00000000-0000-0000-0000-000000000000}"/>
  <bookViews>
    <workbookView xWindow="67080" yWindow="-120" windowWidth="29040" windowHeight="17520" xr2:uid="{00000000-000D-0000-FFFF-FFFF00000000}"/>
  </bookViews>
  <sheets>
    <sheet name="Factor Analysis" sheetId="1" r:id="rId1"/>
    <sheet name="Source Basis" sheetId="3" r:id="rId2"/>
    <sheet name="Summary" sheetId="4"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6" i="1" l="1"/>
  <c r="E76" i="1" s="1"/>
  <c r="C75" i="1"/>
  <c r="E75" i="1" s="1"/>
  <c r="C74" i="1"/>
  <c r="E74" i="1" s="1"/>
  <c r="C73" i="1"/>
  <c r="E73" i="1" s="1"/>
  <c r="C72" i="1"/>
  <c r="E72" i="1" s="1"/>
  <c r="C71" i="1"/>
  <c r="E71" i="1" s="1"/>
  <c r="C70" i="1"/>
  <c r="E70" i="1" s="1"/>
  <c r="C69" i="1"/>
  <c r="E69" i="1" s="1"/>
  <c r="C68" i="1"/>
  <c r="E68" i="1" s="1"/>
  <c r="C67" i="1"/>
  <c r="E67" i="1" s="1"/>
  <c r="C66" i="1"/>
  <c r="E66" i="1" s="1"/>
  <c r="C65" i="1"/>
  <c r="E65" i="1" s="1"/>
  <c r="C64" i="1"/>
  <c r="E64" i="1" s="1"/>
  <c r="E63" i="1"/>
  <c r="C63" i="1"/>
  <c r="C62" i="1"/>
  <c r="E62" i="1" s="1"/>
  <c r="C61" i="1"/>
  <c r="E61" i="1" s="1"/>
  <c r="C60" i="1"/>
  <c r="E60" i="1" s="1"/>
  <c r="C59" i="1"/>
  <c r="E59" i="1" s="1"/>
  <c r="C58" i="1"/>
  <c r="E58" i="1" s="1"/>
  <c r="C57" i="1"/>
  <c r="E57" i="1" s="1"/>
  <c r="C56" i="1"/>
  <c r="E56" i="1" s="1"/>
  <c r="C55" i="1"/>
  <c r="E55" i="1" s="1"/>
  <c r="C54" i="1"/>
  <c r="E54" i="1" s="1"/>
  <c r="C53" i="1"/>
  <c r="E53" i="1" s="1"/>
  <c r="C52" i="1"/>
  <c r="E52" i="1" s="1"/>
  <c r="C51" i="1"/>
  <c r="E51" i="1" s="1"/>
  <c r="C50" i="1"/>
  <c r="E50" i="1" s="1"/>
  <c r="C49" i="1"/>
  <c r="E49" i="1" s="1"/>
  <c r="C48" i="1"/>
  <c r="E48" i="1" s="1"/>
  <c r="C47" i="1"/>
  <c r="E47" i="1" s="1"/>
  <c r="C46" i="1"/>
  <c r="E46" i="1" s="1"/>
  <c r="C45" i="1"/>
  <c r="E45" i="1" s="1"/>
  <c r="C44" i="1"/>
  <c r="E44" i="1" s="1"/>
  <c r="C43" i="1"/>
  <c r="E43" i="1" s="1"/>
  <c r="C42" i="1"/>
  <c r="E42" i="1" s="1"/>
  <c r="C41" i="1"/>
  <c r="E41" i="1" s="1"/>
  <c r="C40" i="1"/>
  <c r="E40" i="1" s="1"/>
  <c r="C39" i="1"/>
  <c r="E39" i="1" s="1"/>
  <c r="C38" i="1"/>
  <c r="E38" i="1" s="1"/>
  <c r="C37" i="1"/>
  <c r="E37" i="1" s="1"/>
  <c r="C36" i="1"/>
  <c r="E36" i="1" s="1"/>
  <c r="C35" i="1"/>
  <c r="E35" i="1" s="1"/>
  <c r="C34" i="1"/>
  <c r="E34" i="1" s="1"/>
  <c r="C33" i="1"/>
  <c r="E33" i="1" s="1"/>
  <c r="C32" i="1"/>
  <c r="E32" i="1" s="1"/>
  <c r="C31" i="1"/>
  <c r="E31" i="1" s="1"/>
  <c r="C30" i="1"/>
  <c r="E30" i="1" s="1"/>
  <c r="C29" i="1"/>
  <c r="E29" i="1" s="1"/>
  <c r="C28" i="1"/>
  <c r="E28" i="1" s="1"/>
  <c r="C27" i="1"/>
  <c r="E27" i="1" s="1"/>
  <c r="C26" i="1"/>
  <c r="E26" i="1" s="1"/>
  <c r="C25" i="1"/>
  <c r="E25" i="1" s="1"/>
  <c r="C24" i="1"/>
  <c r="E24" i="1" s="1"/>
  <c r="C23" i="1"/>
  <c r="E23" i="1" s="1"/>
  <c r="C22" i="1"/>
  <c r="E22" i="1" s="1"/>
  <c r="C21" i="1"/>
  <c r="E21" i="1" s="1"/>
  <c r="C20" i="1"/>
  <c r="E20" i="1" s="1"/>
  <c r="C19" i="1"/>
  <c r="E19" i="1" s="1"/>
  <c r="C18" i="1"/>
  <c r="E18" i="1" s="1"/>
  <c r="C17" i="1"/>
  <c r="E17" i="1" s="1"/>
  <c r="C16" i="1"/>
  <c r="E16" i="1" s="1"/>
  <c r="C15" i="1"/>
  <c r="E15" i="1" s="1"/>
  <c r="C14" i="1"/>
  <c r="E14" i="1" s="1"/>
  <c r="C13" i="1"/>
  <c r="E13" i="1" s="1"/>
  <c r="C12" i="1"/>
  <c r="E12" i="1" s="1"/>
  <c r="C11" i="1"/>
  <c r="E11" i="1" s="1"/>
  <c r="C10" i="1"/>
  <c r="E10" i="1" s="1"/>
  <c r="C9" i="1"/>
  <c r="E9" i="1" s="1"/>
  <c r="C8" i="1"/>
  <c r="E8" i="1" s="1"/>
  <c r="C7" i="1"/>
  <c r="E7" i="1" s="1"/>
  <c r="C6" i="1"/>
  <c r="E6" i="1" s="1"/>
  <c r="C5" i="1"/>
  <c r="E5" i="1" s="1"/>
</calcChain>
</file>

<file path=xl/sharedStrings.xml><?xml version="1.0" encoding="utf-8"?>
<sst xmlns="http://schemas.openxmlformats.org/spreadsheetml/2006/main" count="249" uniqueCount="178">
  <si>
    <t>CJEX Factor Analysis — Drone Threat, Static Nodes and Logistics Vulnerability</t>
  </si>
  <si>
    <t>Formula-driven serials: Charlie = Factor.Deduction; Echo = Factor.Deduction.Conclusion. Hidden helper columns H:I hold deduction/conclusion counters.</t>
  </si>
  <si>
    <t>NATO Exercise Hedgehog / UAS lessons for light infantry and force protection</t>
  </si>
  <si>
    <t>Skilled UAS operators can generate disproportionate lethality against units that move, bunch, pause or expose themselves without organic C-UAS, even in training environments intended to prepare NATO forces.</t>
  </si>
  <si>
    <t>Thesis Draft 3; Light Infantry Drone Survival Minimum; Cosantóir Article 1</t>
  </si>
  <si>
    <t>Air defence and C-UAS must be treated as a ground-force survival requirement, not a specialist rear-area function.</t>
  </si>
  <si>
    <t>J4 must ensure C-UAS protection is allocated to sustainment, staging and force protection nodes from the start of deployment.</t>
  </si>
  <si>
    <t>Western training has shown uneven adaptation: exposed movement, tight formations, poor dispersion and lack of C-UAS sentries remain visible weaknesses.</t>
  </si>
  <si>
    <t>WAFOR should not assume formed units arrive tactically adapted to a drone-saturated environment.</t>
  </si>
  <si>
    <t>Reception, staging and onward movement must include immediate C-UAS drills and force-protection checks.</t>
  </si>
  <si>
    <t>Units moving from APOD/SPOD to assembly areas should be dispersed, timed and covered by C-UAS and ISR.</t>
  </si>
  <si>
    <t>Movement is best understood as timed exposure: every visible move across open or semi-open ground starts a detection-to-engagement clock.</t>
  </si>
  <si>
    <t>WAFOR movement tables should include exposure windows, drone halts and alternate routes, not only distance and time.</t>
  </si>
  <si>
    <t>Logistics convoys must avoid predictable patterning and repeated use of the same route at the same time.</t>
  </si>
  <si>
    <t>Commanders must regard delay at choke points, ferry crossings, gates and port exits as a force-protection risk.</t>
  </si>
  <si>
    <t>The drone threat persists even where the battlefield is not fully transparent; drones need not see everything to be decisive because they are very good at detecting movement.</t>
  </si>
  <si>
    <t>WAFOR should manage signature and movement discipline even during crisis management operations short of major combat.</t>
  </si>
  <si>
    <t>Troops, logisticians and contractors should be trained to act on drone sighting, drone detection and drone strike warning.</t>
  </si>
  <si>
    <t>Force protection must include camouflage, overhead cover, smoke, thermal discipline and hard-kill C-UAS where feasible.</t>
  </si>
  <si>
    <t>Electronic warfare can disrupt drone control links, but EW alone cannot be assumed to defeat fibre-optic, autonomous, waiter or pre-positioned FPV threats.</t>
  </si>
  <si>
    <t>WAFOR requires layered C-UAS: detection, EW, obscuration, kinetic hard-kill and procedures for downed armed drones.</t>
  </si>
  <si>
    <t>Hard-kill C-UAS must extend down to detachments protecting logistics and fixed sites.</t>
  </si>
  <si>
    <t>C-UAS ammunition, spares and batteries should be held as core sustainment commodities.</t>
  </si>
  <si>
    <t>Iran-linked drone strikes on U.S. bases / stationary force vulnerability in crisis management</t>
  </si>
  <si>
    <t>The attack pattern against U.S. bases demonstrates that fixed sites can be targeted by low-cost UAS even outside high-intensity manoeuvre warfare.</t>
  </si>
  <si>
    <t>WAFOR base defence cannot be built around manoeuvre assumptions; stationary sites need their own layered protection.</t>
  </si>
  <si>
    <t>Thesis Draft 3; Light Infantry Drone Survival Minimum; user direction on Iran-linked base strikes</t>
  </si>
  <si>
    <t>APODs, SPODs, JLSG nodes, medical sites and headquarters must be treated as high-payoff targets.</t>
  </si>
  <si>
    <t>Crisis management posture does not reduce the need for air defence; it often increases the exposure of static forces.</t>
  </si>
  <si>
    <t>Stationary troops, logisticians and base-support personnel are vulnerable because they cannot simply manoeuvre away from the drone threat.</t>
  </si>
  <si>
    <t>Maneuvre warfare does not mitigate the drone threat for static forces or logistics convoys.</t>
  </si>
  <si>
    <t>J4 should assume sustainment nodes will be observed, mapped and revisited by adversary UAS.</t>
  </si>
  <si>
    <t>Fixed sites require overhead cover, dispersion, decoying, guard drills and positive C-UAS engagement procedures.</t>
  </si>
  <si>
    <t>Rules of engagement, political constraints and host-nation sensitivities may limit pre-emptive suppression of drone teams in a peace support operation.</t>
  </si>
  <si>
    <t>WAFOR must be able to defeat drones at the point of attack when upstream suppression is unavailable.</t>
  </si>
  <si>
    <t>Legal and ROE development must address drone detection, engagement authority and downed-drone hazard management.</t>
  </si>
  <si>
    <t>C-UAS drills should be rehearsed with force protection, legal, airspace control and public-information inputs.</t>
  </si>
  <si>
    <t>The enemy can impose cost, uncertainty and strategic effect with cheap UAS against expensive infrastructure and politically sensitive targets.</t>
  </si>
  <si>
    <t>WAFOR should prioritise protecting points whose disruption would delay deployment or humanitarian aid flow.</t>
  </si>
  <si>
    <t>Redundancy must be designed into APOD/SPOD, fuel, ammunition, water, medical and communications plans.</t>
  </si>
  <si>
    <t>Damage to a single port, airfield, ferry or fuel point may have operational-level consequences.</t>
  </si>
  <si>
    <t>Hard-kill at low level is essential because jammers, radars and higher-echelon systems may not cover every convoy halt, gate, harbour working party or logistics detachment.</t>
  </si>
  <si>
    <t>Logistics detachments need organic or habitually attached hard-kill C-UAS, not just warning.</t>
  </si>
  <si>
    <t>Convoy escorts must be trained and equipped for drone observation, reporting, obscuration and engagement.</t>
  </si>
  <si>
    <t>Every static site should have a C-UAS plan that includes sectors, sentries, weapon states and ammunition holdings.</t>
  </si>
  <si>
    <t>CJEX Sierra Leone APOD/SPOD, LOC and humanitarian-convoy vulnerability</t>
  </si>
  <si>
    <t>The CJEX scenario places WAFOR in a peace support / peace enforcement operation where insecurity affects Freetown, Lungi, refugee centres, relief personnel and humanitarian convoys.</t>
  </si>
  <si>
    <t>The C-UAS problem is directly relevant to CJEX because the mission is a crisis-management scenario with vulnerable static nodes.</t>
  </si>
  <si>
    <t>CJEX Serial 3A JIE; Serial 3B UN Report; CJEX Initial CPOE</t>
  </si>
  <si>
    <t>WAFOR must protect humanitarian movement and military sustainment simultaneously.</t>
  </si>
  <si>
    <t>Convoy security must be planned against ambush, looting, drones and drone-corrected fires, not only checkpoints.</t>
  </si>
  <si>
    <t>Lungi International Airport is the primary air gateway and is separated from Freetown by a river crossing using ferry, hovercraft or helicopter links.</t>
  </si>
  <si>
    <t>Lungi is an operational centre of gravity for deployment tempo and humanitarian access.</t>
  </si>
  <si>
    <t>The Lungi-to-Freetown crossing is a predictable, exposed movement corridor that requires C-UAS, ISR and physical security.</t>
  </si>
  <si>
    <t>Any delay, closure or drone strike at Lungi could cascade into RSOM, aid delivery and force build-up failure.</t>
  </si>
  <si>
    <t>Freetown Port / QE II Quay is the primary SPOD, has limited deep-water infrastructure and is assessed as having near-zero remaining free capacity due to humanitarian use.</t>
  </si>
  <si>
    <t>Freetown Port is a likely single point of failure for heavy sustainment and must be protected as a high-payoff target.</t>
  </si>
  <si>
    <t>J4 must build redundancy through Conakry and other options rather than assume Freetown can absorb surge demand.</t>
  </si>
  <si>
    <t>Port working parties, container stacks, fuel points and gate queues require C-UAS protection and dispersion.</t>
  </si>
  <si>
    <t>The road network is limited, poor-quality and vulnerable; the supply routes can be cut off relatively easily with limited means.</t>
  </si>
  <si>
    <t>MSR security is a primary operational risk for sustainment.</t>
  </si>
  <si>
    <t>WAFOR convoys should be smaller, less predictable, protected by ISR/C-UAS and backed by alternate delivery methods.</t>
  </si>
  <si>
    <t>Rotary-wing, fixed-wing tactical air transport, UGS and dropper-drone resupply should be considered where roads become predictable kill zones.</t>
  </si>
  <si>
    <t>RSLMF and ECOMOG elements are assessed as mainly stationary around Freetown, Lungi, harbours and main airfields.</t>
  </si>
  <si>
    <t>Existing friendly forces may also be vulnerable to UAS attack and may require C-UAS coordination rather than simple deconfliction.</t>
  </si>
  <si>
    <t>WAFOR should integrate host-nation and ECOMOG fixed-site defence into its C-UAS picture.</t>
  </si>
  <si>
    <t>The JOPG should treat stationary allied/partner forces as protected sustainment dependencies, not merely background actors.</t>
  </si>
  <si>
    <t>UGS and dropper-drone sustainment under persistent ISR</t>
  </si>
  <si>
    <t>UGS displace the most dangerous human movement and can sustain combat power under persistent observation.</t>
  </si>
  <si>
    <t>WAFOR should use robotics to reduce exposed human movement at static sites, convoy halts and forward logistics points.</t>
  </si>
  <si>
    <t>UGS Article; Thesis Draft 3; Cosantóir Article 1</t>
  </si>
  <si>
    <t>The aim is not to replace logisticians but to reduce the number of people exposed during predictable resupply tasks.</t>
  </si>
  <si>
    <t>J4 should assess where UGS can reduce casualties in APOD/SPOD, camp, FOB and convoy-support activity.</t>
  </si>
  <si>
    <t>Last-mile resupply is becoming a UGS task because human drivers, porters and stretcher-bearers are targetable under persistent ISR.</t>
  </si>
  <si>
    <t>WAFOR logistics plans should include unmanned or remotely delivered last-mile options where routes are predictable.</t>
  </si>
  <si>
    <t>Forward dumps and release points should be designed for rapid robotic handover without crowding.</t>
  </si>
  <si>
    <t>UGS employment requires route proving, recovery plans, charging, batteries, spares and operator training.</t>
  </si>
  <si>
    <t>CASEVAC under persistent ISR can generate additional casualties; UGS can break the cycle by making casualty movement less targetable.</t>
  </si>
  <si>
    <t>Medical evacuation plans should include robotic casualty movement where the route is under observation or fire.</t>
  </si>
  <si>
    <t>Stretcher teams should not be the default answer where a drone-saturated corridor can be crossed by UGS.</t>
  </si>
  <si>
    <t>Medical, logistics and force-protection cells must jointly plan CASEVAC UGS routes and handover points.</t>
  </si>
  <si>
    <t>Dropper drones are reusable, multi-role systems that can deliver payloads, resupply forward troops, emplace obstacles and interdict routes.</t>
  </si>
  <si>
    <t>WAFOR should consider friendly droppers as sustainment enablers as well as strike or surveillance assets.</t>
  </si>
  <si>
    <t>Adversary droppers threaten supply routes, port exits, POL points, checkpoints and static guard positions.</t>
  </si>
  <si>
    <t>Counter-dropper drills must be included in convoy, port, airfield and camp force-protection SOPs.</t>
  </si>
  <si>
    <t>UGS are not expendable magic: they are terrain-dependent, maintenance-heavy, vulnerable to UAS and can themselves become high-payoff targets.</t>
  </si>
  <si>
    <t>UGS should be held at company/battalion or logistics-node level with trained operators and maintainers.</t>
  </si>
  <si>
    <t>Do not create crowds around a UGS; unloading, loading and recovery drills must avoid bunching.</t>
  </si>
  <si>
    <t>Every UGS plan must include abandonment criteria so recovery does not create human casualties.</t>
  </si>
  <si>
    <t>COMWAFOR POLICY: LOW CASUALTY TOLERANCE; DRONES ARE THE CHEAPEST, MOST ACCESSIBLE AND HARDEST-TO-MITIGATE THREAT VECTOR AGAINST SOFT-SKIN LOGISTICS AND STATIC NODES; EW AND HARD-KILL C-UAS ARE MANDATORY AT ALL LEVELS</t>
  </si>
  <si>
    <t>COMWAFOR has stated a very low tolerance for friendly casualties. Drones are the cheapest, most accessible and most scalable attack vector available to AFRC/RUF and Liberian-supplied proxy forces against WAFOR. They are also among the hardest threats to fully mitigate. A commercial FPV drone with an improvised payload costs less than a single patrol round; the casualty and operational disruption it can cause is disproportionate to its cost.</t>
  </si>
  <si>
    <t>Every plan that accepts soft-skin convoys, APOD/SPOD nodes or logistics detachments operating without organic C-UAS is inconsistent with COMWAFOR's stated risk tolerance. Low casualty tolerance is not a moral preference — it is a planning constraint that governs C-UAS resourcing decisions.</t>
  </si>
  <si>
    <t>COMWAFOR Guidance (Serial 7); Thesis Draft 3; An Cosantoir Article; Light Infantry Drone Survival Minimum; UGS Article; Beatty and O'Brien 2026</t>
  </si>
  <si>
    <t>Where C-UAS capability cannot be force-generated to the standard the Commander's risk tolerance requires, J4 must advise COMWAFOR directly — with a clear statement of the residual casualty risk — before the operation commences. This is a J4 duty of command advice, not an administrative note.</t>
  </si>
  <si>
    <t>J4 must advise COMWAFOR that logistics elements — soft-skin convoys, port working parties, fuel teams, CASEVAC elements and APOD ground crews — are WAFOR's least-protected and most drone-targetable personnel. If the Commander's casualty tolerance is low, these elements must be resourced for C-UAS before main force arrival, not after first contact.</t>
  </si>
  <si>
    <t>NATO's unreadiness to counter the drone threat was publicly and internationally reported following Exercise Hedgehog (Melchior, Wall Street Journal, 2020). This is open-source intelligence available to any adversary. AFRC/RUF and Liberian forces, already receiving Russian ISR products and state-level intelligence support, can be assessed as aware of this gap. They will plan to exploit it.</t>
  </si>
  <si>
    <t>WAFOR cannot assume the adversary will underestimate its C-UAS vulnerability. The Hedgehog findings are public. An adversary targeting WAFOR's soft-skin logistics and static nodes is doing so with knowledge of a confirmed NATO weakness — not as a speculative improvisation.</t>
  </si>
  <si>
    <t>The highest-risk window is the force entry and RSOM phase, when WAFOR elements are concentrated at LUNGI APOD and FREETOWN SPOD before C-UAS is established. This is the window an informed, state-supported adversary will seek to exploit — particularly given LIBERIA's track record of providing MANPADs and arms to AFRC/RUF in exactly this sort of disruptive spoiling action.</t>
  </si>
  <si>
    <t>C-UAS must be among the first capabilities established at LUNGI APOD and FREETOWN SPOD — before main force arrival, not after. The OLRT and lead JLSG elements must deploy with organic C-UAS. Establishing C-UAS after the main body is ashore reverses the protection priority and leaves the most vulnerable phase of the operation unprotected.</t>
  </si>
  <si>
    <t>Soft-skin logistics vehicles, APOD/SPOD working areas, fuel storage points, gate queues and static guard positions offer no physical protection against even the lightest armed drone payload. A single FPV or dropper drone strike on a fuel storage point, a port working party, or a convoy halt can cause multiple casualties, fire, and operational disruption entirely disproportionate to the cost of the weapon. This threat has been operationally validated against NATO-standard forces in training (Hedgehog) and against US bases in theatre (Iran-linked operations).</t>
  </si>
  <si>
    <t>Drone sentries must be posted at every static logistics node and included in every convoy protection order. The sentry requirement is not discretionary and does not scale down with optimistic threat assessments. It is the minimum protective standard for operating with low casualty tolerance where drones are accessible to the adversary.</t>
  </si>
  <si>
    <t>WAFOR's soft-skin logistics convoys on the FREETOWN-BO, FREETOWN-KABALA and BO-YONIBANA MSRs are the highest-risk C-UAS protection task in the JOA. AFRC/RUF already attacks these routes by ground means. Drone acquisition via LIBERIA converts existing harassment into a persistent, cheap, low-risk casualty-generating capability available 24 hours a day without requiring combatants to expose themselves.</t>
  </si>
  <si>
    <t>Passive hardening of key logistics points — fuel bunds, overhead cover for working parties, blast protection for generators and communications nodes — must be included in the JLSG engineer support requirement. Passive protection reduces the consequence of a drone strike that active C-UAS fails to intercept. It is the backstop layer of a defence-in-depth approach that COMWAFOR's casualty tolerance demands.</t>
  </si>
  <si>
    <t>Given COMWAFOR's low casualty tolerance and the adversary's likely access to the full spectrum of drone threats — including fibre-optic FPV systems that are immune to RF jamming — electronic warfare alone is not an acceptable C-UAS solution for OPERATION JOINT VENTURE. The An Cosantoir article states plainly: 'A jammer helps, but it won't save you on its own; ultimately you need a gun.' Both EW and hard-kill are mandatory. This is not a resource preference — it is a Commander-level protection standard.</t>
  </si>
  <si>
    <t>EW and hard-kill C-UAS are both mandatory for all WAFOR logistics elements. Any force protection plan that provides EW only, or hard-kill only, does not meet the standard set by COMWAFOR's casualty tolerance. J4 must identify, force-generate, and account for both capabilities in every node and convoy protection plan.</t>
  </si>
  <si>
    <t>Hard-kill C-UAS must be organic at logistics detachment level — not assumed as a manoeuvre-ADA or specialist capability task. The smallest convoy element, forward fuel team, APOD working party, and SPOD gate-sentry position must have a trained operator and a hard-kill effector. This is the minimum viable standard consistent with COMWAFOR's stated risk tolerance.</t>
  </si>
  <si>
    <t>J4 must identify the C-UAS capability gap between what COMWAFOR's risk tolerance requires and what is currently force-generated. The gap must be quantified, costed, and presented to COMWAFOR before deployment as a resource decision — not discovered in-theatre under contact. Where the gap cannot be closed, COMWAFOR must accept the residual casualty risk as an informed command decision, not by default.</t>
  </si>
  <si>
    <t>Source Basis Used in the Factor Analysis</t>
  </si>
  <si>
    <t>Source</t>
  </si>
  <si>
    <t>Relevant content drawn into workbook</t>
  </si>
  <si>
    <t>Why it matters for CJEX</t>
  </si>
  <si>
    <t>Used for factors</t>
  </si>
  <si>
    <t>File / section note</t>
  </si>
  <si>
    <t>Draft thesis — Movement as Exposure</t>
  </si>
  <si>
    <t>Movement as timed exposure; persistent ISR; EW limits; hard-kill C-UAS; section-level adaptation; UGS/dropper utility.</t>
  </si>
  <si>
    <t>Provides the analytical spine of the workbook.</t>
  </si>
  <si>
    <t>1, 2, 4</t>
  </si>
  <si>
    <t>2026413_17194385_Draft_3.pdf</t>
  </si>
  <si>
    <t>Light Infantry Drone Survival Minimum</t>
  </si>
  <si>
    <t>C-UAS as section/platoon requirement; packeted movement; downed drone as IED; 14-soldier section; crisis-management applicability.</t>
  </si>
  <si>
    <t>Translates thesis into drills and force-design conclusions.</t>
  </si>
  <si>
    <t>Light_Infantry_Drone_Survival_Minimum.pdf</t>
  </si>
  <si>
    <t>Cosantóir article</t>
  </si>
  <si>
    <t>Applicability across spectrum including peacekeeping; C-UAS at all levels; smoke, dispersion, routes, hard-kill and section design.</t>
  </si>
  <si>
    <t>Directly supports the crisis-management focus.</t>
  </si>
  <si>
    <t>Cosantoir_Article_1_formal_original_for_sure.pdf</t>
  </si>
  <si>
    <t>UGS article</t>
  </si>
  <si>
    <t>UGS last-mile resupply, CASEVAC, support-by-fire, maintenance/recovery limits and company/battalion integration.</t>
  </si>
  <si>
    <t>Supports logistics exposure mitigation.</t>
  </si>
  <si>
    <t>4</t>
  </si>
  <si>
    <t>UGS_Cosantoir_Article.pdf</t>
  </si>
  <si>
    <t>CJEX Serial 3A JIE / Initial CPOE</t>
  </si>
  <si>
    <t>Lungi APOD, Freetown SPOD, poor roads, restricted manoeuvre, near-zero port capacity, fixed RSLMF/ECOMOG posture.</t>
  </si>
  <si>
    <t>Connects drone threat to scenario-specific APOD/SPOD and LOC vulnerabilities.</t>
  </si>
  <si>
    <t>3</t>
  </si>
  <si>
    <t>CJEX26 Initial Joint Intelligence Estimate / CPOE</t>
  </si>
  <si>
    <t>CJEX Serial 3B UN Report</t>
  </si>
  <si>
    <t>Attacks on convoys, lack of secure routes, Lungi closure and disrupted humanitarian access.</t>
  </si>
  <si>
    <t>Confirms convoy and humanitarian-sustainment vulnerability.</t>
  </si>
  <si>
    <t>CJEX26 Excerpts UN Country Report</t>
  </si>
  <si>
    <t>CJEX Drone / Logistics Vulnerability Factor Summary</t>
  </si>
  <si>
    <t>Factor</t>
  </si>
  <si>
    <t>Core Risk</t>
  </si>
  <si>
    <t>Commander’s So What</t>
  </si>
  <si>
    <t>J4 / C-UAS Priority</t>
  </si>
  <si>
    <t>Primary Vulnerable Node</t>
  </si>
  <si>
    <t>Workbook Rows</t>
  </si>
  <si>
    <t>Training adaptation gap: UAS detects and kills before contact</t>
  </si>
  <si>
    <t>Do not assume units arrive drone-adapted</t>
  </si>
  <si>
    <t>Attach C-UAS to movement, RSOM and staging</t>
  </si>
  <si>
    <t>Formed troops moving from APOD/SPOD</t>
  </si>
  <si>
    <t>Rows 5-19</t>
  </si>
  <si>
    <t>Fixed bases and stationary forces remain vulnerable in crisis management</t>
  </si>
  <si>
    <t>Manoeuvre does not protect static sites</t>
  </si>
  <si>
    <t>Layered C-UAS at bases, convoys, logistics detachments</t>
  </si>
  <si>
    <t>Base camps, JLSG, medical, HQ</t>
  </si>
  <si>
    <t>Rows 20-34</t>
  </si>
  <si>
    <t>CJEX APOD/SPOD and routes are likely single points of failure</t>
  </si>
  <si>
    <t>Delay at Lungi/Freetown can become operationally decisive</t>
  </si>
  <si>
    <t>Redundancy through Conakry + C-UAS at nodes</t>
  </si>
  <si>
    <t>Lungi APOD, Freetown SPOD, Lungi-Freetown crossing</t>
  </si>
  <si>
    <t>Rows 35-49</t>
  </si>
  <si>
    <t>Human movement in sustainment becomes targetable</t>
  </si>
  <si>
    <t>Robotics reduce exposure but require integration</t>
  </si>
  <si>
    <t>UGS/dropper resupply, CASEVAC, maintenance, recovery criteria</t>
  </si>
  <si>
    <t>Last-mile resupply, CASEVAC, convoy halts</t>
  </si>
  <si>
    <t>Rows 50-64</t>
  </si>
  <si>
    <t>Column1</t>
  </si>
  <si>
    <t xml:space="preserve">Deduction </t>
  </si>
  <si>
    <t>Column2</t>
  </si>
  <si>
    <t>Column3</t>
  </si>
  <si>
    <t>Column4</t>
  </si>
  <si>
    <t>Column5</t>
  </si>
  <si>
    <t>Column6</t>
  </si>
  <si>
    <t xml:space="preserve">Source </t>
  </si>
  <si>
    <t>Column7</t>
  </si>
  <si>
    <t>CRITICAL OPERATIONAL REQUIREMENT (COR). WAFOR must assume adversary UAS can generate tactical effects before physical contact.</t>
  </si>
  <si>
    <t>Conclusion &amp; Labelling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</si>
</sst>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Carlito"/>
    </font>
    <font>
      <i/>
      <sz val="11"/>
      <color rgb="FF1F4E78"/>
      <name val="Carlito"/>
    </font>
    <font>
      <b/>
      <sz val="11"/>
      <color rgb="FFFFFFFF"/>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0F766E"/>
      </patternFill>
    </fill>
  </fills>
  <borders count="3">
    <border>
      <left/>
      <right/>
      <top/>
      <bottom/>
      <diagonal/>
    </border>
    <border>
      <left/>
      <right/>
      <top/>
      <bottom/>
      <diagonal/>
    </border>
    <border>
      <left/>
      <right/>
      <top style="thin">
        <color theme="4" tint="0.39997558519241921"/>
      </top>
      <bottom style="thin">
        <color theme="4" tint="0.39997558519241921"/>
      </bottom>
      <diagonal/>
    </border>
  </borders>
  <cellStyleXfs count="1">
    <xf numFmtId="0" fontId="0" fillId="0" borderId="1"/>
  </cellStyleXfs>
  <cellXfs count="9">
    <xf numFmtId="0" fontId="0" fillId="0" borderId="0" xfId="0" applyBorder="1"/>
    <xf numFmtId="0" fontId="3" fillId="4" borderId="0" xfId="0" applyFont="1" applyFill="1" applyBorder="1" applyAlignment="1">
      <alignment horizontal="center" vertical="center" wrapText="1"/>
    </xf>
    <xf numFmtId="0" fontId="0" fillId="0" borderId="0" xfId="0" applyBorder="1" applyAlignment="1">
      <alignment wrapText="1"/>
    </xf>
    <xf numFmtId="0" fontId="0" fillId="0" borderId="0" xfId="0" applyBorder="1" applyAlignment="1">
      <alignment horizontal="center" wrapText="1"/>
    </xf>
    <xf numFmtId="0" fontId="0" fillId="0" borderId="0" xfId="0" applyBorder="1" applyAlignment="1">
      <alignment vertical="top" wrapText="1"/>
    </xf>
    <xf numFmtId="0" fontId="3" fillId="4" borderId="2" xfId="0" applyFont="1" applyFill="1" applyBorder="1" applyAlignment="1">
      <alignment horizontal="center" vertical="center" wrapText="1"/>
    </xf>
    <xf numFmtId="0" fontId="1" fillId="2" borderId="1" xfId="0" applyFont="1" applyFill="1" applyAlignment="1">
      <alignment horizontal="center" vertical="center"/>
    </xf>
    <xf numFmtId="0" fontId="0" fillId="0" borderId="1" xfId="0"/>
    <xf numFmtId="0" fontId="2" fillId="3" borderId="1" xfId="0" applyFont="1" applyFill="1" applyAlignment="1">
      <alignment horizontal="center" vertical="center"/>
    </xf>
  </cellXfs>
  <cellStyles count="1">
    <cellStyle name="Normal" xfId="0" builtinId="0"/>
  </cellStyles>
  <dxfs count="4">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EAF4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orAnalysisTable" displayName="FactorAnalysisTable" ref="A4:G64">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urceBasisTable" displayName="SourceBasisTable" ref="A3:E9">
  <tableColumns count="5">
    <tableColumn id="1" xr3:uid="{00000000-0010-0000-0200-000001000000}" name="Source"/>
    <tableColumn id="2" xr3:uid="{00000000-0010-0000-0200-000002000000}" name="Relevant content drawn into workbook"/>
    <tableColumn id="3" xr3:uid="{00000000-0010-0000-0200-000003000000}" name="Why it matters for CJEX"/>
    <tableColumn id="4" xr3:uid="{00000000-0010-0000-0200-000004000000}" name="Used for factors"/>
    <tableColumn id="5" xr3:uid="{00000000-0010-0000-0200-000005000000}" name="File / section 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ummaryTable" displayName="SummaryTable" ref="A3:F7">
  <tableColumns count="6">
    <tableColumn id="1" xr3:uid="{00000000-0010-0000-0300-000001000000}" name="Factor"/>
    <tableColumn id="2" xr3:uid="{00000000-0010-0000-0300-000002000000}" name="Core Risk"/>
    <tableColumn id="3" xr3:uid="{00000000-0010-0000-0300-000003000000}" name="Commander’s So What"/>
    <tableColumn id="4" xr3:uid="{00000000-0010-0000-0300-000004000000}" name="J4 / C-UAS Priority"/>
    <tableColumn id="5" xr3:uid="{00000000-0010-0000-0300-000005000000}" name="Primary Vulnerable Node"/>
    <tableColumn id="6" xr3:uid="{00000000-0010-0000-0300-000006000000}" name="Workbook Row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6"/>
  <sheetViews>
    <sheetView tabSelected="1" workbookViewId="0">
      <selection activeCell="F5" sqref="F5"/>
    </sheetView>
  </sheetViews>
  <sheetFormatPr defaultRowHeight="14"/>
  <cols>
    <col min="1" max="1" width="3.25" customWidth="1"/>
    <col min="2" max="2" width="38.33203125" customWidth="1"/>
    <col min="3" max="3" width="4.08203125" customWidth="1"/>
    <col min="4" max="4" width="75.5" customWidth="1"/>
    <col min="5" max="5" width="4.58203125" customWidth="1"/>
    <col min="6" max="6" width="76.5" customWidth="1"/>
    <col min="7" max="7" width="63.75" customWidth="1"/>
    <col min="8" max="8" width="8.33203125" bestFit="1" customWidth="1"/>
  </cols>
  <sheetData>
    <row r="1" spans="1:9" ht="28" customHeight="1">
      <c r="A1" s="6" t="s">
        <v>0</v>
      </c>
      <c r="B1" s="7"/>
      <c r="C1" s="7"/>
      <c r="D1" s="7"/>
      <c r="E1" s="7"/>
      <c r="F1" s="7"/>
      <c r="G1" s="7"/>
      <c r="H1" s="7"/>
      <c r="I1" s="7"/>
    </row>
    <row r="2" spans="1:9" ht="35" customHeight="1">
      <c r="A2" s="8" t="s">
        <v>1</v>
      </c>
      <c r="B2" s="7"/>
      <c r="C2" s="7"/>
      <c r="D2" s="7"/>
      <c r="E2" s="7"/>
      <c r="F2" s="7"/>
      <c r="G2" s="7"/>
      <c r="H2" s="7"/>
      <c r="I2" s="7"/>
    </row>
    <row r="3" spans="1:9" ht="13" customHeight="1">
      <c r="B3" s="5" t="s">
        <v>141</v>
      </c>
      <c r="D3" s="5" t="s">
        <v>168</v>
      </c>
      <c r="F3" s="5" t="s">
        <v>177</v>
      </c>
      <c r="G3" s="5" t="s">
        <v>174</v>
      </c>
    </row>
    <row r="4" spans="1:9" ht="32" hidden="1" customHeight="1">
      <c r="A4" s="1" t="s">
        <v>167</v>
      </c>
      <c r="B4" s="1" t="s">
        <v>169</v>
      </c>
      <c r="C4" s="1" t="s">
        <v>170</v>
      </c>
      <c r="D4" s="1" t="s">
        <v>171</v>
      </c>
      <c r="E4" s="1" t="s">
        <v>172</v>
      </c>
      <c r="F4" s="1" t="s">
        <v>173</v>
      </c>
      <c r="G4" s="1" t="s">
        <v>175</v>
      </c>
      <c r="H4" s="1"/>
      <c r="I4" s="1"/>
    </row>
    <row r="5" spans="1:9" ht="60" customHeight="1">
      <c r="A5" s="3">
        <v>1</v>
      </c>
      <c r="B5" s="2" t="s">
        <v>2</v>
      </c>
      <c r="C5" s="3" t="str">
        <f t="shared" ref="C5:C36" si="0">A5&amp;"."&amp;H5</f>
        <v>1.1</v>
      </c>
      <c r="D5" s="2" t="s">
        <v>3</v>
      </c>
      <c r="E5" s="3" t="str">
        <f t="shared" ref="E5:E36" si="1">C5&amp;"."&amp;I5</f>
        <v>1.1.1</v>
      </c>
      <c r="F5" s="2" t="s">
        <v>176</v>
      </c>
      <c r="G5" s="2" t="s">
        <v>4</v>
      </c>
      <c r="H5" s="3">
        <v>1</v>
      </c>
      <c r="I5" s="3">
        <v>1</v>
      </c>
    </row>
    <row r="6" spans="1:9" ht="60" customHeight="1">
      <c r="A6" s="3">
        <v>1</v>
      </c>
      <c r="B6" s="2"/>
      <c r="C6" s="3" t="str">
        <f t="shared" si="0"/>
        <v>1.1</v>
      </c>
      <c r="D6" s="2"/>
      <c r="E6" s="3" t="str">
        <f t="shared" si="1"/>
        <v>1.1.2</v>
      </c>
      <c r="F6" s="2" t="s">
        <v>5</v>
      </c>
      <c r="G6" s="2" t="s">
        <v>4</v>
      </c>
      <c r="H6" s="3">
        <v>1</v>
      </c>
      <c r="I6" s="3">
        <v>2</v>
      </c>
    </row>
    <row r="7" spans="1:9" ht="60" customHeight="1">
      <c r="A7" s="3">
        <v>1</v>
      </c>
      <c r="B7" s="2"/>
      <c r="C7" s="3" t="str">
        <f t="shared" si="0"/>
        <v>1.1</v>
      </c>
      <c r="D7" s="2"/>
      <c r="E7" s="3" t="str">
        <f t="shared" si="1"/>
        <v>1.1.3</v>
      </c>
      <c r="F7" s="2" t="s">
        <v>6</v>
      </c>
      <c r="G7" s="2" t="s">
        <v>4</v>
      </c>
      <c r="H7" s="3">
        <v>1</v>
      </c>
      <c r="I7" s="3">
        <v>3</v>
      </c>
    </row>
    <row r="8" spans="1:9" ht="60" customHeight="1">
      <c r="A8" s="3">
        <v>1</v>
      </c>
      <c r="B8" s="2"/>
      <c r="C8" s="3" t="str">
        <f t="shared" si="0"/>
        <v>1.2</v>
      </c>
      <c r="D8" s="2" t="s">
        <v>7</v>
      </c>
      <c r="E8" s="3" t="str">
        <f t="shared" si="1"/>
        <v>1.2.1</v>
      </c>
      <c r="F8" s="2" t="s">
        <v>8</v>
      </c>
      <c r="G8" s="2" t="s">
        <v>4</v>
      </c>
      <c r="H8" s="3">
        <v>2</v>
      </c>
      <c r="I8" s="3">
        <v>1</v>
      </c>
    </row>
    <row r="9" spans="1:9" ht="60" customHeight="1">
      <c r="A9" s="3">
        <v>1</v>
      </c>
      <c r="B9" s="2"/>
      <c r="C9" s="3" t="str">
        <f t="shared" si="0"/>
        <v>1.2</v>
      </c>
      <c r="D9" s="2"/>
      <c r="E9" s="3" t="str">
        <f t="shared" si="1"/>
        <v>1.2.2</v>
      </c>
      <c r="F9" s="2" t="s">
        <v>9</v>
      </c>
      <c r="G9" s="2" t="s">
        <v>4</v>
      </c>
      <c r="H9" s="3">
        <v>2</v>
      </c>
      <c r="I9" s="3">
        <v>2</v>
      </c>
    </row>
    <row r="10" spans="1:9" ht="60" customHeight="1">
      <c r="A10" s="3">
        <v>1</v>
      </c>
      <c r="B10" s="2"/>
      <c r="C10" s="3" t="str">
        <f t="shared" si="0"/>
        <v>1.2</v>
      </c>
      <c r="D10" s="2"/>
      <c r="E10" s="3" t="str">
        <f t="shared" si="1"/>
        <v>1.2.3</v>
      </c>
      <c r="F10" s="2" t="s">
        <v>10</v>
      </c>
      <c r="G10" s="2" t="s">
        <v>4</v>
      </c>
      <c r="H10" s="3">
        <v>2</v>
      </c>
      <c r="I10" s="3">
        <v>3</v>
      </c>
    </row>
    <row r="11" spans="1:9" ht="60" customHeight="1">
      <c r="A11" s="3">
        <v>1</v>
      </c>
      <c r="B11" s="2"/>
      <c r="C11" s="3" t="str">
        <f t="shared" si="0"/>
        <v>1.3</v>
      </c>
      <c r="D11" s="2" t="s">
        <v>11</v>
      </c>
      <c r="E11" s="3" t="str">
        <f t="shared" si="1"/>
        <v>1.3.1</v>
      </c>
      <c r="F11" s="2" t="s">
        <v>12</v>
      </c>
      <c r="G11" s="2" t="s">
        <v>4</v>
      </c>
      <c r="H11" s="3">
        <v>3</v>
      </c>
      <c r="I11" s="3">
        <v>1</v>
      </c>
    </row>
    <row r="12" spans="1:9" ht="60" customHeight="1">
      <c r="A12" s="3">
        <v>1</v>
      </c>
      <c r="B12" s="2"/>
      <c r="C12" s="3" t="str">
        <f t="shared" si="0"/>
        <v>1.3</v>
      </c>
      <c r="D12" s="2"/>
      <c r="E12" s="3" t="str">
        <f t="shared" si="1"/>
        <v>1.3.2</v>
      </c>
      <c r="F12" s="2" t="s">
        <v>13</v>
      </c>
      <c r="G12" s="2" t="s">
        <v>4</v>
      </c>
      <c r="H12" s="3">
        <v>3</v>
      </c>
      <c r="I12" s="3">
        <v>2</v>
      </c>
    </row>
    <row r="13" spans="1:9" ht="60" customHeight="1">
      <c r="A13" s="3">
        <v>1</v>
      </c>
      <c r="B13" s="2"/>
      <c r="C13" s="3" t="str">
        <f t="shared" si="0"/>
        <v>1.3</v>
      </c>
      <c r="D13" s="2"/>
      <c r="E13" s="3" t="str">
        <f t="shared" si="1"/>
        <v>1.3.3</v>
      </c>
      <c r="F13" s="2" t="s">
        <v>14</v>
      </c>
      <c r="G13" s="2" t="s">
        <v>4</v>
      </c>
      <c r="H13" s="3">
        <v>3</v>
      </c>
      <c r="I13" s="3">
        <v>3</v>
      </c>
    </row>
    <row r="14" spans="1:9" ht="60" customHeight="1">
      <c r="A14" s="3">
        <v>1</v>
      </c>
      <c r="B14" s="2"/>
      <c r="C14" s="3" t="str">
        <f t="shared" si="0"/>
        <v>1.4</v>
      </c>
      <c r="D14" s="2" t="s">
        <v>15</v>
      </c>
      <c r="E14" s="3" t="str">
        <f t="shared" si="1"/>
        <v>1.4.1</v>
      </c>
      <c r="F14" s="2" t="s">
        <v>16</v>
      </c>
      <c r="G14" s="2" t="s">
        <v>4</v>
      </c>
      <c r="H14" s="3">
        <v>4</v>
      </c>
      <c r="I14" s="3">
        <v>1</v>
      </c>
    </row>
    <row r="15" spans="1:9" ht="60" customHeight="1">
      <c r="A15" s="3">
        <v>1</v>
      </c>
      <c r="B15" s="2"/>
      <c r="C15" s="3" t="str">
        <f t="shared" si="0"/>
        <v>1.4</v>
      </c>
      <c r="D15" s="2"/>
      <c r="E15" s="3" t="str">
        <f t="shared" si="1"/>
        <v>1.4.2</v>
      </c>
      <c r="F15" s="2" t="s">
        <v>17</v>
      </c>
      <c r="G15" s="2" t="s">
        <v>4</v>
      </c>
      <c r="H15" s="3">
        <v>4</v>
      </c>
      <c r="I15" s="3">
        <v>2</v>
      </c>
    </row>
    <row r="16" spans="1:9" ht="60" customHeight="1">
      <c r="A16" s="3">
        <v>1</v>
      </c>
      <c r="B16" s="2"/>
      <c r="C16" s="3" t="str">
        <f t="shared" si="0"/>
        <v>1.4</v>
      </c>
      <c r="D16" s="2"/>
      <c r="E16" s="3" t="str">
        <f t="shared" si="1"/>
        <v>1.4.3</v>
      </c>
      <c r="F16" s="2" t="s">
        <v>18</v>
      </c>
      <c r="G16" s="2" t="s">
        <v>4</v>
      </c>
      <c r="H16" s="3">
        <v>4</v>
      </c>
      <c r="I16" s="3">
        <v>3</v>
      </c>
    </row>
    <row r="17" spans="1:9" ht="60" customHeight="1">
      <c r="A17" s="3">
        <v>1</v>
      </c>
      <c r="B17" s="2"/>
      <c r="C17" s="3" t="str">
        <f t="shared" si="0"/>
        <v>1.5</v>
      </c>
      <c r="D17" s="2" t="s">
        <v>19</v>
      </c>
      <c r="E17" s="3" t="str">
        <f t="shared" si="1"/>
        <v>1.5.1</v>
      </c>
      <c r="F17" s="2" t="s">
        <v>20</v>
      </c>
      <c r="G17" s="2" t="s">
        <v>4</v>
      </c>
      <c r="H17" s="3">
        <v>5</v>
      </c>
      <c r="I17" s="3">
        <v>1</v>
      </c>
    </row>
    <row r="18" spans="1:9" ht="60" customHeight="1">
      <c r="A18" s="3">
        <v>1</v>
      </c>
      <c r="B18" s="2"/>
      <c r="C18" s="3" t="str">
        <f t="shared" si="0"/>
        <v>1.5</v>
      </c>
      <c r="D18" s="2"/>
      <c r="E18" s="3" t="str">
        <f t="shared" si="1"/>
        <v>1.5.2</v>
      </c>
      <c r="F18" s="2" t="s">
        <v>21</v>
      </c>
      <c r="G18" s="2" t="s">
        <v>4</v>
      </c>
      <c r="H18" s="3">
        <v>5</v>
      </c>
      <c r="I18" s="3">
        <v>2</v>
      </c>
    </row>
    <row r="19" spans="1:9" ht="60" customHeight="1">
      <c r="A19" s="3">
        <v>1</v>
      </c>
      <c r="B19" s="2"/>
      <c r="C19" s="3" t="str">
        <f t="shared" si="0"/>
        <v>1.5</v>
      </c>
      <c r="D19" s="2"/>
      <c r="E19" s="3" t="str">
        <f t="shared" si="1"/>
        <v>1.5.3</v>
      </c>
      <c r="F19" s="2" t="s">
        <v>22</v>
      </c>
      <c r="G19" s="2" t="s">
        <v>4</v>
      </c>
      <c r="H19" s="3">
        <v>5</v>
      </c>
      <c r="I19" s="3">
        <v>3</v>
      </c>
    </row>
    <row r="20" spans="1:9" ht="60" customHeight="1">
      <c r="A20" s="3">
        <v>2</v>
      </c>
      <c r="B20" s="2" t="s">
        <v>23</v>
      </c>
      <c r="C20" s="3" t="str">
        <f t="shared" si="0"/>
        <v>2.1</v>
      </c>
      <c r="D20" s="2" t="s">
        <v>24</v>
      </c>
      <c r="E20" s="3" t="str">
        <f t="shared" si="1"/>
        <v>2.1.1</v>
      </c>
      <c r="F20" s="2" t="s">
        <v>25</v>
      </c>
      <c r="G20" s="2" t="s">
        <v>26</v>
      </c>
      <c r="H20" s="3">
        <v>1</v>
      </c>
      <c r="I20" s="3">
        <v>1</v>
      </c>
    </row>
    <row r="21" spans="1:9" ht="60" customHeight="1">
      <c r="A21" s="3">
        <v>2</v>
      </c>
      <c r="B21" s="2"/>
      <c r="C21" s="3" t="str">
        <f t="shared" si="0"/>
        <v>2.1</v>
      </c>
      <c r="D21" s="2"/>
      <c r="E21" s="3" t="str">
        <f t="shared" si="1"/>
        <v>2.1.2</v>
      </c>
      <c r="F21" s="2" t="s">
        <v>27</v>
      </c>
      <c r="G21" s="2" t="s">
        <v>26</v>
      </c>
      <c r="H21" s="3">
        <v>1</v>
      </c>
      <c r="I21" s="3">
        <v>2</v>
      </c>
    </row>
    <row r="22" spans="1:9" ht="60" customHeight="1">
      <c r="A22" s="3">
        <v>2</v>
      </c>
      <c r="B22" s="2"/>
      <c r="C22" s="3" t="str">
        <f t="shared" si="0"/>
        <v>2.1</v>
      </c>
      <c r="D22" s="2"/>
      <c r="E22" s="3" t="str">
        <f t="shared" si="1"/>
        <v>2.1.3</v>
      </c>
      <c r="F22" s="2" t="s">
        <v>28</v>
      </c>
      <c r="G22" s="2" t="s">
        <v>26</v>
      </c>
      <c r="H22" s="3">
        <v>1</v>
      </c>
      <c r="I22" s="3">
        <v>3</v>
      </c>
    </row>
    <row r="23" spans="1:9" ht="60" customHeight="1">
      <c r="A23" s="3">
        <v>2</v>
      </c>
      <c r="B23" s="2"/>
      <c r="C23" s="3" t="str">
        <f t="shared" si="0"/>
        <v>2.2</v>
      </c>
      <c r="D23" s="2" t="s">
        <v>29</v>
      </c>
      <c r="E23" s="3" t="str">
        <f t="shared" si="1"/>
        <v>2.2.1</v>
      </c>
      <c r="F23" s="2" t="s">
        <v>30</v>
      </c>
      <c r="G23" s="2" t="s">
        <v>26</v>
      </c>
      <c r="H23" s="3">
        <v>2</v>
      </c>
      <c r="I23" s="3">
        <v>1</v>
      </c>
    </row>
    <row r="24" spans="1:9" ht="60" customHeight="1">
      <c r="A24" s="3">
        <v>2</v>
      </c>
      <c r="B24" s="2"/>
      <c r="C24" s="3" t="str">
        <f t="shared" si="0"/>
        <v>2.2</v>
      </c>
      <c r="D24" s="2"/>
      <c r="E24" s="3" t="str">
        <f t="shared" si="1"/>
        <v>2.2.2</v>
      </c>
      <c r="F24" s="2" t="s">
        <v>31</v>
      </c>
      <c r="G24" s="2" t="s">
        <v>26</v>
      </c>
      <c r="H24" s="3">
        <v>2</v>
      </c>
      <c r="I24" s="3">
        <v>2</v>
      </c>
    </row>
    <row r="25" spans="1:9" ht="60" customHeight="1">
      <c r="A25" s="3">
        <v>2</v>
      </c>
      <c r="B25" s="2"/>
      <c r="C25" s="3" t="str">
        <f t="shared" si="0"/>
        <v>2.2</v>
      </c>
      <c r="D25" s="2"/>
      <c r="E25" s="3" t="str">
        <f t="shared" si="1"/>
        <v>2.2.3</v>
      </c>
      <c r="F25" s="2" t="s">
        <v>32</v>
      </c>
      <c r="G25" s="2" t="s">
        <v>26</v>
      </c>
      <c r="H25" s="3">
        <v>2</v>
      </c>
      <c r="I25" s="3">
        <v>3</v>
      </c>
    </row>
    <row r="26" spans="1:9" ht="60" customHeight="1">
      <c r="A26" s="3">
        <v>2</v>
      </c>
      <c r="B26" s="2"/>
      <c r="C26" s="3" t="str">
        <f t="shared" si="0"/>
        <v>2.3</v>
      </c>
      <c r="D26" s="2" t="s">
        <v>33</v>
      </c>
      <c r="E26" s="3" t="str">
        <f t="shared" si="1"/>
        <v>2.3.1</v>
      </c>
      <c r="F26" s="2" t="s">
        <v>34</v>
      </c>
      <c r="G26" s="2" t="s">
        <v>26</v>
      </c>
      <c r="H26" s="3">
        <v>3</v>
      </c>
      <c r="I26" s="3">
        <v>1</v>
      </c>
    </row>
    <row r="27" spans="1:9" ht="60" customHeight="1">
      <c r="A27" s="3">
        <v>2</v>
      </c>
      <c r="B27" s="2"/>
      <c r="C27" s="3" t="str">
        <f t="shared" si="0"/>
        <v>2.3</v>
      </c>
      <c r="D27" s="2"/>
      <c r="E27" s="3" t="str">
        <f t="shared" si="1"/>
        <v>2.3.2</v>
      </c>
      <c r="F27" s="2" t="s">
        <v>35</v>
      </c>
      <c r="G27" s="2" t="s">
        <v>26</v>
      </c>
      <c r="H27" s="3">
        <v>3</v>
      </c>
      <c r="I27" s="3">
        <v>2</v>
      </c>
    </row>
    <row r="28" spans="1:9" ht="60" customHeight="1">
      <c r="A28" s="3">
        <v>2</v>
      </c>
      <c r="B28" s="2"/>
      <c r="C28" s="3" t="str">
        <f t="shared" si="0"/>
        <v>2.3</v>
      </c>
      <c r="D28" s="2"/>
      <c r="E28" s="3" t="str">
        <f t="shared" si="1"/>
        <v>2.3.3</v>
      </c>
      <c r="F28" s="2" t="s">
        <v>36</v>
      </c>
      <c r="G28" s="2" t="s">
        <v>26</v>
      </c>
      <c r="H28" s="3">
        <v>3</v>
      </c>
      <c r="I28" s="3">
        <v>3</v>
      </c>
    </row>
    <row r="29" spans="1:9" ht="60" customHeight="1">
      <c r="A29" s="3">
        <v>2</v>
      </c>
      <c r="B29" s="2"/>
      <c r="C29" s="3" t="str">
        <f t="shared" si="0"/>
        <v>2.4</v>
      </c>
      <c r="D29" s="2" t="s">
        <v>37</v>
      </c>
      <c r="E29" s="3" t="str">
        <f t="shared" si="1"/>
        <v>2.4.1</v>
      </c>
      <c r="F29" s="2" t="s">
        <v>38</v>
      </c>
      <c r="G29" s="2" t="s">
        <v>26</v>
      </c>
      <c r="H29" s="3">
        <v>4</v>
      </c>
      <c r="I29" s="3">
        <v>1</v>
      </c>
    </row>
    <row r="30" spans="1:9" ht="60" customHeight="1">
      <c r="A30" s="3">
        <v>2</v>
      </c>
      <c r="B30" s="2"/>
      <c r="C30" s="3" t="str">
        <f t="shared" si="0"/>
        <v>2.4</v>
      </c>
      <c r="D30" s="2"/>
      <c r="E30" s="3" t="str">
        <f t="shared" si="1"/>
        <v>2.4.2</v>
      </c>
      <c r="F30" s="2" t="s">
        <v>39</v>
      </c>
      <c r="G30" s="2" t="s">
        <v>26</v>
      </c>
      <c r="H30" s="3">
        <v>4</v>
      </c>
      <c r="I30" s="3">
        <v>2</v>
      </c>
    </row>
    <row r="31" spans="1:9" ht="60" customHeight="1">
      <c r="A31" s="3">
        <v>2</v>
      </c>
      <c r="B31" s="2"/>
      <c r="C31" s="3" t="str">
        <f t="shared" si="0"/>
        <v>2.4</v>
      </c>
      <c r="D31" s="2"/>
      <c r="E31" s="3" t="str">
        <f t="shared" si="1"/>
        <v>2.4.3</v>
      </c>
      <c r="F31" s="2" t="s">
        <v>40</v>
      </c>
      <c r="G31" s="2" t="s">
        <v>26</v>
      </c>
      <c r="H31" s="3">
        <v>4</v>
      </c>
      <c r="I31" s="3">
        <v>3</v>
      </c>
    </row>
    <row r="32" spans="1:9" ht="60" customHeight="1">
      <c r="A32" s="3">
        <v>2</v>
      </c>
      <c r="B32" s="2"/>
      <c r="C32" s="3" t="str">
        <f t="shared" si="0"/>
        <v>2.5</v>
      </c>
      <c r="D32" s="2" t="s">
        <v>41</v>
      </c>
      <c r="E32" s="3" t="str">
        <f t="shared" si="1"/>
        <v>2.5.1</v>
      </c>
      <c r="F32" s="2" t="s">
        <v>42</v>
      </c>
      <c r="G32" s="2" t="s">
        <v>26</v>
      </c>
      <c r="H32" s="3">
        <v>5</v>
      </c>
      <c r="I32" s="3">
        <v>1</v>
      </c>
    </row>
    <row r="33" spans="1:9" ht="60" customHeight="1">
      <c r="A33" s="3">
        <v>2</v>
      </c>
      <c r="B33" s="2"/>
      <c r="C33" s="3" t="str">
        <f t="shared" si="0"/>
        <v>2.5</v>
      </c>
      <c r="D33" s="2"/>
      <c r="E33" s="3" t="str">
        <f t="shared" si="1"/>
        <v>2.5.2</v>
      </c>
      <c r="F33" s="2" t="s">
        <v>43</v>
      </c>
      <c r="G33" s="2" t="s">
        <v>26</v>
      </c>
      <c r="H33" s="3">
        <v>5</v>
      </c>
      <c r="I33" s="3">
        <v>2</v>
      </c>
    </row>
    <row r="34" spans="1:9" ht="60" customHeight="1">
      <c r="A34" s="3">
        <v>2</v>
      </c>
      <c r="B34" s="2"/>
      <c r="C34" s="3" t="str">
        <f t="shared" si="0"/>
        <v>2.5</v>
      </c>
      <c r="D34" s="2"/>
      <c r="E34" s="3" t="str">
        <f t="shared" si="1"/>
        <v>2.5.3</v>
      </c>
      <c r="F34" s="2" t="s">
        <v>44</v>
      </c>
      <c r="G34" s="2" t="s">
        <v>26</v>
      </c>
      <c r="H34" s="3">
        <v>5</v>
      </c>
      <c r="I34" s="3">
        <v>3</v>
      </c>
    </row>
    <row r="35" spans="1:9" ht="60" customHeight="1">
      <c r="A35" s="3">
        <v>3</v>
      </c>
      <c r="B35" s="2" t="s">
        <v>45</v>
      </c>
      <c r="C35" s="3" t="str">
        <f t="shared" si="0"/>
        <v>3.1</v>
      </c>
      <c r="D35" s="2" t="s">
        <v>46</v>
      </c>
      <c r="E35" s="3" t="str">
        <f t="shared" si="1"/>
        <v>3.1.1</v>
      </c>
      <c r="F35" s="2" t="s">
        <v>47</v>
      </c>
      <c r="G35" s="2" t="s">
        <v>48</v>
      </c>
      <c r="H35" s="3">
        <v>1</v>
      </c>
      <c r="I35" s="3">
        <v>1</v>
      </c>
    </row>
    <row r="36" spans="1:9" ht="60" customHeight="1">
      <c r="A36" s="3">
        <v>3</v>
      </c>
      <c r="B36" s="2"/>
      <c r="C36" s="3" t="str">
        <f t="shared" si="0"/>
        <v>3.1</v>
      </c>
      <c r="D36" s="2"/>
      <c r="E36" s="3" t="str">
        <f t="shared" si="1"/>
        <v>3.1.2</v>
      </c>
      <c r="F36" s="2" t="s">
        <v>49</v>
      </c>
      <c r="G36" s="2" t="s">
        <v>48</v>
      </c>
      <c r="H36" s="3">
        <v>1</v>
      </c>
      <c r="I36" s="3">
        <v>2</v>
      </c>
    </row>
    <row r="37" spans="1:9" ht="60" customHeight="1">
      <c r="A37" s="3">
        <v>3</v>
      </c>
      <c r="B37" s="2"/>
      <c r="C37" s="3" t="str">
        <f t="shared" ref="C37:C68" si="2">A37&amp;"."&amp;H37</f>
        <v>3.1</v>
      </c>
      <c r="D37" s="2"/>
      <c r="E37" s="3" t="str">
        <f t="shared" ref="E37:E68" si="3">C37&amp;"."&amp;I37</f>
        <v>3.1.3</v>
      </c>
      <c r="F37" s="2" t="s">
        <v>50</v>
      </c>
      <c r="G37" s="2" t="s">
        <v>48</v>
      </c>
      <c r="H37" s="3">
        <v>1</v>
      </c>
      <c r="I37" s="3">
        <v>3</v>
      </c>
    </row>
    <row r="38" spans="1:9" ht="60" customHeight="1">
      <c r="A38" s="3">
        <v>3</v>
      </c>
      <c r="B38" s="2"/>
      <c r="C38" s="3" t="str">
        <f t="shared" si="2"/>
        <v>3.2</v>
      </c>
      <c r="D38" s="2" t="s">
        <v>51</v>
      </c>
      <c r="E38" s="3" t="str">
        <f t="shared" si="3"/>
        <v>3.2.1</v>
      </c>
      <c r="F38" s="2" t="s">
        <v>52</v>
      </c>
      <c r="G38" s="2" t="s">
        <v>48</v>
      </c>
      <c r="H38" s="3">
        <v>2</v>
      </c>
      <c r="I38" s="3">
        <v>1</v>
      </c>
    </row>
    <row r="39" spans="1:9" ht="60" customHeight="1">
      <c r="A39" s="3">
        <v>3</v>
      </c>
      <c r="B39" s="2"/>
      <c r="C39" s="3" t="str">
        <f t="shared" si="2"/>
        <v>3.2</v>
      </c>
      <c r="D39" s="2"/>
      <c r="E39" s="3" t="str">
        <f t="shared" si="3"/>
        <v>3.2.2</v>
      </c>
      <c r="F39" s="2" t="s">
        <v>53</v>
      </c>
      <c r="G39" s="2" t="s">
        <v>48</v>
      </c>
      <c r="H39" s="3">
        <v>2</v>
      </c>
      <c r="I39" s="3">
        <v>2</v>
      </c>
    </row>
    <row r="40" spans="1:9" ht="60" customHeight="1">
      <c r="A40" s="3">
        <v>3</v>
      </c>
      <c r="B40" s="2"/>
      <c r="C40" s="3" t="str">
        <f t="shared" si="2"/>
        <v>3.2</v>
      </c>
      <c r="D40" s="2"/>
      <c r="E40" s="3" t="str">
        <f t="shared" si="3"/>
        <v>3.2.3</v>
      </c>
      <c r="F40" s="2" t="s">
        <v>54</v>
      </c>
      <c r="G40" s="2" t="s">
        <v>48</v>
      </c>
      <c r="H40" s="3">
        <v>2</v>
      </c>
      <c r="I40" s="3">
        <v>3</v>
      </c>
    </row>
    <row r="41" spans="1:9" ht="60" customHeight="1">
      <c r="A41" s="3">
        <v>3</v>
      </c>
      <c r="B41" s="2"/>
      <c r="C41" s="3" t="str">
        <f t="shared" si="2"/>
        <v>3.3</v>
      </c>
      <c r="D41" s="2" t="s">
        <v>55</v>
      </c>
      <c r="E41" s="3" t="str">
        <f t="shared" si="3"/>
        <v>3.3.1</v>
      </c>
      <c r="F41" s="2" t="s">
        <v>56</v>
      </c>
      <c r="G41" s="2" t="s">
        <v>48</v>
      </c>
      <c r="H41" s="3">
        <v>3</v>
      </c>
      <c r="I41" s="3">
        <v>1</v>
      </c>
    </row>
    <row r="42" spans="1:9" ht="60" customHeight="1">
      <c r="A42" s="3">
        <v>3</v>
      </c>
      <c r="B42" s="2"/>
      <c r="C42" s="3" t="str">
        <f t="shared" si="2"/>
        <v>3.3</v>
      </c>
      <c r="D42" s="2"/>
      <c r="E42" s="3" t="str">
        <f t="shared" si="3"/>
        <v>3.3.2</v>
      </c>
      <c r="F42" s="2" t="s">
        <v>57</v>
      </c>
      <c r="G42" s="2" t="s">
        <v>48</v>
      </c>
      <c r="H42" s="3">
        <v>3</v>
      </c>
      <c r="I42" s="3">
        <v>2</v>
      </c>
    </row>
    <row r="43" spans="1:9" ht="60" customHeight="1">
      <c r="A43" s="3">
        <v>3</v>
      </c>
      <c r="B43" s="2"/>
      <c r="C43" s="3" t="str">
        <f t="shared" si="2"/>
        <v>3.3</v>
      </c>
      <c r="D43" s="2"/>
      <c r="E43" s="3" t="str">
        <f t="shared" si="3"/>
        <v>3.3.3</v>
      </c>
      <c r="F43" s="2" t="s">
        <v>58</v>
      </c>
      <c r="G43" s="2" t="s">
        <v>48</v>
      </c>
      <c r="H43" s="3">
        <v>3</v>
      </c>
      <c r="I43" s="3">
        <v>3</v>
      </c>
    </row>
    <row r="44" spans="1:9" ht="60" customHeight="1">
      <c r="A44" s="3">
        <v>3</v>
      </c>
      <c r="B44" s="2"/>
      <c r="C44" s="3" t="str">
        <f t="shared" si="2"/>
        <v>3.4</v>
      </c>
      <c r="D44" s="2" t="s">
        <v>59</v>
      </c>
      <c r="E44" s="3" t="str">
        <f t="shared" si="3"/>
        <v>3.4.1</v>
      </c>
      <c r="F44" s="2" t="s">
        <v>60</v>
      </c>
      <c r="G44" s="2" t="s">
        <v>48</v>
      </c>
      <c r="H44" s="3">
        <v>4</v>
      </c>
      <c r="I44" s="3">
        <v>1</v>
      </c>
    </row>
    <row r="45" spans="1:9" ht="60" customHeight="1">
      <c r="A45" s="3">
        <v>3</v>
      </c>
      <c r="B45" s="2"/>
      <c r="C45" s="3" t="str">
        <f t="shared" si="2"/>
        <v>3.4</v>
      </c>
      <c r="D45" s="2"/>
      <c r="E45" s="3" t="str">
        <f t="shared" si="3"/>
        <v>3.4.2</v>
      </c>
      <c r="F45" s="2" t="s">
        <v>61</v>
      </c>
      <c r="G45" s="2" t="s">
        <v>48</v>
      </c>
      <c r="H45" s="3">
        <v>4</v>
      </c>
      <c r="I45" s="3">
        <v>2</v>
      </c>
    </row>
    <row r="46" spans="1:9" ht="60" customHeight="1">
      <c r="A46" s="3">
        <v>3</v>
      </c>
      <c r="B46" s="2"/>
      <c r="C46" s="3" t="str">
        <f t="shared" si="2"/>
        <v>3.4</v>
      </c>
      <c r="D46" s="2"/>
      <c r="E46" s="3" t="str">
        <f t="shared" si="3"/>
        <v>3.4.3</v>
      </c>
      <c r="F46" s="2" t="s">
        <v>62</v>
      </c>
      <c r="G46" s="2" t="s">
        <v>48</v>
      </c>
      <c r="H46" s="3">
        <v>4</v>
      </c>
      <c r="I46" s="3">
        <v>3</v>
      </c>
    </row>
    <row r="47" spans="1:9" ht="60" customHeight="1">
      <c r="A47" s="3">
        <v>3</v>
      </c>
      <c r="B47" s="2"/>
      <c r="C47" s="3" t="str">
        <f t="shared" si="2"/>
        <v>3.5</v>
      </c>
      <c r="D47" s="2" t="s">
        <v>63</v>
      </c>
      <c r="E47" s="3" t="str">
        <f t="shared" si="3"/>
        <v>3.5.1</v>
      </c>
      <c r="F47" s="2" t="s">
        <v>64</v>
      </c>
      <c r="G47" s="2" t="s">
        <v>48</v>
      </c>
      <c r="H47" s="3">
        <v>5</v>
      </c>
      <c r="I47" s="3">
        <v>1</v>
      </c>
    </row>
    <row r="48" spans="1:9" ht="60" customHeight="1">
      <c r="A48" s="3">
        <v>3</v>
      </c>
      <c r="B48" s="2"/>
      <c r="C48" s="3" t="str">
        <f t="shared" si="2"/>
        <v>3.5</v>
      </c>
      <c r="D48" s="2"/>
      <c r="E48" s="3" t="str">
        <f t="shared" si="3"/>
        <v>3.5.2</v>
      </c>
      <c r="F48" s="2" t="s">
        <v>65</v>
      </c>
      <c r="G48" s="2" t="s">
        <v>48</v>
      </c>
      <c r="H48" s="3">
        <v>5</v>
      </c>
      <c r="I48" s="3">
        <v>2</v>
      </c>
    </row>
    <row r="49" spans="1:9" ht="60" customHeight="1">
      <c r="A49" s="3">
        <v>3</v>
      </c>
      <c r="B49" s="2"/>
      <c r="C49" s="3" t="str">
        <f t="shared" si="2"/>
        <v>3.5</v>
      </c>
      <c r="D49" s="2"/>
      <c r="E49" s="3" t="str">
        <f t="shared" si="3"/>
        <v>3.5.3</v>
      </c>
      <c r="F49" s="2" t="s">
        <v>66</v>
      </c>
      <c r="G49" s="2" t="s">
        <v>48</v>
      </c>
      <c r="H49" s="3">
        <v>5</v>
      </c>
      <c r="I49" s="3">
        <v>3</v>
      </c>
    </row>
    <row r="50" spans="1:9" ht="60" customHeight="1">
      <c r="A50" s="3">
        <v>4</v>
      </c>
      <c r="B50" s="2" t="s">
        <v>67</v>
      </c>
      <c r="C50" s="3" t="str">
        <f t="shared" si="2"/>
        <v>4.1</v>
      </c>
      <c r="D50" s="2" t="s">
        <v>68</v>
      </c>
      <c r="E50" s="3" t="str">
        <f t="shared" si="3"/>
        <v>4.1.1</v>
      </c>
      <c r="F50" s="2" t="s">
        <v>69</v>
      </c>
      <c r="G50" s="2" t="s">
        <v>70</v>
      </c>
      <c r="H50" s="3">
        <v>1</v>
      </c>
      <c r="I50" s="3">
        <v>1</v>
      </c>
    </row>
    <row r="51" spans="1:9" ht="60" customHeight="1">
      <c r="A51" s="3">
        <v>4</v>
      </c>
      <c r="B51" s="2"/>
      <c r="C51" s="3" t="str">
        <f t="shared" si="2"/>
        <v>4.1</v>
      </c>
      <c r="D51" s="2"/>
      <c r="E51" s="3" t="str">
        <f t="shared" si="3"/>
        <v>4.1.2</v>
      </c>
      <c r="F51" s="2" t="s">
        <v>71</v>
      </c>
      <c r="G51" s="2" t="s">
        <v>70</v>
      </c>
      <c r="H51" s="3">
        <v>1</v>
      </c>
      <c r="I51" s="3">
        <v>2</v>
      </c>
    </row>
    <row r="52" spans="1:9" ht="60" customHeight="1">
      <c r="A52" s="3">
        <v>4</v>
      </c>
      <c r="B52" s="2"/>
      <c r="C52" s="3" t="str">
        <f t="shared" si="2"/>
        <v>4.1</v>
      </c>
      <c r="D52" s="2"/>
      <c r="E52" s="3" t="str">
        <f t="shared" si="3"/>
        <v>4.1.3</v>
      </c>
      <c r="F52" s="2" t="s">
        <v>72</v>
      </c>
      <c r="G52" s="2" t="s">
        <v>70</v>
      </c>
      <c r="H52" s="3">
        <v>1</v>
      </c>
      <c r="I52" s="3">
        <v>3</v>
      </c>
    </row>
    <row r="53" spans="1:9" ht="60" customHeight="1">
      <c r="A53" s="3">
        <v>4</v>
      </c>
      <c r="B53" s="2"/>
      <c r="C53" s="3" t="str">
        <f t="shared" si="2"/>
        <v>4.2</v>
      </c>
      <c r="D53" s="2" t="s">
        <v>73</v>
      </c>
      <c r="E53" s="3" t="str">
        <f t="shared" si="3"/>
        <v>4.2.1</v>
      </c>
      <c r="F53" s="2" t="s">
        <v>74</v>
      </c>
      <c r="G53" s="2" t="s">
        <v>70</v>
      </c>
      <c r="H53" s="3">
        <v>2</v>
      </c>
      <c r="I53" s="3">
        <v>1</v>
      </c>
    </row>
    <row r="54" spans="1:9" ht="60" customHeight="1">
      <c r="A54" s="3">
        <v>4</v>
      </c>
      <c r="B54" s="2"/>
      <c r="C54" s="3" t="str">
        <f t="shared" si="2"/>
        <v>4.2</v>
      </c>
      <c r="D54" s="2"/>
      <c r="E54" s="3" t="str">
        <f t="shared" si="3"/>
        <v>4.2.2</v>
      </c>
      <c r="F54" s="2" t="s">
        <v>75</v>
      </c>
      <c r="G54" s="2" t="s">
        <v>70</v>
      </c>
      <c r="H54" s="3">
        <v>2</v>
      </c>
      <c r="I54" s="3">
        <v>2</v>
      </c>
    </row>
    <row r="55" spans="1:9" ht="60" customHeight="1">
      <c r="A55" s="3">
        <v>4</v>
      </c>
      <c r="B55" s="2"/>
      <c r="C55" s="3" t="str">
        <f t="shared" si="2"/>
        <v>4.2</v>
      </c>
      <c r="D55" s="2"/>
      <c r="E55" s="3" t="str">
        <f t="shared" si="3"/>
        <v>4.2.3</v>
      </c>
      <c r="F55" s="2" t="s">
        <v>76</v>
      </c>
      <c r="G55" s="2" t="s">
        <v>70</v>
      </c>
      <c r="H55" s="3">
        <v>2</v>
      </c>
      <c r="I55" s="3">
        <v>3</v>
      </c>
    </row>
    <row r="56" spans="1:9" ht="60" customHeight="1">
      <c r="A56" s="3">
        <v>4</v>
      </c>
      <c r="B56" s="2"/>
      <c r="C56" s="3" t="str">
        <f t="shared" si="2"/>
        <v>4.3</v>
      </c>
      <c r="D56" s="2" t="s">
        <v>77</v>
      </c>
      <c r="E56" s="3" t="str">
        <f t="shared" si="3"/>
        <v>4.3.1</v>
      </c>
      <c r="F56" s="2" t="s">
        <v>78</v>
      </c>
      <c r="G56" s="2" t="s">
        <v>70</v>
      </c>
      <c r="H56" s="3">
        <v>3</v>
      </c>
      <c r="I56" s="3">
        <v>1</v>
      </c>
    </row>
    <row r="57" spans="1:9" ht="60" customHeight="1">
      <c r="A57" s="3">
        <v>4</v>
      </c>
      <c r="B57" s="2"/>
      <c r="C57" s="3" t="str">
        <f t="shared" si="2"/>
        <v>4.3</v>
      </c>
      <c r="D57" s="2"/>
      <c r="E57" s="3" t="str">
        <f t="shared" si="3"/>
        <v>4.3.2</v>
      </c>
      <c r="F57" s="2" t="s">
        <v>79</v>
      </c>
      <c r="G57" s="2" t="s">
        <v>70</v>
      </c>
      <c r="H57" s="3">
        <v>3</v>
      </c>
      <c r="I57" s="3">
        <v>2</v>
      </c>
    </row>
    <row r="58" spans="1:9" ht="60" customHeight="1">
      <c r="A58" s="3">
        <v>4</v>
      </c>
      <c r="B58" s="2"/>
      <c r="C58" s="3" t="str">
        <f t="shared" si="2"/>
        <v>4.3</v>
      </c>
      <c r="D58" s="2"/>
      <c r="E58" s="3" t="str">
        <f t="shared" si="3"/>
        <v>4.3.3</v>
      </c>
      <c r="F58" s="2" t="s">
        <v>80</v>
      </c>
      <c r="G58" s="2" t="s">
        <v>70</v>
      </c>
      <c r="H58" s="3">
        <v>3</v>
      </c>
      <c r="I58" s="3">
        <v>3</v>
      </c>
    </row>
    <row r="59" spans="1:9" ht="60" customHeight="1">
      <c r="A59" s="3">
        <v>4</v>
      </c>
      <c r="B59" s="2"/>
      <c r="C59" s="3" t="str">
        <f t="shared" si="2"/>
        <v>4.4</v>
      </c>
      <c r="D59" s="2" t="s">
        <v>81</v>
      </c>
      <c r="E59" s="3" t="str">
        <f t="shared" si="3"/>
        <v>4.4.1</v>
      </c>
      <c r="F59" s="2" t="s">
        <v>82</v>
      </c>
      <c r="G59" s="2" t="s">
        <v>70</v>
      </c>
      <c r="H59" s="3">
        <v>4</v>
      </c>
      <c r="I59" s="3">
        <v>1</v>
      </c>
    </row>
    <row r="60" spans="1:9" ht="60" customHeight="1">
      <c r="A60" s="3">
        <v>4</v>
      </c>
      <c r="B60" s="2"/>
      <c r="C60" s="3" t="str">
        <f t="shared" si="2"/>
        <v>4.4</v>
      </c>
      <c r="D60" s="2"/>
      <c r="E60" s="3" t="str">
        <f t="shared" si="3"/>
        <v>4.4.2</v>
      </c>
      <c r="F60" s="2" t="s">
        <v>83</v>
      </c>
      <c r="G60" s="2" t="s">
        <v>70</v>
      </c>
      <c r="H60" s="3">
        <v>4</v>
      </c>
      <c r="I60" s="3">
        <v>2</v>
      </c>
    </row>
    <row r="61" spans="1:9" ht="60" customHeight="1">
      <c r="A61" s="3">
        <v>4</v>
      </c>
      <c r="B61" s="2"/>
      <c r="C61" s="3" t="str">
        <f t="shared" si="2"/>
        <v>4.4</v>
      </c>
      <c r="D61" s="2"/>
      <c r="E61" s="3" t="str">
        <f t="shared" si="3"/>
        <v>4.4.3</v>
      </c>
      <c r="F61" s="2" t="s">
        <v>84</v>
      </c>
      <c r="G61" s="2" t="s">
        <v>70</v>
      </c>
      <c r="H61" s="3">
        <v>4</v>
      </c>
      <c r="I61" s="3">
        <v>3</v>
      </c>
    </row>
    <row r="62" spans="1:9" ht="60" customHeight="1">
      <c r="A62" s="3">
        <v>4</v>
      </c>
      <c r="B62" s="2"/>
      <c r="C62" s="3" t="str">
        <f t="shared" si="2"/>
        <v>4.5</v>
      </c>
      <c r="D62" s="2" t="s">
        <v>85</v>
      </c>
      <c r="E62" s="3" t="str">
        <f t="shared" si="3"/>
        <v>4.5.1</v>
      </c>
      <c r="F62" s="2" t="s">
        <v>86</v>
      </c>
      <c r="G62" s="2" t="s">
        <v>70</v>
      </c>
      <c r="H62" s="3">
        <v>5</v>
      </c>
      <c r="I62" s="3">
        <v>1</v>
      </c>
    </row>
    <row r="63" spans="1:9" ht="60" customHeight="1">
      <c r="A63" s="3">
        <v>4</v>
      </c>
      <c r="B63" s="2"/>
      <c r="C63" s="3" t="str">
        <f t="shared" si="2"/>
        <v>4.5</v>
      </c>
      <c r="D63" s="2"/>
      <c r="E63" s="3" t="str">
        <f t="shared" si="3"/>
        <v>4.5.2</v>
      </c>
      <c r="F63" s="2" t="s">
        <v>87</v>
      </c>
      <c r="G63" s="2" t="s">
        <v>70</v>
      </c>
      <c r="H63" s="3">
        <v>5</v>
      </c>
      <c r="I63" s="3">
        <v>2</v>
      </c>
    </row>
    <row r="64" spans="1:9" ht="60" customHeight="1">
      <c r="A64" s="3">
        <v>4</v>
      </c>
      <c r="B64" s="2"/>
      <c r="C64" s="3" t="str">
        <f t="shared" si="2"/>
        <v>4.5</v>
      </c>
      <c r="D64" s="2"/>
      <c r="E64" s="3" t="str">
        <f t="shared" si="3"/>
        <v>4.5.3</v>
      </c>
      <c r="F64" s="2" t="s">
        <v>88</v>
      </c>
      <c r="G64" s="2" t="s">
        <v>70</v>
      </c>
      <c r="H64" s="3">
        <v>5</v>
      </c>
      <c r="I64" s="3">
        <v>3</v>
      </c>
    </row>
    <row r="65" spans="1:9" ht="112">
      <c r="A65" s="4">
        <v>5</v>
      </c>
      <c r="B65" s="4" t="s">
        <v>89</v>
      </c>
      <c r="C65" s="4" t="str">
        <f t="shared" si="2"/>
        <v>5.1</v>
      </c>
      <c r="D65" s="4" t="s">
        <v>90</v>
      </c>
      <c r="E65" s="4" t="str">
        <f t="shared" si="3"/>
        <v>5.1.1</v>
      </c>
      <c r="F65" s="4" t="s">
        <v>91</v>
      </c>
      <c r="G65" s="4" t="s">
        <v>92</v>
      </c>
      <c r="H65" s="4">
        <v>1</v>
      </c>
      <c r="I65" s="4">
        <v>1</v>
      </c>
    </row>
    <row r="66" spans="1:9" ht="60" customHeight="1">
      <c r="A66" s="4">
        <v>5</v>
      </c>
      <c r="B66" s="4"/>
      <c r="C66" s="4" t="str">
        <f t="shared" si="2"/>
        <v>5.1</v>
      </c>
      <c r="D66" s="4"/>
      <c r="E66" s="4" t="str">
        <f t="shared" si="3"/>
        <v>5.1.2</v>
      </c>
      <c r="F66" s="4" t="s">
        <v>93</v>
      </c>
      <c r="G66" s="4" t="s">
        <v>92</v>
      </c>
      <c r="H66" s="4">
        <v>1</v>
      </c>
      <c r="I66" s="4">
        <v>2</v>
      </c>
    </row>
    <row r="67" spans="1:9" ht="60" customHeight="1">
      <c r="A67" s="4">
        <v>5</v>
      </c>
      <c r="B67" s="4"/>
      <c r="C67" s="4" t="str">
        <f t="shared" si="2"/>
        <v>5.1</v>
      </c>
      <c r="D67" s="4"/>
      <c r="E67" s="4" t="str">
        <f t="shared" si="3"/>
        <v>5.1.3</v>
      </c>
      <c r="F67" s="4" t="s">
        <v>94</v>
      </c>
      <c r="G67" s="4" t="s">
        <v>92</v>
      </c>
      <c r="H67" s="4">
        <v>1</v>
      </c>
      <c r="I67" s="4">
        <v>3</v>
      </c>
    </row>
    <row r="68" spans="1:9" ht="70">
      <c r="A68" s="4">
        <v>5</v>
      </c>
      <c r="B68" s="4"/>
      <c r="C68" s="4" t="str">
        <f t="shared" si="2"/>
        <v>5.2</v>
      </c>
      <c r="D68" s="4" t="s">
        <v>95</v>
      </c>
      <c r="E68" s="4" t="str">
        <f t="shared" si="3"/>
        <v>5.2.1</v>
      </c>
      <c r="F68" s="4" t="s">
        <v>96</v>
      </c>
      <c r="G68" s="4" t="s">
        <v>92</v>
      </c>
      <c r="H68" s="4">
        <v>2</v>
      </c>
      <c r="I68" s="4">
        <v>1</v>
      </c>
    </row>
    <row r="69" spans="1:9" ht="60" customHeight="1">
      <c r="A69" s="4">
        <v>5</v>
      </c>
      <c r="B69" s="4"/>
      <c r="C69" s="4" t="str">
        <f t="shared" ref="C69:C76" si="4">A69&amp;"."&amp;H69</f>
        <v>5.2</v>
      </c>
      <c r="D69" s="4"/>
      <c r="E69" s="4" t="str">
        <f t="shared" ref="E69:E76" si="5">C69&amp;"."&amp;I69</f>
        <v>5.2.2</v>
      </c>
      <c r="F69" s="4" t="s">
        <v>97</v>
      </c>
      <c r="G69" s="4" t="s">
        <v>92</v>
      </c>
      <c r="H69" s="4">
        <v>2</v>
      </c>
      <c r="I69" s="4">
        <v>2</v>
      </c>
    </row>
    <row r="70" spans="1:9" ht="60" customHeight="1">
      <c r="A70" s="4">
        <v>5</v>
      </c>
      <c r="B70" s="4"/>
      <c r="C70" s="4" t="str">
        <f t="shared" si="4"/>
        <v>5.2</v>
      </c>
      <c r="D70" s="4"/>
      <c r="E70" s="4" t="str">
        <f t="shared" si="5"/>
        <v>5.2.3</v>
      </c>
      <c r="F70" s="4" t="s">
        <v>98</v>
      </c>
      <c r="G70" s="4" t="s">
        <v>92</v>
      </c>
      <c r="H70" s="4">
        <v>2</v>
      </c>
      <c r="I70" s="4">
        <v>3</v>
      </c>
    </row>
    <row r="71" spans="1:9" ht="106.5" customHeight="1">
      <c r="A71" s="4">
        <v>5</v>
      </c>
      <c r="B71" s="4"/>
      <c r="C71" s="4" t="str">
        <f t="shared" si="4"/>
        <v>5.3</v>
      </c>
      <c r="D71" s="4" t="s">
        <v>99</v>
      </c>
      <c r="E71" s="4" t="str">
        <f t="shared" si="5"/>
        <v>5.3.1</v>
      </c>
      <c r="F71" s="4" t="s">
        <v>100</v>
      </c>
      <c r="G71" s="4" t="s">
        <v>92</v>
      </c>
      <c r="H71" s="4">
        <v>3</v>
      </c>
      <c r="I71" s="4">
        <v>1</v>
      </c>
    </row>
    <row r="72" spans="1:9" ht="60" customHeight="1">
      <c r="A72" s="4">
        <v>5</v>
      </c>
      <c r="B72" s="4"/>
      <c r="C72" s="4" t="str">
        <f t="shared" si="4"/>
        <v>5.3</v>
      </c>
      <c r="D72" s="4"/>
      <c r="E72" s="4" t="str">
        <f t="shared" si="5"/>
        <v>5.3.2</v>
      </c>
      <c r="F72" s="4" t="s">
        <v>101</v>
      </c>
      <c r="G72" s="4" t="s">
        <v>92</v>
      </c>
      <c r="H72" s="4">
        <v>3</v>
      </c>
      <c r="I72" s="4">
        <v>2</v>
      </c>
    </row>
    <row r="73" spans="1:9" ht="60" customHeight="1">
      <c r="A73" s="4">
        <v>5</v>
      </c>
      <c r="B73" s="4"/>
      <c r="C73" s="4" t="str">
        <f t="shared" si="4"/>
        <v>5.3</v>
      </c>
      <c r="D73" s="4"/>
      <c r="E73" s="4" t="str">
        <f t="shared" si="5"/>
        <v>5.3.3</v>
      </c>
      <c r="F73" s="4" t="s">
        <v>102</v>
      </c>
      <c r="G73" s="4" t="s">
        <v>92</v>
      </c>
      <c r="H73" s="4">
        <v>3</v>
      </c>
      <c r="I73" s="4">
        <v>3</v>
      </c>
    </row>
    <row r="74" spans="1:9" ht="103" customHeight="1">
      <c r="A74" s="4">
        <v>5</v>
      </c>
      <c r="B74" s="4"/>
      <c r="C74" s="4" t="str">
        <f t="shared" si="4"/>
        <v>5.4</v>
      </c>
      <c r="D74" s="4" t="s">
        <v>103</v>
      </c>
      <c r="E74" s="4" t="str">
        <f t="shared" si="5"/>
        <v>5.4.1</v>
      </c>
      <c r="F74" s="4" t="s">
        <v>104</v>
      </c>
      <c r="G74" s="4" t="s">
        <v>92</v>
      </c>
      <c r="H74" s="4">
        <v>4</v>
      </c>
      <c r="I74" s="4">
        <v>1</v>
      </c>
    </row>
    <row r="75" spans="1:9" ht="60" customHeight="1">
      <c r="A75" s="4">
        <v>5</v>
      </c>
      <c r="B75" s="4"/>
      <c r="C75" s="4" t="str">
        <f t="shared" si="4"/>
        <v>5.4</v>
      </c>
      <c r="D75" s="4"/>
      <c r="E75" s="4" t="str">
        <f t="shared" si="5"/>
        <v>5.4.2</v>
      </c>
      <c r="F75" s="4" t="s">
        <v>105</v>
      </c>
      <c r="G75" s="4" t="s">
        <v>92</v>
      </c>
      <c r="H75" s="4">
        <v>4</v>
      </c>
      <c r="I75" s="4">
        <v>2</v>
      </c>
    </row>
    <row r="76" spans="1:9" ht="60" customHeight="1">
      <c r="A76" s="4">
        <v>5</v>
      </c>
      <c r="B76" s="4"/>
      <c r="C76" s="4" t="str">
        <f t="shared" si="4"/>
        <v>5.4</v>
      </c>
      <c r="D76" s="4"/>
      <c r="E76" s="4" t="str">
        <f t="shared" si="5"/>
        <v>5.4.3</v>
      </c>
      <c r="F76" s="4" t="s">
        <v>106</v>
      </c>
      <c r="G76" s="4" t="s">
        <v>92</v>
      </c>
      <c r="H76" s="4">
        <v>4</v>
      </c>
      <c r="I76" s="4">
        <v>3</v>
      </c>
    </row>
  </sheetData>
  <mergeCells count="2">
    <mergeCell ref="A1:I1"/>
    <mergeCell ref="A2:I2"/>
  </mergeCells>
  <conditionalFormatting sqref="A5:G64">
    <cfRule type="expression" dxfId="3" priority="1">
      <formula>$A5=1</formula>
    </cfRule>
    <cfRule type="expression" dxfId="2" priority="2">
      <formula>$A5=2</formula>
    </cfRule>
    <cfRule type="expression" dxfId="1" priority="3">
      <formula>$A5=3</formula>
    </cfRule>
    <cfRule type="expression" dxfId="0" priority="4">
      <formula>$A5=4</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sqref="A1:E1"/>
    </sheetView>
  </sheetViews>
  <sheetFormatPr defaultRowHeight="14"/>
  <cols>
    <col min="1" max="1" width="30" customWidth="1"/>
    <col min="2" max="2" width="50" customWidth="1"/>
    <col min="3" max="3" width="42" customWidth="1"/>
    <col min="4" max="4" width="16" customWidth="1"/>
    <col min="5" max="5" width="42" customWidth="1"/>
  </cols>
  <sheetData>
    <row r="1" spans="1:5" ht="18">
      <c r="A1" s="6" t="s">
        <v>107</v>
      </c>
      <c r="B1" s="7"/>
      <c r="C1" s="7"/>
      <c r="D1" s="7"/>
      <c r="E1" s="7"/>
    </row>
    <row r="3" spans="1:5">
      <c r="A3" s="1" t="s">
        <v>108</v>
      </c>
      <c r="B3" s="1" t="s">
        <v>109</v>
      </c>
      <c r="C3" s="1" t="s">
        <v>110</v>
      </c>
      <c r="D3" s="1" t="s">
        <v>111</v>
      </c>
      <c r="E3" s="1" t="s">
        <v>112</v>
      </c>
    </row>
    <row r="4" spans="1:5" ht="65" customHeight="1">
      <c r="A4" s="2" t="s">
        <v>113</v>
      </c>
      <c r="B4" s="2" t="s">
        <v>114</v>
      </c>
      <c r="C4" s="2" t="s">
        <v>115</v>
      </c>
      <c r="D4" s="2" t="s">
        <v>116</v>
      </c>
      <c r="E4" s="2" t="s">
        <v>117</v>
      </c>
    </row>
    <row r="5" spans="1:5" ht="65" customHeight="1">
      <c r="A5" s="2" t="s">
        <v>118</v>
      </c>
      <c r="B5" s="2" t="s">
        <v>119</v>
      </c>
      <c r="C5" s="2" t="s">
        <v>120</v>
      </c>
      <c r="D5" s="2" t="s">
        <v>116</v>
      </c>
      <c r="E5" s="2" t="s">
        <v>121</v>
      </c>
    </row>
    <row r="6" spans="1:5" ht="65" customHeight="1">
      <c r="A6" s="2" t="s">
        <v>122</v>
      </c>
      <c r="B6" s="2" t="s">
        <v>123</v>
      </c>
      <c r="C6" s="2" t="s">
        <v>124</v>
      </c>
      <c r="D6" s="2" t="s">
        <v>116</v>
      </c>
      <c r="E6" s="2" t="s">
        <v>125</v>
      </c>
    </row>
    <row r="7" spans="1:5" ht="65" customHeight="1">
      <c r="A7" s="2" t="s">
        <v>126</v>
      </c>
      <c r="B7" s="2" t="s">
        <v>127</v>
      </c>
      <c r="C7" s="2" t="s">
        <v>128</v>
      </c>
      <c r="D7" s="2" t="s">
        <v>129</v>
      </c>
      <c r="E7" s="2" t="s">
        <v>130</v>
      </c>
    </row>
    <row r="8" spans="1:5" ht="65" customHeight="1">
      <c r="A8" s="2" t="s">
        <v>131</v>
      </c>
      <c r="B8" s="2" t="s">
        <v>132</v>
      </c>
      <c r="C8" s="2" t="s">
        <v>133</v>
      </c>
      <c r="D8" s="2" t="s">
        <v>134</v>
      </c>
      <c r="E8" s="2" t="s">
        <v>135</v>
      </c>
    </row>
    <row r="9" spans="1:5" ht="65" customHeight="1">
      <c r="A9" s="2" t="s">
        <v>136</v>
      </c>
      <c r="B9" s="2" t="s">
        <v>137</v>
      </c>
      <c r="C9" s="2" t="s">
        <v>138</v>
      </c>
      <c r="D9" s="2" t="s">
        <v>134</v>
      </c>
      <c r="E9" s="2" t="s">
        <v>139</v>
      </c>
    </row>
  </sheetData>
  <mergeCells count="1">
    <mergeCell ref="A1: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
  <sheetViews>
    <sheetView topLeftCell="B1" workbookViewId="0">
      <selection sqref="A1:F1"/>
    </sheetView>
  </sheetViews>
  <sheetFormatPr defaultRowHeight="14"/>
  <cols>
    <col min="1" max="1" width="10" customWidth="1"/>
    <col min="2" max="2" width="34" customWidth="1"/>
    <col min="3" max="4" width="40" customWidth="1"/>
    <col min="5" max="5" width="34" customWidth="1"/>
    <col min="6" max="6" width="16" customWidth="1"/>
  </cols>
  <sheetData>
    <row r="1" spans="1:6" ht="18">
      <c r="A1" s="6" t="s">
        <v>140</v>
      </c>
      <c r="B1" s="7"/>
      <c r="C1" s="7"/>
      <c r="D1" s="7"/>
      <c r="E1" s="7"/>
      <c r="F1" s="7"/>
    </row>
    <row r="3" spans="1:6">
      <c r="A3" s="1" t="s">
        <v>141</v>
      </c>
      <c r="B3" s="1" t="s">
        <v>142</v>
      </c>
      <c r="C3" s="1" t="s">
        <v>143</v>
      </c>
      <c r="D3" s="1" t="s">
        <v>144</v>
      </c>
      <c r="E3" s="1" t="s">
        <v>145</v>
      </c>
      <c r="F3" s="1" t="s">
        <v>146</v>
      </c>
    </row>
    <row r="4" spans="1:6" ht="55" customHeight="1">
      <c r="A4" s="2">
        <v>1</v>
      </c>
      <c r="B4" s="2" t="s">
        <v>147</v>
      </c>
      <c r="C4" s="2" t="s">
        <v>148</v>
      </c>
      <c r="D4" s="2" t="s">
        <v>149</v>
      </c>
      <c r="E4" s="2" t="s">
        <v>150</v>
      </c>
      <c r="F4" s="2" t="s">
        <v>151</v>
      </c>
    </row>
    <row r="5" spans="1:6" ht="55" customHeight="1">
      <c r="A5" s="2">
        <v>2</v>
      </c>
      <c r="B5" s="2" t="s">
        <v>152</v>
      </c>
      <c r="C5" s="2" t="s">
        <v>153</v>
      </c>
      <c r="D5" s="2" t="s">
        <v>154</v>
      </c>
      <c r="E5" s="2" t="s">
        <v>155</v>
      </c>
      <c r="F5" s="2" t="s">
        <v>156</v>
      </c>
    </row>
    <row r="6" spans="1:6" ht="55" customHeight="1">
      <c r="A6" s="2">
        <v>3</v>
      </c>
      <c r="B6" s="2" t="s">
        <v>157</v>
      </c>
      <c r="C6" s="2" t="s">
        <v>158</v>
      </c>
      <c r="D6" s="2" t="s">
        <v>159</v>
      </c>
      <c r="E6" s="2" t="s">
        <v>160</v>
      </c>
      <c r="F6" s="2" t="s">
        <v>161</v>
      </c>
    </row>
    <row r="7" spans="1:6" ht="55" customHeight="1">
      <c r="A7" s="2">
        <v>4</v>
      </c>
      <c r="B7" s="2" t="s">
        <v>162</v>
      </c>
      <c r="C7" s="2" t="s">
        <v>163</v>
      </c>
      <c r="D7" s="2" t="s">
        <v>164</v>
      </c>
      <c r="E7" s="2" t="s">
        <v>165</v>
      </c>
      <c r="F7" s="2" t="s">
        <v>166</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Factor Analysis</vt:lpstr>
      <vt:lpstr>Source Basis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BEATTY</cp:lastModifiedBy>
  <cp:lastPrinted>2026-05-09T08:34:31Z</cp:lastPrinted>
  <dcterms:created xsi:type="dcterms:W3CDTF">2026-05-09T08:06:19Z</dcterms:created>
  <dcterms:modified xsi:type="dcterms:W3CDTF">2026-05-16T13:32:54Z</dcterms:modified>
</cp:coreProperties>
</file>