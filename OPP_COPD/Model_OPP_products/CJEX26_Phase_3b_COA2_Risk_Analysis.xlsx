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cuments\JCSC\10. OPP\cjex\Products\"/>
    </mc:Choice>
  </mc:AlternateContent>
  <xr:revisionPtr revIDLastSave="0" documentId="13_ncr:1_{E60471F5-02F1-40DD-AD34-B912D64AA9D5}" xr6:coauthVersionLast="47" xr6:coauthVersionMax="47" xr10:uidLastSave="{00000000-0000-0000-0000-000000000000}"/>
  <bookViews>
    <workbookView xWindow="-110" yWindow="-110" windowWidth="19420" windowHeight="10300" tabRatio="500" activeTab="2" xr2:uid="{00000000-000D-0000-FFFF-FFFF00000000}"/>
  </bookViews>
  <sheets>
    <sheet name="Risk Factor Analysis" sheetId="1" r:id="rId1"/>
    <sheet name="Risk Assessment" sheetId="4" r:id="rId2"/>
    <sheet name="Risk Board" sheetId="5" r:id="rId3"/>
    <sheet name="Summary" sheetId="3" r:id="rId4"/>
    <sheet name="Source Basis" sheetId="2"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26" i="4" l="1"/>
  <c r="K25" i="4"/>
  <c r="K24" i="4"/>
  <c r="K23" i="4"/>
  <c r="K22" i="4"/>
  <c r="K21" i="4"/>
  <c r="K20" i="4"/>
  <c r="K19" i="4"/>
  <c r="K18" i="4"/>
  <c r="K17" i="4"/>
  <c r="K16" i="4"/>
  <c r="K15" i="4"/>
  <c r="K14" i="4"/>
  <c r="K13" i="4"/>
  <c r="K12" i="4"/>
  <c r="K11" i="4"/>
  <c r="C60" i="1"/>
  <c r="E60" i="1" s="1"/>
  <c r="C59" i="1"/>
  <c r="E59" i="1" s="1"/>
  <c r="C58" i="1"/>
  <c r="E58" i="1" s="1"/>
  <c r="C57" i="1"/>
  <c r="E57" i="1" s="1"/>
  <c r="C56" i="1"/>
  <c r="E56" i="1" s="1"/>
  <c r="C55" i="1"/>
  <c r="E55" i="1" s="1"/>
  <c r="C54" i="1"/>
  <c r="E54" i="1" s="1"/>
  <c r="C53" i="1"/>
  <c r="E53" i="1" s="1"/>
  <c r="C52" i="1"/>
  <c r="E52" i="1" s="1"/>
  <c r="C51" i="1"/>
  <c r="E51" i="1" s="1"/>
  <c r="C50" i="1"/>
  <c r="E50" i="1" s="1"/>
  <c r="C49" i="1"/>
  <c r="E49" i="1" s="1"/>
  <c r="C48" i="1"/>
  <c r="E48" i="1" s="1"/>
  <c r="C47" i="1"/>
  <c r="E47" i="1" s="1"/>
  <c r="C46" i="1"/>
  <c r="E46" i="1" s="1"/>
  <c r="C45" i="1"/>
  <c r="E45" i="1" s="1"/>
  <c r="C44" i="1"/>
  <c r="E44" i="1" s="1"/>
  <c r="C43" i="1"/>
  <c r="E43" i="1" s="1"/>
  <c r="C42" i="1"/>
  <c r="E42" i="1" s="1"/>
  <c r="C41" i="1"/>
  <c r="E41" i="1" s="1"/>
  <c r="C40" i="1"/>
  <c r="E40" i="1" s="1"/>
  <c r="C39" i="1"/>
  <c r="E39" i="1" s="1"/>
  <c r="C38" i="1"/>
  <c r="E38" i="1" s="1"/>
  <c r="C37" i="1"/>
  <c r="E37" i="1" s="1"/>
  <c r="C36" i="1"/>
  <c r="E36" i="1" s="1"/>
  <c r="C35" i="1"/>
  <c r="E35" i="1" s="1"/>
  <c r="C34" i="1"/>
  <c r="E34" i="1" s="1"/>
  <c r="C33" i="1"/>
  <c r="E33" i="1" s="1"/>
  <c r="C32" i="1"/>
  <c r="E32" i="1" s="1"/>
  <c r="C31" i="1"/>
  <c r="E31" i="1" s="1"/>
  <c r="C30" i="1"/>
  <c r="E30" i="1" s="1"/>
  <c r="C29" i="1"/>
  <c r="E29" i="1" s="1"/>
  <c r="C28" i="1"/>
  <c r="E28" i="1" s="1"/>
  <c r="C27" i="1"/>
  <c r="E27" i="1" s="1"/>
  <c r="C26" i="1"/>
  <c r="E26" i="1" s="1"/>
  <c r="C25" i="1"/>
  <c r="E25" i="1" s="1"/>
  <c r="C24" i="1"/>
  <c r="E24" i="1" s="1"/>
  <c r="C23" i="1"/>
  <c r="E23" i="1" s="1"/>
  <c r="C22" i="1"/>
  <c r="E22" i="1" s="1"/>
  <c r="C21" i="1"/>
  <c r="E21" i="1" s="1"/>
  <c r="C20" i="1"/>
  <c r="E20" i="1" s="1"/>
  <c r="C19" i="1"/>
  <c r="E19" i="1" s="1"/>
  <c r="C18" i="1"/>
  <c r="E18" i="1" s="1"/>
  <c r="C17" i="1"/>
  <c r="E17" i="1" s="1"/>
  <c r="C16" i="1"/>
  <c r="E16" i="1" s="1"/>
  <c r="C15" i="1"/>
  <c r="E15" i="1" s="1"/>
  <c r="C14" i="1"/>
  <c r="E14" i="1" s="1"/>
  <c r="C13" i="1"/>
  <c r="E13" i="1" s="1"/>
  <c r="C12" i="1"/>
  <c r="E12" i="1" s="1"/>
  <c r="C11" i="1"/>
  <c r="E11" i="1" s="1"/>
  <c r="C10" i="1"/>
  <c r="E10" i="1" s="1"/>
  <c r="C9" i="1"/>
  <c r="E9" i="1" s="1"/>
  <c r="C8" i="1"/>
  <c r="E8" i="1" s="1"/>
  <c r="C7" i="1"/>
  <c r="E7" i="1" s="1"/>
  <c r="C6" i="1"/>
  <c r="E6" i="1" s="1"/>
  <c r="C5" i="1"/>
  <c r="E5" i="1" s="1"/>
</calcChain>
</file>

<file path=xl/sharedStrings.xml><?xml version="1.0" encoding="utf-8"?>
<sst xmlns="http://schemas.openxmlformats.org/spreadsheetml/2006/main" count="586" uniqueCount="506">
  <si>
    <t>CJEX 26 Risk Management Factor Analysis — COA 2: Operational Risk Assessment</t>
  </si>
  <si>
    <t>Formula-driven serials: Col C = Factor.Deduction; Col E = Factor.Deduction.Conclusion. Scope: GUINEA, GAMBIA, SIERRA LEONE, SLOCs/ALOCs to EUROPE. Risk attitude: Casualty tolerance ZERO; temporal tolerance MODERATE. Reference doctrine: AJP-3 Annex D; COPD V3.1; AJP-5 Ed A V2.</t>
  </si>
  <si>
    <t>Factor</t>
  </si>
  <si>
    <t>Deduction</t>
  </si>
  <si>
    <t>Conclusion</t>
  </si>
  <si>
    <t>Source</t>
  </si>
  <si>
    <t>Ded #</t>
  </si>
  <si>
    <t>Con #</t>
  </si>
  <si>
    <t>#</t>
  </si>
  <si>
    <t>Factor Statement</t>
  </si>
  <si>
    <t>Ded</t>
  </si>
  <si>
    <t>Deduction Text</t>
  </si>
  <si>
    <t>Con</t>
  </si>
  <si>
    <t>Conclusion Text</t>
  </si>
  <si>
    <t>Source Reference</t>
  </si>
  <si>
    <t>Ded Ctr</t>
  </si>
  <si>
    <t>Con Ctr</t>
  </si>
  <si>
    <t>GUINEA HNS conditionality: GUINEA has announced willingness to provide logistic support including use of CONAKRY (GUINEA) SPOD and airbases as deployed operating bases. GUINEA explicitly prohibits deployment of lethal force on its territory. The Technical Agreement is assessed as a precondition for success and is expected to be signed. CONAKRY (GUINEA) is the primary SPOD, primary coupling bridge, and JLSG location for COA 2. CONAKRY (GUINEA) harbour is GUINEA's critical economic asset.</t>
  </si>
  <si>
    <t>CONAKRY (GUINEA) as the primary logistics hub places the entire force flow through a node that depends on GUINEA's continued political will. Any action by WAFOR that breaches the Technical Agreement removes the primary entry point and JLSG location simultaneously.</t>
  </si>
  <si>
    <t>Maintaining the GUINEA Technical Agreement throughout deployment is a precondition for success. WAFOR's conduct in GUINEA — particularly in the staging area and during transit — must be carefully managed and enforced at command level.</t>
  </si>
  <si>
    <t>CJEX Serial 8; CJEX Serial 4; CCR MAB Speech</t>
  </si>
  <si>
    <t>Combat-ready forces may transit GUINEA but may not conduct combat operations on Guinean territory. This is confirmed by RFI to COM. COMWAFOR must ensure all deploying units are briefed on this constraint before they embark.</t>
  </si>
  <si>
    <t>CJEX Serial 8; CJEX Serial 4</t>
  </si>
  <si>
    <t>A GUINEA liaison officer with authority to halt or redirect WAFOR elements must be designated before the first unit deploys through CONAKRY (GUINEA). Breach of the Technical Agreement by a single unit can have strategic consequences.</t>
  </si>
  <si>
    <t>CJEX Serial 8; CJEX Serial 3A JIE</t>
  </si>
  <si>
    <t>GUINEA's HNS is politically conditioned by domestic stability, economic interest and regional security. GUINEA is not a NATO member and has no treaty obligation. A change of government or deterioration in GUINEA-WAFOR relations mid-campaign could remove CONAKRY (GUINEA) from the plan. The humanitarian situation in GUINEA — which is hosting a significant number of SIERRA LEONE refugees — increases political pressure on the Guinean government.</t>
  </si>
  <si>
    <t>KLE with Government of GUINEA leadership is a priority and must be treated as an ongoing operational requirement. COMWAFOR's engagement with GUINEA is not a one-time diplomatic event.</t>
  </si>
  <si>
    <t>PHASE Concepts &amp; KLE Prioritisation; CJEX Serial 3A JIE</t>
  </si>
  <si>
    <t>Protection of CONAKRY (GUINEA) harbour is a Guinean national interest and a potential leverage point. WAFOR maritime assets providing harbour protection strengthens GUINEA's political will to maintain HNS. J5 and JFMCC must coordinate this explicitly.</t>
  </si>
  <si>
    <t>CJEX Serial 8; Phase 2 MRO Assessment</t>
  </si>
  <si>
    <t>GAMBIA air and naval facilities: GAMBIA's air and naval facilities have been identified as a possible intermittent forward operating base and contingency logistics node. GAMBIA is geographically positioned to provide an alternative entry point north of SIERRA LEONE. Without a Technical Agreement, GAMBIA cannot feature in primary force flow calculations. GAMBIA Technical Agreement is assessed as a precondition for success from a sustainment perspective.</t>
  </si>
  <si>
    <t>GAMBIA is not a confirmed logistics node. COA 2 primary force flow runs through CONAKRY (GUINEA). GAMBIA becomes operationally relevant if CONAKRY (GUINEA) is unavailable or if LUNGI (FREETOWN) is closed for a sustained period. Force flow through FREETOWN SPOD and LUNGI APOD alone would be substantially reduced and would require significant civil engineering remedial works before they could support the full COA 2 force.</t>
  </si>
  <si>
    <t>A Technical Agreement for GAMBIA must be initiated during ACTPRED. The OLRT should include a liaison element to GAMBIA to assess infrastructure, political conditions and capacity. GAMBIA is a risk mitigation action, not a primary logistics task.</t>
  </si>
  <si>
    <t>GAMBIA's geographic position north of SIERRA LEONE means ground forces transiting from GAMBIA require one day's transit to the SIERRA LEONE border at an uncontested rate of advance, and a further day's contested advance to FREETOWN. GAMBIA is more useful as an APOD and maritime node than as a ground transit route.</t>
  </si>
  <si>
    <t>If LUNGI (FREETOWN) is closed for more than 48 hours, JFACC and JLSG must assess GAMBIA APOD as an alternate. This must be pre-planned as a branch plan, not improvised under operational pressure.</t>
  </si>
  <si>
    <t>Residual risk from GAMBIA unavailability is HIGH if CONAKRY (GUINEA) is also unavailable. WAFOR must include a branch plan for withdrawal of Technical Agreement and define the trigger for activation.</t>
  </si>
  <si>
    <t>CJEX Serial 8; AJP-3 Annex D</t>
  </si>
  <si>
    <t>Government of SIERRA LEONE (GoSL) on verge of collapse: The GoSL is assessed as being on the verge of collapse. This is the current condition of the operating environment, not a future contingency. GoSL HNS — port workers, local contracts, infrastructure access, convoy escort, civil utilities — must be planned as a bonus, not a baseline. Every GoSL HNS dependency must have a NATO or commercial alternative routed via GUINEA.</t>
  </si>
  <si>
    <t>GoSL collapse removes the legal and political framework for WAFOR operations. WAFOR loses consent for presence, freedom of movement, mandate authority and all HNS simultaneously. This is not a logistics risk alone — it is a campaign-level legal and operational risk.</t>
  </si>
  <si>
    <t>CSO (Contractor Support to Operations) via GUINEA is the operationally reliable sustainment mechanism. Contracting authority and enabling budget must be secured before force arrival. This is a command-level decision.</t>
  </si>
  <si>
    <t>CJEX Serial 3; CJEX Serial 8; CCR MAB Speech</t>
  </si>
  <si>
    <t>GoSL collapse is Risk Priority 1 in the JOPG Operational Risk Assessment. A branch plan for GoSL collapse — covering emergency ROE adjustment, alternative legal framework via UNSCR 2198 Chapter VII, and logistics re-routing — must be prepared before Phase 2 transition.</t>
  </si>
  <si>
    <t>CJEX Serial 3; Operational Risk Assessment</t>
  </si>
  <si>
    <t>KLE with the President of SIERRA LEONE is the highest KLE priority. It must precede all other KLE activity. Loss of GoSL legitimacy is a campaign-stopper with consequences across every staff function — political, legal, operational and logistic.</t>
  </si>
  <si>
    <t>PHASE Concepts &amp; KLE Prioritisation; CCR MAB Speech</t>
  </si>
  <si>
    <t>All MSRs must be considered contested. AFRC/RUF actively attacks UN convoys on MSRs FREETOWN-BO, FREETOWN-KABALA and BO-YONIBANA. The road network is limited, poor-quality and easily interdicted. Secondary roads are inaccessible during the rainy season, which has just started. Feeder roads are zero-percent paved and completely inaccessible in wet weather. BONTHE has no MSR access and its APOD requires remedial works. It should not be considered as an initial entry or sustainment node.</t>
  </si>
  <si>
    <t>Freedom of Movement failure is the top-ranked campaign stopper. MSR security is a combat task. Pre-cleared corridors and convoy support centres every 100km must be operational before main supply columns move. An air-mobile reserve must be considered for emergency resupply.</t>
  </si>
  <si>
    <t>Operational Risk Assessment; CJEX Serial 3A JIE; CJEX Serial 8; CCR MAB Speech</t>
  </si>
  <si>
    <t>Rainy season onset immediately degrades the secondary and feeder road network. Logistics distribution beyond primary roads cannot be relied upon from May onwards. Forward stocks at BO (Southern Province) and MAKENI (Northern Province) must be pre-positioned before the seasonal window closes. Failure to do so reduces operational reach to FREETOWN Western Area for the duration of the wet season.</t>
  </si>
  <si>
    <t>CJEX Serial 8; CCR MAB Speech</t>
  </si>
  <si>
    <t>Residual risk from MSR insecurity is HIGH and conditionally acceptable only with pre-cleared corridors, CSCs, escort and engineer route clearance in place. Branch plan must include Operational Reserve activation criteria for sustained route closure. Without MSR security, COA 2 logistics will culminate within 7-10 days of initial deployment.</t>
  </si>
  <si>
    <t>Operational Risk Assessment; AJP-3 Annex D</t>
  </si>
  <si>
    <t>APOD LUNGI (FREETOWN): Intermittently closed due to AFRC/RUF MANPAD attacks (SA-14 Gremlin, LIBERIA-supplied). One APOD handling unit force-generated, requiring 7 days in theatre before it can receive troops. COMWAFOR has requested a second APOD handling unit to enable CONAKRY (GUINEA) and LUNGI (FREETOWN) to operate in parallel. LUNGI is also threatened by LIBERIAN cyber and denial-of-service attacks. SPOD FREETOWN is a secondary entry point under COA 2. FREETOWN SPOD staging area is limited to one brigade simultaneously; units require 3 days in staging and 3 days to offload a RoRo.</t>
  </si>
  <si>
    <t>Sustainment and APOD/SPOD disruption is assessed as CRITICAL / ALMOST CERTAIN. The primary mitigation is the CONAKRY (GUINEA) SPOD as the main entry point and JLSG hub. FREETOWN SPOD provides initial entry capacity for SIERRA LEONE only. COA 2 must not be executed relying solely on FREETOWN SPOD.</t>
  </si>
  <si>
    <t>CONAKRY (GUINEA) SPOD must be the primary SPOD from D-Day. JLSG operates from CONAKRY (GUINEA). Dual APOD/SPOD operation distributes the entry point risk. JLSG and all TCNs must confirm the coupling bridge sequencing before the first ship arrives.</t>
  </si>
  <si>
    <t>Operational Risk Assessment; CJEX Serial 8; CCR MAB Speech</t>
  </si>
  <si>
    <t>The APOD handling unit requires 7 days to prepare before receiving troops. OLRT and lead JLSG elements must arrive at CONAKRY (GUINEA) and LUNGI (FREETOWN) a minimum of 7 days before the main force. This sequencing is a hard constraint in the deployment order.</t>
  </si>
  <si>
    <t>LIBERIAN cyber and denial-of-service attacks on LUNGI (FREETOWN) airport systems are an identified capability. J6 must include cyber-hardening of APOD systems in ACTPRED. If LUNGI is closed beyond 48 hours, GAMBIA alternate APOD branch plan is activated.</t>
  </si>
  <si>
    <t>Operational Risk Assessment; CJEX Serial 3A JIE</t>
  </si>
  <si>
    <t>FREETOWN SPOD is constrained by its staging area capacity (one brigade at a time) and working day (12 hours). Units must exit the staging area when prepared and move to an assembly area to prevent bottlenecks. The coupling bridge for CONAKRY (GUINEA) SPOD — not FREETOWN — must be agreed between JLSG and all TCNs before the first ship arrives.</t>
  </si>
  <si>
    <t>The coupling bridge must be formally agreed and issued as an annex to the OPORD before deployment. Units exit the staging area on Day 3 regardless — holding in staging to wait for readiness is not permitted.</t>
  </si>
  <si>
    <t>It will take a minimum of 20 days from activation for Tier 1 forces to be received and staged through GUINEA. This includes NTM and transit by sea. Planning that assumes a faster force build-up is not executable.</t>
  </si>
  <si>
    <t>Humanitarian crisis: Large-scale displacement of civilians, IDPs and refugees throughout SIERRA LEONE. GUINEA is hosting a significant number of SIERRA LEONE refugees, increasing political pressure on the Guinean government. IOs and NGOs are operating but access is denied in contested areas. Humanitarian access is assessed as HIGH / ALMOST CERTAIN to be denied without active WAFOR support. The civilian population and humanitarian organisations compete with WAFOR for port access, road capacity and water. WAFOR has a mandate task to support IO/NGO freedom of movement.</t>
  </si>
  <si>
    <t>Humanitarian access denial threatens DC 4 (FREETOWN stabilised), DC 7 (IDP/refugee camps secured) and the legitimacy of WAFOR's presence. CIMIC and StratCom must be treated as operational functions, not supporting ones. Resource competition between WAFOR logistics and humanitarian actors at ports, on MSRs and at water points must be deconflicted from D-Day.</t>
  </si>
  <si>
    <t>CIMIC humanitarian corridors must be established and coordinated with OCHA and UNHCR from D-Day. Military and humanitarian use of FREETOWN SPOD must be deconflicted at the operational level before force arrival.</t>
  </si>
  <si>
    <t>Operational Risk Assessment; PHASE Concepts &amp; KLE Prioritisation; CJEX Serial 3A JIE</t>
  </si>
  <si>
    <t>IDP and refugee movement degrades MSR capacity and creates predictable chokepoints — ferry crossings, urban entry points, district administrative centres — that simultaneously generate humanitarian need and force protection risk. CIMIC must identify the highest-friction MSR chokepoints and plan deconfliction in advance.</t>
  </si>
  <si>
    <t>CJEX Serial 3B UN Country Report; Operational Risk Assessment</t>
  </si>
  <si>
    <t>The refugee situation in GUINEA is a background risk to CONAKRY (GUINEA) as a logistics node. GUINEA's political stability is partly a function of how much additional displacement burden it is absorbing from SIERRA LEONE. J2 should monitor refugee flows into GUINEA as an indicator of GUINEA political sustainability.</t>
  </si>
  <si>
    <t>CJEX Serial 3A JIE; CJEX Serial 3B UN Country Report</t>
  </si>
  <si>
    <t>Water planning: WAFOR must be self-sufficient for water generation. The operation-specific planning average is 85 litres per soldier per day. Refugee and IDP concentration around water points creates civilian-military resource competition. A civilian contract for operation of water wells is required, with periodic testing.</t>
  </si>
  <si>
    <t>WAFOR must not deplete water sources relied upon by the civilian population. Water point selection must be coordinated with CIMIC and UNHCR from the outset. Civilian contract for water well operation must be included in CSO planning.</t>
  </si>
  <si>
    <t>Residual risk from humanitarian resource competition is manageable with active CIMIC posture and pre-planned deconfliction. The risk escalates if WAFOR logistics actions are perceived as competing with civilian humanitarian access. StratCom must be integrated into all logistics operations from D-Day.</t>
  </si>
  <si>
    <t>Operational Risk Assessment; PHASE Concepts &amp; KLE Prioritisation</t>
  </si>
  <si>
    <t>LIBERIA: Approximately 7,500 troops; one brigade with manoeuvre units; 10+ combat aircraft capable of air defence, ground attack and interdiction; small navy with possible submarine capability — assessed as a significant threat in the initial phase. Actively reinforcing borders with SIERRA LEONE. Providing AFRC/RUF with MANPADs (SA-14 Gremlin), arms, intelligence and sanctuaries. Receiving Russian ISR products and PNT services. Developing offensive cyber capability targeting LUNGI (FREETOWN) airport systems. LIBERIA has threatened to intervene against any international intervention.</t>
  </si>
  <si>
    <t>Liberian escalation constitutes the most dangerous strategic risk to COA 2. LIBERIA's submarine capability threatens strategic RoRo lift on the SLOCs. Loss of strategic lift at sea collapses the entire force flow. LIBERIA's air capability can close LUNGI (FREETOWN) and attack FREETOWN SPOD approaches before WAFOR air superiority is established. The initial entry phase — when forces are concentrated and the logistics base is incomplete — is the highest-risk window.</t>
  </si>
  <si>
    <t>Naval escort of strategic RoRo lift must be tasked from D-Day. JFMCC must maintain ASW coverage on all RoRo transit corridors throughout Phase 1. This is a mandatory precondition, not a preference.</t>
  </si>
  <si>
    <t>Operational Risk Assessment; CJEX Serial 3A JIE; Phase 2 MRO Assessment</t>
  </si>
  <si>
    <t>LIBERIA's air capability poses a direct threat to LUNGI (FREETOWN) APOD and to FREETOWN SPOD port approaches in the initial entry phase. JFACC must develop SEAD posture before force entry. WAFOR air superiority must be established as a precondition for sustained APOD/SPOD operation.</t>
  </si>
  <si>
    <t>COMWAFOR must plan a decision point for the event that LIBERIA invades SIERRA LEONE. Pre-authorised Operational Reserve and SACEUR decision support criteria must be established before deployment orders are issued.</t>
  </si>
  <si>
    <t>Operational Risk Assessment; CJEX Serial 7</t>
  </si>
  <si>
    <t>AFRC/RUF asymmetric attacks on convoys are assessed as HIGH / LIKELY. AFRC/RUF has confirmed capability and intent to attack convoys on all three primary MSRs. LIBERIA provides AFRC/RUF with MANPADs, arms and intelligence. Russian ISR products passed to LIBERIA may reach AFRC/RUF, increasing targeting accuracy against logistics movements. Predictable logistics patterns are a force protection vulnerability. Drone considerations are addressed in Factor 11.</t>
  </si>
  <si>
    <t>Persistent asymmetric attacks constitute an alliance cohesion risk. A single high-casualty convoy attack, given zero casualty tolerance, will trigger TCN review of contributions. Convoy force protection resourcing is not discretionary. Convoy scheduling must be unpredictable and coordinated with MSR ISR coverage.</t>
  </si>
  <si>
    <t>Operational Risk Assessment; CJEX Serial 3A JIE; CJEX Serial 7</t>
  </si>
  <si>
    <t>LIBERIA's ability to pass Russian ISR products to AFRC/RUF means WAFOR logistics patterns — convoy timings, route selection, SPOD working schedules — are likely to be observed and exploited. J3 and JFACC must coordinate ISR coverage of MSRs before convoys move.</t>
  </si>
  <si>
    <t>CJEX Serial 3A JIE; Operational Risk Assessment</t>
  </si>
  <si>
    <t>Residual risk from Liberian escalation is CRITICAL and requires SACEUR decision authority. Residual risk from asymmetric attacks is HIGH and conditionally acceptable with layered force protection maintained. These two risks are linked: Liberian escalation intensifies AFRC/RUF activity simultaneously.</t>
  </si>
  <si>
    <t>Infrastructure and climate: Primary roads 2,332km total, 925km paved. Secondary roads 2,091km total, 46km paved. Feeder roads 4,277km total, 0km paved — inaccessible during rainy season, which has just started. No functioning national railway. No cross-border rail. Tracked vehicles permitted on asphalted roads (Technical Agreement in place). Brigade road movement rate: 100km/day. Supply column movement rate: up to 300km/day on secure routes. A convoy support centre (CSC) is required every day of transport. Terrain is rugged; southern areas are swampy. BONTHE has no MSR access.</t>
  </si>
  <si>
    <t>The road network constrains operational reach across all phases. The rainy season is already underway. Logistics distribution beyond primary roads cannot be relied upon. Air delivery or pre-positioned stocks are required for any forward distribution. No railway and no cross-border ground alternative exists.</t>
  </si>
  <si>
    <t>Forward stocks must be pre-positioned at BO (Southern Province) and MAKENI (Northern Province) before the seasonal window closes. Failure to do so limits operational reach to FREETOWN Western Area for the duration of the wet season. This is a hard planning deadline.</t>
  </si>
  <si>
    <t>CSCs must be established every 100km on all primary MSRs before supply columns move. CSC resourcing must be confirmed in CJSOR. Engineer assets dedicated to route maintenance must be planned as a distinct task, not a residual allocation.</t>
  </si>
  <si>
    <t>Allies are committed to repair and maintain the road network including bridges throughout the mission. This is an operational commitment. It must be resourced with dedicated engineer assets and tracked as an operational task.</t>
  </si>
  <si>
    <t>CJEX Serial 8</t>
  </si>
  <si>
    <t>Class III (fuel) is the primary sustainment commodity constraint. The CDOS multiplier for SIERRA LEONE is 1.08 (PSO 1.0 x hilly terrain 1.2 x hot climate 0.9). All fuel must be imported through GUINEA initially and later via SIERRA LEONE. A fuel role-specialisation nation must be confirmed in CJSOR. A 40,000 metric tonne tanker through the SPOD resolves the bulk delivery problem. Fuel storage at forward logistics nodes must be hardened and dispersed.</t>
  </si>
  <si>
    <t>Fuel sequencing through CONAKRY (GUINEA) SPOD must treat Class III as priority cargo in the initial entry phase. The JLSG fuel plan must sequence fuel delivery ahead of combat unit arrival.</t>
  </si>
  <si>
    <t>Fuel storage hardening — bunds, dispersion, overhead cover — at logistics nodes is a mandatory planning requirement. A successful attack on a fuel storage point would severely hamper sustainment support.</t>
  </si>
  <si>
    <t>Phase 2 MRO Assessment; Operational Risk Assessment</t>
  </si>
  <si>
    <t>Information Operations and StratCom: LIBERIA is developing offensive cyber capability targeting LUNGI (FREETOWN) airport systems and SIERRA LEONE population access to independent information. AFRC/RUF has an established capacity to shape population perception and undermine GoSL legitimacy. NATO StratCom failure is assessed as MODERATE / LIKELY. The legitimacy of WAFOR's presence depends on population perception, GoSL authority and information dominance across all phases.</t>
  </si>
  <si>
    <t>StratCom failure threatens DC 4 (FREETOWN stabilised), DC 1A (liaison framework) and the social licence for WAFOR operations. Population hostility to WAFOR degrades civil cooperation, intelligence access and MSR freedom of movement. StratCom is an operational function, not a supporting one.</t>
  </si>
  <si>
    <t>Logistics operations, convoy movements, port activity and engineer works must be coordinated with the StratCom Cell from the outset. Every action that affects the civilian population must have a communications plan attached.</t>
  </si>
  <si>
    <t>Operational Risk Assessment; PHASE Concepts &amp; KLE Prioritisation; CJEX Serial 6A</t>
  </si>
  <si>
    <t>KLE with media representatives and information stakeholders is a priority. Proactive NATO StratCom with local language messaging and media embedding is essential to counter AFRC/RUF and Liberian information operations. StratCom Cell must have capacity to operate continuously across all four phases. StratCom resources must deploy with the OLRT.</t>
  </si>
  <si>
    <t>PHASE Concepts &amp; KLE Prioritisation; CJEX Serial 6A</t>
  </si>
  <si>
    <t>Residual risk from StratCom failure is manageable with an active StratCom posture. The risk escalates rapidly if WAFOR loses information dominance in the early phases and allows AFRC/RUF to establish a counter-narrative before WAFOR's presence is consolidated as legitimate.</t>
  </si>
  <si>
    <t>Operational Risk Assessment; AJP-3 Annex D; CJEX Serial 6A</t>
  </si>
  <si>
    <t>RSLMF capability: The Republic of SIERRA LEONE Military Forces (RSLMF) are assessed as poorly equipped, of limited operational capability and with a command structure that is vulnerable to political interference by GoSL. MSO3 requires the establishment of a unified SIERRA LEONE Armed Forces capable of maintaining national security. DCs 5A, 5B and 5C establish the RSLMF capability pathway from IOC to FOC. RSLMF failure cascades across Phases 2, 3 and 4.</t>
  </si>
  <si>
    <t>RSLMF failure is not a logistics or transition risk alone. It is a campaign design risk. If RSLMF cannot hold ground cleared by WAFOR, Phase 3 expansion objectives are unsustainable. If RSLMF cannot achieve FOC, Phase 4 transition cannot occur and the mandate cannot close. Every WAFOR functional cell has a stake in RSLMF development.</t>
  </si>
  <si>
    <t>OMLT programme must be resourced across J1, J3, J4 and J6 as a CJSOR-mandatory task from Phase 1. Embedded advisory teams must report RSLMF readiness as a CCIR from Phase 2. WAFOR must be capable of bridging RSLMF capability gaps with NATO enablers to prevent Phase 3 operational pauses.</t>
  </si>
  <si>
    <t>Operational Risk Assessment; CJEX Serial 5; PHASE Concepts &amp; KLE Prioritisation</t>
  </si>
  <si>
    <t>AFRC/RUF will deliberately target RSLMF units to degrade their cohesion and undermine transition. J3 must integrate RSLMF force protection into WAFOR planning. Intelligence support to RSLMF commanders is a mission-critical task, not a discretionary enabler.</t>
  </si>
  <si>
    <t>GoSL political interference in RSLMF command appointments is an identified risk. J5 and POLAD must monitor GoSL political behaviour towards the RSLMF chain of command and engage GoSL leadership if command dysfunction is detected. RSLMF command integrity is a Phase 4 precondition.</t>
  </si>
  <si>
    <t>CJEX Serial 3; PHASE Concepts &amp; KLE Prioritisation</t>
  </si>
  <si>
    <t>RSLMF training attrition, equipment serviceability and command dysfunction are the primary indicators of capability failure. Transition to RSLMF lead in Phase 4 depends on FOC criteria being defined, owned and monitored by COMWAFOR from Phase 1 — not deferred to Phase 3.</t>
  </si>
  <si>
    <t>Phase 4 transition criteria must be defined and agreed with GoSL and SACEUR before the CONOPS is approved. Criteria must be owned by COMWAFOR. The enabling budget must include a mandate extension contingency. Extending the mandate because FOC criteria were not defined in advance is a planning failure.</t>
  </si>
  <si>
    <t>RSLMF failure to develop on schedule generates a logistics and financial tail extension. Every month of delay extends contracting, sustainment and force generation commitments. The financial implications must be briefed to COMWAFOR and contributing nations before Phase 3.</t>
  </si>
  <si>
    <t>Operational Risk Assessment; CJEX Serial 7; Phase 2 MRO Assessment</t>
  </si>
  <si>
    <t>Maritime threat to SLOCs: LIBERIA's navy is assessed as small but with a possible submarine capability — assessed as a significant threat in the initial phase. RoRo vessels carrying military equipment are high-value targets. The strategic sealift required for COA 2 (12,000 LM / 6 multiflex RoRo ships per brigade, 20-knot transit rate) is concentrated and predictable during force entry. JFMCC maritime patrol aircraft and ASW posture are the primary mitigations. SNMG (2 destroyers, 2 frigates), SSK and MPA Det (3 aircraft) are available.</t>
  </si>
  <si>
    <t>The initial entry phase is the highest-risk window for maritime interdiction. RoRo shipping is concentrated, routes are predictable and WAFOR air superiority is not yet fully established. Loss of even one RoRo ship during force entry has operational and political consequences disproportionate to the probability. The maritime threat extends the risk to SLOCs throughout Phase 1 and into Phase 2 while force build-up continues.</t>
  </si>
  <si>
    <t>Maritime patrol aircraft, ASW posture and SPOD security zone enforcement are mandatory from D-Day. JFMCC must maintain maritime patrol and ASW coverage on all RoRo transit corridors throughout Phase 1. Naval escort of strategic lift is not optional.</t>
  </si>
  <si>
    <t>RoRo route variation where operationally feasible reduces predictability. MPA patrols must establish a LIBERIA submarine baseline before force entry begins. If submarine activity is detected, the maritime interdiction zone must be expanded and SACEUR notified.</t>
  </si>
  <si>
    <t>Residual risk from maritime and submarine threat is assessed as acceptable with current JFMCC posture — but only if naval escort is confirmed and maintained. The residual risk assessment in the JOPG assumes naval escort is in place. Without it, the risk is unacceptable.</t>
  </si>
  <si>
    <t>The SSK available to WAFOR provides both ASW and deterrence capability. Its employment must be coordinated with JFMCC and deconflicted from maritime patrol areas. The submarine threat is most acute in the period between force deployment and establishment of air superiority.</t>
  </si>
  <si>
    <t>JFMCC must develop a maritime security plan covering ASW, surface threat, SPOD force protection and RoRo escort before force entry. This plan must be integrated with the JFACC air defence plan and the JLSG port approach plan.</t>
  </si>
  <si>
    <t>CJEX Serial 3A JIE; CJEX Serial 12</t>
  </si>
  <si>
    <t>The maritime threat to SLOCs is also a threat to the CONAKRY (GUINEA) SPOD approach routes. JFMCC force protection of CONAKRY (GUINEA) harbour contributes to both GUINEA HNS maintenance and SPOD security. This dual function must be incorporated into the JFMCC maritime security plan.</t>
  </si>
  <si>
    <t>WAFOR faces a confirmed C-UAS capability gap with no agreed NATO doctrinal solution. Hard-kill C-UAS must be generated at force level or designated from existing force structure. Designating existing forces for C-UAS reduces combat power. Failing to designate C-UAS creates a coordination and coverage risk across the JLSN.</t>
  </si>
  <si>
    <t>COMWAFOR must ensure that during force generation, contributing nations provide forces responsible for their own sub-unit-level C-UAS. C-UAS must be treated as a force protection baseline, not a specialist capability.</t>
  </si>
  <si>
    <t>CJEX Drone Factor Analysis; CJEX Serial 7; Operational Risk Assessment</t>
  </si>
  <si>
    <t>COMWAFOR should designate a lead nation to provide hard-kill C-UAS protection for the main JLSN nodes — CONAKRY (GUINEA) SPOD, LUNGI (FREETOWN) APOD, and forward logistics points. Designating C-UAS solely as a national responsibility without COMWAFOR-level oversight constitutes a coordination and coverage risk.</t>
  </si>
  <si>
    <t>CJEX Drone Factor Analysis</t>
  </si>
  <si>
    <t>Designating existing forces for C-UAS reduces WAFOR combat power. COMWAFOR must resolve this tension explicitly before deployment. J5 must account for C-UAS in COA development and force generation.</t>
  </si>
  <si>
    <t>CJEX Drone Factor Analysis; CJEX Serial 7</t>
  </si>
  <si>
    <t>The highest-risk window for drone attack is the force entry and RSOI phase, when WAFOR elements are concentrated at CONAKRY (GUINEA) SPOD and LUNGI (FREETOWN) APOD before C-UAS is established. An informed adversary with access to open-source reporting of NATO C-UAS gaps will seek to exploit this window.</t>
  </si>
  <si>
    <t>C-UAS must be among the first capabilities established at CONAKRY (GUINEA) SPOD and LUNGI (FREETOWN) APOD — before main force arrival. The OLRT and lead JLSG elements must deploy with organic C-UAS. Establishing C-UAS after the main body is ashore reverses the protection priority.</t>
  </si>
  <si>
    <t>Soft-skin logistics convoys on contested MSRs are the highest-risk C-UAS protection task in the JOA. Passive hardening of key logistics points — fuel bunds, overhead cover for working parties, blast protection for generators — must be included in engineer support requirements. Passive protection reduces the consequence of a drone strike that active C-UAS fails to intercept.</t>
  </si>
  <si>
    <t>CJEX Drone Factor Analysis; Phase 2 MRO Assessment</t>
  </si>
  <si>
    <t>EW alone is not an acceptable C-UAS solution. Fibre-optic FPV systems are immune to RF jamming. Both EW and hard-kill are mandatory. Any force protection plan providing only one of the two does not meet the standard required under zero casualty tolerance.</t>
  </si>
  <si>
    <t>Source Basis — CJEX 26 COA 2 Risk Management Factor Analysis</t>
  </si>
  <si>
    <t>Relevant Content Used</t>
  </si>
  <si>
    <t>Why It Matters for COA 2</t>
  </si>
  <si>
    <t>Used for Factors</t>
  </si>
  <si>
    <t>Serial / File</t>
  </si>
  <si>
    <t>CJEX Serial 3 — Scenario</t>
  </si>
  <si>
    <t>GoSL near-collapse; AFRC/RUF order of battle; MSR attack patterns; IDP/refugee scale; BONTHE assessment.</t>
  </si>
  <si>
    <t>Establishes the current operating environment for all factors.</t>
  </si>
  <si>
    <t>1,3,5,6</t>
  </si>
  <si>
    <t>Serial 3 CJEX26 Scenario (White)</t>
  </si>
  <si>
    <t>CJEX Serial 3A — Initial JIE</t>
  </si>
  <si>
    <t>LIBERIA order of battle; GUINEA military and political assessment; AFRC/RUF capabilities; APOD/SPOD threats; submarine capability.</t>
  </si>
  <si>
    <t>Primary intelligence source across all factors.</t>
  </si>
  <si>
    <t>1,2,3,4,5,6,8,9,10,11</t>
  </si>
  <si>
    <t>Serial 3A CJEX26 JIE (White)</t>
  </si>
  <si>
    <t>CJEX Serial 3B — UN Country Report</t>
  </si>
  <si>
    <t>Convoy attack patterns; humanitarian access denial; IDP situation; infrastructure condition.</t>
  </si>
  <si>
    <t>Confirms convoy and humanitarian-sustainment vulnerability.</t>
  </si>
  <si>
    <t>3,5</t>
  </si>
  <si>
    <t>Serial 3B CJEX26 (White)</t>
  </si>
  <si>
    <t>CJEX Serial 4 — SSA and Legal Considerations</t>
  </si>
  <si>
    <t>Legal framework for GUINEA HNS; Technical Agreement requirements; ROE constraints on Guinean territory.</t>
  </si>
  <si>
    <t>Governs the legal conditions for GUINEA HNS.</t>
  </si>
  <si>
    <t>1</t>
  </si>
  <si>
    <t>Serial 4 CJEX26 (White)</t>
  </si>
  <si>
    <t>CJEX Serial 5 — Draft MROs</t>
  </si>
  <si>
    <t>COA 2 force packages; MRO 2 scope; OMLT requirements.</t>
  </si>
  <si>
    <t>Defines the force structure COA 2 risk analysis is applied to.</t>
  </si>
  <si>
    <t>9</t>
  </si>
  <si>
    <t>Serial 5 CJEX26 (White)</t>
  </si>
  <si>
    <t>CJEX Serial 7 — COMJFC IPG</t>
  </si>
  <si>
    <t>Commander risk attitude; attention areas; zero casualty tolerance; ACTPRED priorities.</t>
  </si>
  <si>
    <t>Sets the Commander's risk framework governing all residual risk judgements.</t>
  </si>
  <si>
    <t>All</t>
  </si>
  <si>
    <t>Serial 7 CJEX26 (Yellow)</t>
  </si>
  <si>
    <t>CJEX Serial 8 — Logistic Considerations</t>
  </si>
  <si>
    <t>SPOD/APOD throughput data; CONAKRY (GUINEA) SPOD detail; fuel planning factors; road network data; CDOS multiplier; 20-day minimum force reception timeline; CSC requirement.</t>
  </si>
  <si>
    <t>Primary logistics data source — locked planning factors.</t>
  </si>
  <si>
    <t>1,2,3,4,5,7,10</t>
  </si>
  <si>
    <t>Serial 8 CJEX26 (Yellow)</t>
  </si>
  <si>
    <t>CJEX Serial 12 — Forces Available</t>
  </si>
  <si>
    <t>ARF Tier 1/2/3 force packages; maritime assets; JLSG composition.</t>
  </si>
  <si>
    <t>Force generation baseline for all factors.</t>
  </si>
  <si>
    <t>10</t>
  </si>
  <si>
    <t>Serial 12 CJEX26 (Yellow)</t>
  </si>
  <si>
    <t>Phase 2 MRO Assessment (J4)</t>
  </si>
  <si>
    <t>Constraint hierarchy analysis; FDC analysis of three MROs; logistics feasibility verdicts; CONAKRY (GUINEA) as primary SPOD.</t>
  </si>
  <si>
    <t>J4 analytical baseline this risk analysis builds from.</t>
  </si>
  <si>
    <t>1,2,3,4,5,6,7,9,10</t>
  </si>
  <si>
    <t>CJEX26_PHASE_2_MRO_Assessment.docx</t>
  </si>
  <si>
    <t>Operational Risk Assessment (JOPG)</t>
  </si>
  <si>
    <t>11-risk heat matrix; risk interaction model; risk management framework.</t>
  </si>
  <si>
    <t>JOPG approved risk baseline.</t>
  </si>
  <si>
    <t>1,3,4,5,6,7,8,9,10</t>
  </si>
  <si>
    <t>OperationalRiskAssessment_initial.pdf</t>
  </si>
  <si>
    <t>PHASE Concepts &amp; KLE Prioritisation</t>
  </si>
  <si>
    <t>COA 2 phase nomenclature (DEPLOY/SHAPE/COERCE/TRANSITION); KLE priority matrix; decisive conditions DC 1A through DC 14.</t>
  </si>
  <si>
    <t>Phase framework and KLE priorities contextualising all factors.</t>
  </si>
  <si>
    <t>1,3,5,8,9</t>
  </si>
  <si>
    <t>PHASE_Concepts_KLE_initial.pdf</t>
  </si>
  <si>
    <t>CCR MAB Speech</t>
  </si>
  <si>
    <t>J4 MAB outputs; GUINEA as primary hub; ACTPRED sequencing; coupling bridge; 20-day minimum build-up; BONTHE assessment; Role 3 CONAKRY and FREETOWN.</t>
  </si>
  <si>
    <t>Authoritative logistics planning baseline for COA 2.</t>
  </si>
  <si>
    <t>1,3,4,7</t>
  </si>
  <si>
    <t>CCR_MAB_Speech.docx</t>
  </si>
  <si>
    <t>CJEX Serial 6A — StratCom Strategy</t>
  </si>
  <si>
    <t>NATO StratCom framework; core messages; audiences; themes to avoid.</t>
  </si>
  <si>
    <t>Governs information environment risk.</t>
  </si>
  <si>
    <t>8</t>
  </si>
  <si>
    <t>Serial 6A CJEX26 (Yellow)</t>
  </si>
  <si>
    <t>C-UAS gap; hard-kill/EW layering; JLSN node vulnerability; fibre-optic FPV threat.</t>
  </si>
  <si>
    <t>Provides the drone-specific analytical basis for Factor 11.</t>
  </si>
  <si>
    <t>11</t>
  </si>
  <si>
    <t>CJEX_Drone_Factor_Analysis.xlsx</t>
  </si>
  <si>
    <t>AJP-3 Annex D</t>
  </si>
  <si>
    <t>Risk identification, analysis, evaluation and treatment framework; treatment options D.16-D.22.</t>
  </si>
  <si>
    <t>Doctrinal framework for the risk assessment methodology.</t>
  </si>
  <si>
    <t>AJP-3 Allied Joint Doctrine</t>
  </si>
  <si>
    <t>CJEX 26 COA 2 — Risk Factor Analysis: Summary</t>
  </si>
  <si>
    <t>Risk Domain</t>
  </si>
  <si>
    <t>Core Risk Statement</t>
  </si>
  <si>
    <t>Probability / Severity</t>
  </si>
  <si>
    <t>Residual Risk</t>
  </si>
  <si>
    <t>So What for Commander</t>
  </si>
  <si>
    <t>GUINEA — HNS Conditionality and Conduct Risk</t>
  </si>
  <si>
    <t>GUINEA Technical Agreement is a precondition for success. The risk is WAFOR breaching it through conduct — not that it will not be signed. CONAKRY (GUINEA) is the primary SPOD and JLSG hub.</t>
  </si>
  <si>
    <t>Moderate / High</t>
  </si>
  <si>
    <t>HIGH — Conduct must be managed from D-Day</t>
  </si>
  <si>
    <t>Designate GUINEA LO with halt authority. GUINEA-specific ROE annex mandatory before first unit deploys. KLE with Government of GUINEA is an ongoing operational requirement.</t>
  </si>
  <si>
    <t>GAMBIA — Contingency Logistics Node</t>
  </si>
  <si>
    <t>GAMBIA is unconfirmed. Technical Agreement is a precondition for success. GAMBIA is a fallback, not a primary node. Relevant as APOD branch plan if LUNGI (FREETOWN) is closed beyond 48 hours.</t>
  </si>
  <si>
    <t>Low / Moderate</t>
  </si>
  <si>
    <t>MODERATE — Branch plan required</t>
  </si>
  <si>
    <t>Initiate Technical Agreement during ACTPRED. OLRT includes GAMBIA liaison element. GAMBIA APOD branch plan activated on 48-hour LUNGI closure.</t>
  </si>
  <si>
    <t>SIERRA LEONE — GoSL Collapse and MSR Security</t>
  </si>
  <si>
    <t>GoSL on verge of collapse. GoSL HNS is a bonus, not a baseline. All MSRs contested. Freedom of Movement failure is the top-ranked campaign stopper.</t>
  </si>
  <si>
    <t>Critical / Likely</t>
  </si>
  <si>
    <t>CRITICAL — Campaign stopper</t>
  </si>
  <si>
    <t>CSO contracting authority secured before deployment. KLE Priority 1 with President of SIERRA LEONE. Branch plan for GoSL collapse prepared before Phase 2. CSC every 100km before supply columns move.</t>
  </si>
  <si>
    <t>APOD/SPOD — Entry Point Vulnerability</t>
  </si>
  <si>
    <t>LUNGI (FREETOWN) intermittently closed by MANPADs. FREETOWN SPOD is secondary. CONAKRY (GUINEA) is primary. 20-day minimum force build-up through GUINEA. Coupling bridge must be agreed before first ship arrives.</t>
  </si>
  <si>
    <t>Critical / Almost Certain</t>
  </si>
  <si>
    <t>CRITICAL — Operational Reserve required</t>
  </si>
  <si>
    <t>CONAKRY (GUINEA) SPOD primary from D-Day. APOD/JLSG handling units deployed 7 days before main force. Coupling bridge agreed and issued in OPORD. COA 2 never relies on FREETOWN SPOD alone.</t>
  </si>
  <si>
    <t>Humanitarian Crisis — IDPs, NGOs and Resource Competition</t>
  </si>
  <si>
    <t>Humanitarian access denial is HIGH / ALMOST CERTAIN. WAFOR and humanitarian actors compete for the same infrastructure. GUINEA refugee burden risks GUINEA political stability.</t>
  </si>
  <si>
    <t>High / Almost Certain</t>
  </si>
  <si>
    <t>MEDIUM — Manageable with active CIMIC</t>
  </si>
  <si>
    <t>CIMIC humanitarian corridors from D-Day. Port access deconflicted with OCHA/UNHCR. Water point coordination mandatory. StratCom attached to all operations affecting the civilian population.</t>
  </si>
  <si>
    <t>LIBERIA — Escalation, AFRC/RUF Arming and SLOC Threat</t>
  </si>
  <si>
    <t>LIBERIA provides MANPADs, arms and Russian ISR to AFRC/RUF. Submarine threat to SLOCs. Air capability threatens APOD/SPOD in initial phase. Asymmetric attack on convoys is HIGH / LIKELY.</t>
  </si>
  <si>
    <t>Critical / Unlikely to Likely</t>
  </si>
  <si>
    <t>CRITICAL — SACEUR decision authority required</t>
  </si>
  <si>
    <t>Naval escort mandatory from D-Day. SACEUR decision point for LIBERIAN invasion confirmed before deployment. Convoy scheduling unpredictable. ISR coverage of MSRs before convoys move.</t>
  </si>
  <si>
    <t>Infrastructure — Road Network, Climate and Fuel</t>
  </si>
  <si>
    <t>Rainy season has started. Feeder roads inaccessible. No railway. CSC every 100km. Fuel via GUINEA initially. Bulk fuel delivery via 40,000 MT tanker resolves the delivery problem. Hardening of fuel storage mandatory.</t>
  </si>
  <si>
    <t>High / Likely</t>
  </si>
  <si>
    <t>HIGH — Conditionally acceptable</t>
  </si>
  <si>
    <t>Forward stocks pre-positioned before seasonal window closes. CSC network established before supply columns move. Fuel role-specialisation nation confirmed in CJSOR. Engineer route maintenance dedicated.</t>
  </si>
  <si>
    <t>Information Operations / StratCom Failure</t>
  </si>
  <si>
    <t>LIBERIA offensive cyber. AFRC/RUF narrative operations. StratCom failure is MODERATE / LIKELY. Population perception is an operational enabler, not a communications problem.</t>
  </si>
  <si>
    <t>Moderate / Likely</t>
  </si>
  <si>
    <t>MEDIUM — Manageable with active StratCom</t>
  </si>
  <si>
    <t>StratCom Cell deploys with OLRT. Logistics operations coordinated with StratCom from D-Day. KLE with media stakeholders commenced in Phase 1.</t>
  </si>
  <si>
    <t>RSLMF Capability Failure and Transition</t>
  </si>
  <si>
    <t>RSLMF is poorly equipped and vulnerable to GoSL political interference and AFRC/RUF targeting. Failure cascades across Phases 2, 3 and 4. Every staff function has a stake in RSLMF development.</t>
  </si>
  <si>
    <t>Moderate / Possible</t>
  </si>
  <si>
    <t>MEDIUM — Phase 4 trigger review required</t>
  </si>
  <si>
    <t>OMLT resourced in CJSOR from Phase 1 across all staff functions. FOC criteria defined and owned by COMWAFOR before CONOPS approved. Enabling budget includes mandate extension contingency.</t>
  </si>
  <si>
    <t>Maritime and Submarine Threat to SLOCs</t>
  </si>
  <si>
    <t>LIBERIA submarine capability is a significant initial-phase threat. Strategic RoRo lift is concentrated and predictable during force entry. Loss at sea collapses the force flow.</t>
  </si>
  <si>
    <t>High / Unlikely</t>
  </si>
  <si>
    <t>MEDIUM — Acceptable with naval escort confirmed</t>
  </si>
  <si>
    <t>Naval escort of RoRo confirmed before deployment orders issued. ASW coverage on all transit corridors in Phase 1. JFMCC maritime security plan integrated with JFACC and JLSG plans.</t>
  </si>
  <si>
    <t>Drone Threat</t>
  </si>
  <si>
    <t>Confirmed NATO C-UAS capability gap. Drone threat to JLSN nodes and convoys is real. COMWAFOR zero casualty tolerance makes this a force design problem. Both EW and hard-kill are mandatory.</t>
  </si>
  <si>
    <t>HIGH — Force design decision required</t>
  </si>
  <si>
    <t>COMWAFOR designates lead nation for JLSN node C-UAS. Nations provide sub-unit C-UAS. C-UAS established at CONAKRY (GUINEA) SPOD and LUNGI (FREETOWN) APOD before main force arrival. EW and hard-kill both mandatory.</t>
  </si>
  <si>
    <t>COA 2 — RISK ASSESSMENT  |  Identification, Analysis, Evaluation and Treatment  |  Authority: AJP-3 Annex D D.15-D.22  |  Risk attitude: casualty tolerance ZERO; temporal tolerance MODERATE  |  Scope: GUINEA, GAMBIA, SIERRA LEONE, SLOCs/ALOCs</t>
  </si>
  <si>
    <t>5x5 Risk Matrix: Y-axis = Likelihood 1 (Unlikely) to 5 (Almost Certain)  |  X-axis = Severity A (Negligible) to E (Critical)  |  Rating code = Likelihood + Severity e.g. 4C  |  Unacceptable: 5D, 5E, 4E  |  High: 4D, 3E, 5C  |  Moderate: 3C, 3D, 4C, 2D, 2E  |  Low: all others</t>
  </si>
  <si>
    <t>LIKELIHOOD</t>
  </si>
  <si>
    <t>A  Negligible</t>
  </si>
  <si>
    <t>B  Minor</t>
  </si>
  <si>
    <t>C  Moderate</t>
  </si>
  <si>
    <t>D  Major</t>
  </si>
  <si>
    <t>E  Critical</t>
  </si>
  <si>
    <t>5  Almost Certain</t>
  </si>
  <si>
    <t>5A  Low</t>
  </si>
  <si>
    <t>5B  Moderate</t>
  </si>
  <si>
    <t>5C  High</t>
  </si>
  <si>
    <t>5D  Unacceptable</t>
  </si>
  <si>
    <t>5E  Unacceptable</t>
  </si>
  <si>
    <t>4  Likely</t>
  </si>
  <si>
    <t>4A  Low</t>
  </si>
  <si>
    <t>4B  Low</t>
  </si>
  <si>
    <t>4C  Moderate</t>
  </si>
  <si>
    <t>4D  High</t>
  </si>
  <si>
    <t>4E  Unacceptable</t>
  </si>
  <si>
    <t>3  Possible</t>
  </si>
  <si>
    <t>3A  Low</t>
  </si>
  <si>
    <t>3B  Low</t>
  </si>
  <si>
    <t>3C  Moderate</t>
  </si>
  <si>
    <t>3D  Moderate</t>
  </si>
  <si>
    <t>3E  High</t>
  </si>
  <si>
    <t>2  Unlikely</t>
  </si>
  <si>
    <t>2A  Low</t>
  </si>
  <si>
    <t>2B  Low</t>
  </si>
  <si>
    <t>2C  Low</t>
  </si>
  <si>
    <t>2D  Moderate</t>
  </si>
  <si>
    <t>2E  Moderate</t>
  </si>
  <si>
    <t>1  Rare</t>
  </si>
  <si>
    <t>1A  Low</t>
  </si>
  <si>
    <t>1B  Low</t>
  </si>
  <si>
    <t>1C  Low</t>
  </si>
  <si>
    <t>1D  Low</t>
  </si>
  <si>
    <t>1E  Low</t>
  </si>
  <si>
    <t>Risk
ID</t>
  </si>
  <si>
    <t>DC
Ref</t>
  </si>
  <si>
    <t>Risk Title</t>
  </si>
  <si>
    <t>IDENTIFICATION
Source / Impact on Objectives / Cause / Consequence (AJP-3 D.15a)</t>
  </si>
  <si>
    <t>ANALYSIS
Causes &amp; Sources / Consequences / Odds / Factors affecting likelihood and severity (AJP-3 D.15b)</t>
  </si>
  <si>
    <t>EVALUATION
Comparison to criteria / treatment need / priority / risk attitude applied (AJP-3 D.15c)</t>
  </si>
  <si>
    <t>TREATMENT
Option / Actions / Owner / Trigger (AJP-3 D.16-D.22)</t>
  </si>
  <si>
    <t>EXISTING CONTROLS
Current measures in place</t>
  </si>
  <si>
    <t>Likelihood
1-5</t>
  </si>
  <si>
    <t>Severity
A-E</t>
  </si>
  <si>
    <t>Rating</t>
  </si>
  <si>
    <t>R-01</t>
  </si>
  <si>
    <t>DC 1A</t>
  </si>
  <si>
    <t>GUINEA Technical Agreement Breached by WAFOR Conduct</t>
  </si>
  <si>
    <t>SOURCE: Factor 1. IMPACT: Loss of CONAKRY (GUINEA) removes the primary SPOD, JLSG hub and coupling bridge. Force flow collapses. CAUSE: WAFOR elements conducting unauthorised activities in GUINEA — use of lethal force, ROE violations, civilian harm, or failure to manage force behaviour in the staging area. CONSEQUENCE: GUINEA withdraws HNS. Strategic sustainment reverts to FREETOWN SPOD alone, which cannot sustain COA 2 force flow. OPPORTUNITY COST: Failure to properly brief and enforce WAFOR conduct in GUINEA removes the primary logistics corridor before the force is established.</t>
  </si>
  <si>
    <t>CAUSES: Inadequate pre-deployment briefing; ROE ambiguity in staging area; an incident involving lethal force or civilian harm on Guinean territory. CONSEQUENCES: Immediate loss of CONAKRY (GUINEA) SPOD; JLSG forced to redeploy; force flow collapses. ODDS: Possible if conduct management is not enforced from the outset. This risk is generated by WAFOR behaviour, not adversary action. FACTORS: Quality and enforcement of GUINEA-specific ROE annex; pre-deployment briefing standard; speed of incident response.</t>
  </si>
  <si>
    <t>Assessed 3C — Moderate. This risk is within WAFOR's control. It does not require adversary action to materialise. Treatment is required before the first unit deploys through GUINEA. Risk is unacceptable without specific conduct management measures.</t>
  </si>
  <si>
    <t>Change the likelihood. (1) GUINEA-specific ROE annex drafted and issued before first unit deploys. (2) GUINEA Liaison Officer designated with authority to halt or redirect WAFOR elements. (3) Incident reporting chain for GUINEA established. (4) COMWAFOR KLE with Government of GUINEA before main body arrives. Owner: J3/J5. Trigger: Any credible WAFOR misconduct report in GUINEA activates diplomatic engagement immediately.</t>
  </si>
  <si>
    <t>Technical Agreement assessed as precondition for success. RFI to COM confirmed combat-ready transit permitted; combat operations prohibited. GUINEA LO concept identified.</t>
  </si>
  <si>
    <t>3</t>
  </si>
  <si>
    <t>C</t>
  </si>
  <si>
    <t>R-02</t>
  </si>
  <si>
    <t>DC 1B</t>
  </si>
  <si>
    <t>SLOCs Interdicted — Strategic Lift at Risk</t>
  </si>
  <si>
    <t>SOURCE: Factors 6, 10. IMPACT: Loss of strategic lift at sea halts force flow. No replacement mechanism exists within the operational timeline. CAUSE: LIBERIA employs submarine or air interdiction against RoRo shipping during force entry. CONSEQUENCE: Brigade(s) cannot arrive. Force flow stops. Strategic credibility damaged. OPPORTUNITY COST: Without naval escort, LIBERIA can interdict at minimal cost to itself during the most vulnerable phase of the campaign.</t>
  </si>
  <si>
    <t>CAUSES: LIBERIAN submarine capability (assessed significant initial-phase threat); LIBERIAN air interdiction (10+ combat aircraft); concentration of RoRo shipping on predictable routes during force entry. CONSEQUENCES: Loss of RoRo ship(s); force flow delays; possible complete halt to maritime deployment; strategic political damage. ODDS: Unlikely in probability but critical in severity. FACTORS: Speed of WAFOR maritime superiority establishment; adequacy of ASW posture; predictability of RoRo transit routes.</t>
  </si>
  <si>
    <t>Assessed 2E — Moderate with naval escort. Without naval escort: 4E — Unacceptable. Zero casualty tolerance makes any maritime loss politically unsustainable. Naval escort changes the rating to conditionally acceptable.</t>
  </si>
  <si>
    <t>Change the likelihood. (1) JFMCC tasks naval escort of all RoRo vessels from D-Day — mandatory. (2) MPA patrols establish LIBERIA submarine baseline before force entry. (3) RoRo routes varied where operationally feasible. (4) Branch plan: expand maritime interdiction zone if LIBERIA demonstrates submarine activity. Owner: JFMCC. Trigger: LIBERIA submarine activity confirmed.</t>
  </si>
  <si>
    <t>SNMG (2 destroyers, 2 frigates), SSK, MPA Det (3 aircraft) available. ASW posture confirmed as mitigation in JOPG risk assessment.</t>
  </si>
  <si>
    <t>2</t>
  </si>
  <si>
    <t>E</t>
  </si>
  <si>
    <t>R-03</t>
  </si>
  <si>
    <t>DC 2</t>
  </si>
  <si>
    <t>LUNGI (FREETOWN) APOD Sustained Closure</t>
  </si>
  <si>
    <t>SOURCE: Factors 4, 6. IMPACT: Airbridge fails. RSOI by air halts. Humanitarian air access denied. CAUSE: AFRC/RUF SA-14 Gremlin MANPAD engagement; LIBERIAN cyber/DoS attack on LUNGI systems; LIBERIAN air strike in escalation scenario. CONSEQUENCE: Air deployment of lead elements fails. RSOI delayed. Medical evacuation by air unavailable. OPPORTUNITY COST: Absence of a confirmed parallel APOD at CONAKRY (GUINEA) means any LUNGI closure concentrates all air risk on one node.</t>
  </si>
  <si>
    <t>CAUSES: AFRC/RUF MANPAD capability confirmed; LIBERIA cyber targeting of LUNGI is an identified capability; LIBERIAN air interdiction possible in escalation. CONSEQUENCES: Air deployment halted; RSOI delayed; MEDEVAC by air unavailable. ODDS: Almost certain that some disruption will occur. Sustained closure is possible. FACTORS: SEAD posture; WAFOR air defence; cyber hardening of LUNGI systems; speed of GAMBIA alternate activation.</t>
  </si>
  <si>
    <t>Assessed 4C — Moderate to High. APOD disruption is assessed almost certain in some form. Sustained closure is possible. COMWAFOR has requested a second APOD handling unit to enable CONAKRY (GUINEA) APOD as a parallel operation.</t>
  </si>
  <si>
    <t>Change the likelihood and prepare for impact. (1) SEAD posture and restricted airspace management around LUNGI (FREETOWN) from D-Day. (2) J6 to cyber-harden LUNGI systems before main force. (3) Second APOD handling unit activates CONAKRY (GUINEA) APOD. (4) GAMBIA alternate APOD assessed during ACTPRED. Owner: JFACC/J6. Trigger: LUNGI closure exceeding 48 hours activates alternate APOD branch.</t>
  </si>
  <si>
    <t>APOD handling unit deploys 7 days before main force. SEAD Sqn and EW assets available. Second APOD handling unit requested.</t>
  </si>
  <si>
    <t>4</t>
  </si>
  <si>
    <t>R-04</t>
  </si>
  <si>
    <t>APOD Handling Unit Not Ready Before Main Force Arrives</t>
  </si>
  <si>
    <t>SOURCE: Factor 4. IMPACT: Main force arrives with no functioning APOD. Air flow collapses. CAUSE: OLRT and APOD handling unit not sequenced 7 days before main body in deployment order; or LUNGI closure prevents early deployment of handling unit. CONSEQUENCE: Air deployment delayed by minimum 7 days. RSOI cannot begin. OPPORTUNITY COST: The 7-day preparation window is not recoverable — no contingency restores it without delaying the entire deployment sequence.</t>
  </si>
  <si>
    <t>CAUSES: Planning sequencing failure; LUNGI closed on planned OLRT D-Day preventing early deployment. CONSEQUENCES: Air deployment failure; RSOI delay minimum 7 days; humanitarian airbridge delay. ODDS: Possible if planning is not enforced. Almost certain consequence if sequencing is reversed. FACTORS: Clarity of deployment order sequencing; LUNGI security status at D-Day.</t>
  </si>
  <si>
    <t>Assessed 3D — Moderate. Risk is entirely within WAFOR's planning control and does not require adversary action. Treatment is a planning task. Becomes HIGH if not addressed before deployment orders are issued.</t>
  </si>
  <si>
    <t>Change the likelihood. (1) OPORD explicitly sequences OLRT and APOD handling unit deployment 7 days before main body — non-negotiable. (2) J3 confirms LUNGI security status before OLRT deploys. (3) If LUNGI is closed on planned OLRT D-Day, CONAKRY (GUINEA) activated as primary APOD immediately. Owner: J3/JLSG. Trigger: Departure order issued without confirmation of 7-day handling unit lead — planning halt required.</t>
  </si>
  <si>
    <t>20-day minimum force build-up timeline confirmed in CCR MAB. Second APOD handling unit requested.</t>
  </si>
  <si>
    <t>D</t>
  </si>
  <si>
    <t>R-05</t>
  </si>
  <si>
    <t>DC 3</t>
  </si>
  <si>
    <t>Coupling Bridge Not Agreed — SPOD Congestion</t>
  </si>
  <si>
    <t>SOURCE: Factor 4. IMPACT: RoRo vessels bottleneck. Ships loiter at sea under submarine and air threat. Units not combat-ready on onward movement. CAUSE: JLSG and TCNs have not agreed the sequencing through CONAKRY (GUINEA) SPOD before the first ship arrives; units fail to clear staging area on time. CONSEQUENCE: Extended RoRo dwell at sea; staging congestion; delayed RSOI. OPPORTUNITY COST: A 24-hour delay in SPOD throughput at this scale equals a brigade delayed by 24 hours.</t>
  </si>
  <si>
    <t>CAUSES: Lack of pre-agreed coupling bridge; TCN non-compliance; units failing to exit staging area on schedule; port worker disruption. CONSEQUENCES: Ships loitering at sea under threat; staging congestion; delayed RSOI. ODDS: Likely if coupling bridge not formally agreed before first ship arrives. FACTORS: Quality of pre-deployment JLSG coordination; TCN compliance; port worker availability.</t>
  </si>
  <si>
    <t>Assessed 4B — Low to Moderate. Consequence is operationally significant but entirely preventable through staff action. Becomes HIGH if not addressed before deployment.</t>
  </si>
  <si>
    <t>Change the likelihood. (1) JLSG convenes coupling bridge conference with all TCNs before deployment orders. (2) Coupling bridge issued as mandatory OPORD annex. (3) Staging area exit on Day 3 mandatory — units move to assembly area regardless. Owner: JLSG. Trigger: TCN non-compliance with coupling bridge — J3 adjudicates.</t>
  </si>
  <si>
    <t>CONAKRY (GUINEA) SPOD confirmed as primary SPOD and JLSG location. Coupling bridge concept established in CCR MAB.</t>
  </si>
  <si>
    <t>B</t>
  </si>
  <si>
    <t>R-06</t>
  </si>
  <si>
    <t>DC 4</t>
  </si>
  <si>
    <t>GoSL Collapse During SHAPE Phase</t>
  </si>
  <si>
    <t>SOURCE: Factor 3. IMPACT: Legal and political framework for WAFOR operations collapses. Freedom of movement, mandate authority and all GoSL HNS fail simultaneously. CAUSE: AFRC/RUF military pressure on FREETOWN; economic collapse; GoSL political fracture under pressure of NATO presence and AFRC/RUF operations. CONSEQUENCE: WAFOR loses consent for presence. MSR civilian cooperation collapses. Commercial contracting unenforceable. SACEUR notification required. OPPORTUNITY COST: Failure to prioritise GoSL KLE from Phase 1 reduces the window to stabilise the government before WAFOR's dependency on it is fully established.</t>
  </si>
  <si>
    <t>CAUSES: AFRC/RUF offensive pressure; economic deterioration; GoSL political cohesion failure; LIBERIAN undermining via AFRC/RUF. CONSEQUENCES: Campaign legal framework failure; loss of all GoSL HNS; ROE adjustment required; SACEUR engagement. ODDS: Possible in the near term. GoSL is currently assessed on the verge of collapse. FACTORS: Speed of Phase 1 FREETOWN stabilisation; effectiveness of GoSL KLE; AFRC/RUF offensive posture.</t>
  </si>
  <si>
    <t>Assessed 4D — High. Top-ranked risk in the JOPG Operational Risk Assessment. Zero casualty tolerance and legal dependency on GoSL consent make this a highest-priority treatment requirement. Conditionally acceptable only with branch plan prepared and GoSL KLE commenced in Phase 1.</t>
  </si>
  <si>
    <t>Change the likelihood and prepare for impact. (1) COMWAFOR KLE with President of SIERRA LEONE as first Phase 1 engagement. (2) CSO contracting authority secured before force arrival. (3) Branch plan: emergency ROE adjustment; alternative legal framework via UNSCR 2198 Chapter VII; logistics re-routing via CONAKRY (GUINEA). Owner: COMWAFOR (KLE); J5 (branch plan). Trigger: GoSL loses control of FREETOWN or political leadership publicly fractures.</t>
  </si>
  <si>
    <t>CSO contracting authority confirmed as precondition for success. UNSCR 2198 Chapter VII provides independent mandate authority. GoSL KLE is highest KLE priority.</t>
  </si>
  <si>
    <t>R-07</t>
  </si>
  <si>
    <t>FREETOWN Not Stabilised — Population Turns Against WAFOR</t>
  </si>
  <si>
    <t>SOURCE: Factors 5, 8. IMPACT: DC 4 unachievable. AFRC/RUF counter-narrative takes hold. WAFOR freedom of movement in FREETOWN degrades. Alliance cohesion risk as TCNs face domestic pressure. CAUSE: WAFOR perceived as competing with civilian population for resources or causing harm; failure to deliver visible early stabilisation effects. CONSEQUENCE: Population hostility. CIMIC coordination fails. Intelligence access dries up. TCN political pressure. OPPORTUNITY COST: Not pursuing early StratCom and CIMIC action in FREETOWN concedes the information environment to AFRC/RUF from Day 1.</t>
  </si>
  <si>
    <t>CAUSES: AFRC/RUF information operations; WAFOR resource competition with population; civilian harm incident; absence of early visible humanitarian effects. CONSEQUENCES: CIMIC failure; intelligence gap; MSR access degraded; DC 4 unachievable on timeline. ODDS: Possible given AFRC/RUF information capability and assessed near-certain hostile narrative activity. FACTORS: Speed of early stabilisation effects; StratCom posture; CIMIC coordination; civilian harm prevention.</t>
  </si>
  <si>
    <t>Assessed 3C — Moderate. Manageable with active StratCom and CIMIC posture. Escalates rapidly to HIGH if WAFOR suffers an early civilian harm incident without effective response.</t>
  </si>
  <si>
    <t>Change the likelihood. (1) StratCom Cell deploys with OLRT. (2) Visible humanitarian effects delivered within first 72 hours of Phase 1. (3) All logistics operations in FREETOWN to have StratCom coordination plan attached. (4) KLE with media stakeholders and information actors commenced in Phase 1. Owner: StratCom Cell/J9. Trigger: Hostile narrative gaining population traction.</t>
  </si>
  <si>
    <t>StratCom strategy confirmed (Serial 6A). CIMIC Coy available ARF Tier 1. PSYOPS Coy available.</t>
  </si>
  <si>
    <t>R-08</t>
  </si>
  <si>
    <t>DC 5A/B/C</t>
  </si>
  <si>
    <t>RSLMF Fails to Achieve IOC — Transition Timeline Unachievable</t>
  </si>
  <si>
    <t>SOURCE: Factor 9. IMPACT: DCs 5A, 5B, 5C cannot be achieved. Phase 4 transition criteria cannot be met. 24-month mandate will require extension. CAUSE: Training attrition rates exceed projection; equipment unserviceable; command dysfunction; AFRC/RUF targeting of RSLMF elements; GoSL political interference in RSLMF command appointments. CONSEQUENCE: WAFOR must sustain a larger footprint for longer across all staff functions — operational, intelligence, logistic, medical, communications. OPPORTUNITY COST: Every month of delay in RSLMF development from Phase 1 compounds the transition timeline risk.</t>
  </si>
  <si>
    <t>CAUSES: Poor RSLMF baseline capability; AFRC/RUF targeting; OMLT under-resourcing; command dysfunction; GoSL political interference. CONSEQUENCES: Mandate extension; increased WAFOR footprint; TCN political pressure; Phase 4 triggers not met. ODDS: Possible. RSLMF is assessed as poorly equipped and trained. Timeline is optimistic even with adequate OMLT. FACTORS: OMLT resourcing across all staff functions; RSLMF command calibre; security environment in training areas; GoSL command interference.</t>
  </si>
  <si>
    <t>Assessed 3C — Moderate. A transition risk requiring Phase 4 trigger review from Phase 1. Acceptable as a managed risk provided OMLT is resourced from Phase 1 and FOC criteria are defined before CONOPS is approved.</t>
  </si>
  <si>
    <t>Change the likelihood. (1) OMLT resourced in CJSOR as a mandatory task from Phase 1 across J1, J3, J4 and J6. (2) FOC criteria defined and owned by COMWAFOR before CONOPS approved. (3) Enabling budget includes mandate extension contingency. (4) RSLMF training attrition monitored as a CCIR from Phase 2. Owner: JFLCC/MNBNRR. Trigger: Attrition above threshold — Phase 4 timeline formally reassessed.</t>
  </si>
  <si>
    <t>MSO3 mandates RSLMF FOC. OMLT capability in ARF Tier 1/2.</t>
  </si>
  <si>
    <t>R-09</t>
  </si>
  <si>
    <t>DC 6A/B/C</t>
  </si>
  <si>
    <t>SOURCE: Factors 3, 7. IMPACT: DCs 6A, 6B, 6C unachievable. WAFOR operationally confined to FREETOWN. DCs 7, 8, 9 cannot follow. CAUSE: AFRC/RUF interdiction of primary MSRs; rainy season degrades secondary network; no CSC network; insufficient route security assets. CONSEQUENCE: Forward stocks cannot be pre-positioned. Expansion to Eastern and Southern Provinces fails. Campaign objectives in Phase 3 are not achievable. OPPORTUNITY COST: Failure to pre-position stocks before rainy season onset closes the distribution window for the duration of the wet season.</t>
  </si>
  <si>
    <t>CAUSES: AFRC/RUF active interdiction on FREETOWN-BO, FREETOWN-KABALA, BO-YONIBANA; rainy season onset; absence of CSC network; insufficient route security. CONSEQUENCES: Operational reach limited to FREETOWN; Phase 3 DCs cannot be set; operational pause imposed by logistics culmination. ODDS: Likely that MSR disruption will occur. Almost certain if stocks not pre-positioned before rainy season. FACTORS: Route security resources; CSC network; pre-positioning timeline; engineer capacity.</t>
  </si>
  <si>
    <t>Assessed 4D — High. Freedom of Movement failure is the top-ranked campaign stopper. COA 2 cannot achieve Phase 3 objectives if LOCs cannot be secured. Conditionally acceptable only with pre-cleared corridors, CSC network and pre-positioned stocks.</t>
  </si>
  <si>
    <t>Change the likelihood. (1) CSC every 100km on all primary MSRs before supply columns move. (2) Forward stocks pre-positioned at BO and MAKENI before rainy season onset — hard planning deadline. (3) All MSRs treated as contested — escort required for every convoy. (4) Air-mobile reserve considered for emergency resupply if MSRs closed. Owner: JFLCC/J4. Trigger: MSR closed more than 48 hours — Operational Reserve activation reviewed.</t>
  </si>
  <si>
    <t>CSC concept confirmed in CCR MAB. Route security is a combat task. Engineer Bn available ARF Tier 1.</t>
  </si>
  <si>
    <t>R-10</t>
  </si>
  <si>
    <t>DC 7</t>
  </si>
  <si>
    <t>IDP and Refugee Camps Unsecured — Humanitarian Crisis Deteriorates</t>
  </si>
  <si>
    <t>SOURCE: Factor 5. IMPACT: DC 7 unachievable. Population protection mandate fails. NGO/IO access remains denied. Alliance legitimacy eroded. CAUSE: Insufficient force density to protect dispersed IDP locations while conducting combat operations; AFRC/RUF deliberately targeting camps; humanitarian access routes contested. CONSEQUENCE: Population harm. Alliance political pressure. UN SRSG escalation. DC 7 blocks progression to DCs 9 and 10. OPPORTUNITY COST: Not pursuing early HADR coordination with OCHA and UNHCR allows AFRC/RUF to establish a narrative of WAFOR indifference to civilian harm.</t>
  </si>
  <si>
    <t>CAUSES: AFRC/RUF deliberate targeting of civilian population; insufficient WAFOR force density; competition between combat and protection tasks for available forces; contested humanitarian access routes. CONSEQUENCES: Population harm; NATO legitimacy damage; TCN political pressure; UN escalation; Phase 3 objectives delayed. ODDS: Almost certain that humanitarian access will be contested. Camp security is achievable if resourced. FACTORS: Force density relative to IDP distribution; CIMIC coordination; AFRC/RUF offensive posture.</t>
  </si>
  <si>
    <t>Assessed 3D — Moderate. Humanitarian access denial is assessed as HIGH / ALMOST CERTAIN across the JOA. Camp security specifically is achievable but requires dedicated tasking. Risk escalates to HIGH if force density is insufficient.</t>
  </si>
  <si>
    <t>Change the likelihood and prepare for impact. (1) HADR reserve committed — CIMIC humanitarian corridors from Phase 2. (2) OCHA and UNHCR coordination established in Phase 1 before Phase 3 begins. (3) AFRC/RUF targeting of camps designated as a CCIR and targeting priority. (4) Humanitarian safe zones established around priority IDP concentrations. Owner: J9/CIMIC. Trigger: AFRC/RUF confirmed attack on IDP camp.</t>
  </si>
  <si>
    <t>CIMIC Coy available ARF Tier 1. HADR reserve concept in JOPG risk assessment. OCHA/UNHCR coordination in Phase 1.</t>
  </si>
  <si>
    <t>R-11</t>
  </si>
  <si>
    <t>DC 8</t>
  </si>
  <si>
    <t>Liberian Border Not Secured — Cross-Border Threat Persists</t>
  </si>
  <si>
    <t>SOURCE: Factor 6. IMPACT: DC 8 unachievable. AFRC/RUF external support continues. CAUSE: LIBERIA reinforces its border and sustains AFRC/RUF; WAFOR lacks ground mobility to border region without DC 6C; Liberian regular forces contest border zone. CONSEQUENCE: AFRC/RUF retains external support and sanctuary. Phase 3 objectives fail. Escalation risk increases as WAFOR approaches the border. OPPORTUNITY COST: Allowing LIBERIA to maintain border control and AFRC/RUF resupply extends the campaign indefinitely.</t>
  </si>
  <si>
    <t>CAUSES: LIBERIA active border reinforcement; AFRC/RUF sanctuaries in Liberian territory; absence of ground mobility to border prior to DC 6C; Liberian willingness to escalate. CONSEQUENCES: AFRC/RUF resupply continues; Phase 3 objectives not achieved on timeline; escalation risk increases. ODDS: Likely that border security will require military action. Liberian escalation is possible to unlikely but critical in severity. FACTORS: WAFOR deterrence posture; SACEUR engagement; diplomatic pressure; pace of LOC establishment to border.</t>
  </si>
  <si>
    <t>Assessed 3D — Moderate, escalating to 2E if LIBERIA escalates. SACEUR decision authority required for escalation scenarios. Operational Reserve pre-authorisation required before Phase 3 begins.</t>
  </si>
  <si>
    <t>Share the risk and change the likelihood. (1) Persistent border ISR from Phase 2. (2) Diplomatic engagement sustained through TCN channels. (3) Deterrence posture demonstrated. (4) Pre-authorised Operational Reserve criteria confirmed with SACEUR before Phase 3. (5) Branch plan for Liberian military intervention prepared before Phase 3 transition. Owner: COMWAFOR/SACEUR. Trigger: Liberian military mobilisation towards border at brigade level.</t>
  </si>
  <si>
    <t>Deterrence posture confirmed. SACEUR decision authority requirement identified. SNMG and SSK provide maritime deterrence.</t>
  </si>
  <si>
    <t>R-12</t>
  </si>
  <si>
    <t>DC 9</t>
  </si>
  <si>
    <t>Diamond Mining Areas Not Secured — AFRC/RUF Funding Continues</t>
  </si>
  <si>
    <t>SOURCE: Factors 3, 6. IMPACT: DC 9 unachievable. AFRC/RUF retains illicit revenue. GoSL cannot recover economic resources per MSO3. CAUSE: Eastern Province terrain and road network constrain WAFOR access; AFRC/RUF controls mining areas with 6 Regiments; LIBERIA provides distribution networks; DC 6B must precede DC 9. CONSEQUENCE: AFRC/RUF insurgency self-sustains. GoSL economic recovery fails. MSO3 objective fails. Mandate likely extended. OPPORTUNITY COST: Every day AFRC/RUF controls diamond areas funds continued resistance.</t>
  </si>
  <si>
    <t>CAUSES: AFRC/RUF physical control of Eastern Province; terrain and poor road network; LIBERIA providing distribution networks; DC 6B sequential dependency. CONSEQUENCES: AFRC/RUF insurgency self-sustaining; GoSL cannot recover economic resources; mandate extended. ODDS: Possible if DC 6B is achieved. FACTORS: Success of DC 6B; AFRC/RUF reaction to WAFOR approach; Liberian support continuation; engineer capacity for forward route development.</t>
  </si>
  <si>
    <t>Assessed 3C — Moderate. DC 9 is sequentially dependent on DC 6B. If DC 6B is achieved, DC 9 is achievable with dedicated force. Risk escalates if LOC establishment is delayed by rainy season or AFRC/RUF resistance.</t>
  </si>
  <si>
    <t>Change the likelihood. (1) DC 6B to be treated as a Phase 3 prerequisite for DC 9 — sequencing enforced in CONOPS. (2) SOF to assess Eastern Province dispositions and approach routes. (3) AFRC/RUF diamond and arms networks designated targeting priorities from Phase 2. Owner: JFLCC/SOCC. Trigger: DC 6B achieved — DC 9 operation authorised.</t>
  </si>
  <si>
    <t>SOCC available. SOF tasking flexibility confirmed. AFRC/RUF critical vulnerability identified as diamond and arms networks.</t>
  </si>
  <si>
    <t>R-13</t>
  </si>
  <si>
    <t>DC 10</t>
  </si>
  <si>
    <t>Liberian Military Interference — Strategic Escalation</t>
  </si>
  <si>
    <t>SOURCE: Factor 6. IMPACT: DC 10 unachievable. Strategic escalation. NAC and SACEUR engagement required. CAUSE: LIBERIA perceives WAFOR as weakening and escalates; AFRC/RUF near-defeat provokes Liberian intervention; WAFOR deterrence assessed as insufficient. CONSEQUENCE: Liberian conventional military intervention. WAFOR engaged with a regular military force. Campaign scope fundamentally changed. OPPORTUNITY COST: Failure to maintain a credible deterrence posture throughout signals to LIBERIA that intervention is low-cost.</t>
  </si>
  <si>
    <t>CAUSES: LIBERIA government strategic decision to intervene; perception that WAFOR is constrained; AFRC/RUF near-defeat as a catalyst; Russian ISR enabling Liberian situational awareness of WAFOR dispositions. CONSEQUENCES: Liberian conventional intervention; possible air strikes on WAFOR; campaign escalation; NAC engagement. ODDS: Unlikely but critical severity. FACTORS: WAFOR deterrence credibility; SACEUR signalling; NAC political resolve; Russian ISR support to LIBERIA.</t>
  </si>
  <si>
    <t>Assessed 2E — Moderate with deterrence posture in place. Escalates to 5E — Unacceptable if deterrence fails. SACEUR decision authority required. Pre-authorised strategic reserve commitment criteria must be established before Phase 4.</t>
  </si>
  <si>
    <t>Share the risk (SACEUR/NAC) and change the likelihood. (1) Deterrence posture maintained throughout Phase 4. (2) Strategic reserve commitment criteria pre-agreed with SACEUR. (3) NATO StratCom demonstrates resolve. (4) Diplomatic pressure sustained via TCN channels. (5) Branch plan for Liberian intervention prepared and rehearsed before Phase 4. Owner: COMWAFOR/SACEUR/NAC. Trigger: Liberian military movement towards SIERRA LEONE at brigade level or above.</t>
  </si>
  <si>
    <t>SACEUR decision authority requirement confirmed. Strategic reserve concept identified. SNMG, SSK, FBA Sqn provide deterrence.</t>
  </si>
  <si>
    <t>R-14</t>
  </si>
  <si>
    <t>DC 11</t>
  </si>
  <si>
    <t>AFRC/RUF Not Neutralised — Insurgency Persists into Phase 4</t>
  </si>
  <si>
    <t>SOURCE: Factor 6. IMPACT: DC 11 unachievable. AFRC/RUF disrupts DDR and transition. CAUSE: AFRC/RUF disperses rather than concentrates; leadership evades targeting; Liberian sanctuary maintained; diamond revenue sustains continued resistance. CONSEQUENCE: DDR critical mass not achieved. RSLMF cannot hold gains. Phase 4 objectives fail. Mandate extended. OPPORTUNITY COST: Not pursuing SOF-led targeting of AFRC/RUF command structure in Phase 3 allows leadership continuity into Phase 4.</t>
  </si>
  <si>
    <t>CAUSES: AFRC/RUF guerrilla and dispersed posture; limited high-value targets; Liberian sanctuary; diamond revenue; RSLMF inability to hold cleared areas. CONSEQUENCES: DDR disrupted; RSLMF overextended; Phase 4 transition not met; mandate extended. ODDS: Possible that AFRC/RUF retains residual capability into Phase 4. Military action alone cannot achieve DC 11 — DDR is the enduring solution. FACTORS: Effectiveness of Phase 3 targeting; success of DC 9; DDR attractiveness to fighters.</t>
  </si>
  <si>
    <t>Assessed 3C — Moderate. Manageable if DDR is resourced and attractive and DC 9 (diamond denial) precedes DDR. Escalates to HIGH if diamond revenue is not denied and Liberian sanctuary continues.</t>
  </si>
  <si>
    <t>Change the likelihood. (1) SOF targeting of AFRC/RUF command structure in Phase 3 to degrade organisational coherence. (2) DC 9 diamond denial precedes DDR. (3) DDR programme resourced and made attractive before Phase 4. (4) RSLMF holds cleared areas with OMLT embedded. Owner: JFLCC/SOCC. Trigger: AFRC/RUF reorganisation and resumed offensive operations in Phase 4.</t>
  </si>
  <si>
    <t>SOCC and SOF tasking available. DDR mandate under UNSCR 2198. RSLMF with OMLT support.</t>
  </si>
  <si>
    <t>R-15</t>
  </si>
  <si>
    <t>DC 12/13</t>
  </si>
  <si>
    <t>DDR Framework Fails — Reintegration Collapses</t>
  </si>
  <si>
    <t>SOURCE: Factors 3, 5, 9. IMPACT: DCs 12 and 13 unachievable. Fighters do not disarm. RSLMF cannot transition. Mandate cannot close. CAUSE: GoSL administrative incapacity; inadequate international funding for reintegration; AFRC/RUF coercion of potential defectors; absence of economic opportunity in reintegration areas. CONSEQUENCE: DDR critical mass not achieved. AFRC/RUF reforms. Insurgency restarts. Mandate extended. OPPORTUNITY COST: Failure to begin DDR resource planning in Phase 1 means facilities are not ready when DC 11 conditions are met.</t>
  </si>
  <si>
    <t>CAUSES: GoSL administrative collapse or incapacity; reintegration funding shortfall; AFRC/RUF coercion; security conditions in reintegration areas; UN and IO coordination failures. CONSEQUENCES: DDR fails; AFRC/RUF reconstitutes; RSLMF transition delayed; mandate extends. ODDS: Possible. DDR in similar environments has failed frequently. FACTORS: GoSL capacity; international funding; security environment; RSLMF ability to hold cleared areas.</t>
  </si>
  <si>
    <t>Assessed 3C — Moderate. DDR failure is a campaign-ending risk for the transition phase. Manageable with dedicated resourcing from Phase 1 and confirmed international funding before Phase 4.</t>
  </si>
  <si>
    <t>Change the likelihood. (1) DDR resource planning commenced in Phase 1 — facilities designed before they are needed. (2) International funding for reintegration confirmed before Phase 4 begins. (3) Security conditions in DDR areas established by RSLMF with WAFOR support before DDR commences. (4) KLE with tribal and traditional leaders to build social acceptance. Owner: J5/J9/GoSL. Trigger: DDR participation rate below threshold in first 30 days — international escalation and resource review.</t>
  </si>
  <si>
    <t>DDR mandate confirmed under UNSCR 2198. GoSL DDR experience from previous peace processes noted. Tribal leader KLE identified as a priority.</t>
  </si>
  <si>
    <t>R-16</t>
  </si>
  <si>
    <t>DC 14</t>
  </si>
  <si>
    <t>RSLMF Fails to Achieve FOC — WAFOR Cannot Withdraw</t>
  </si>
  <si>
    <t>SOURCE: Factor 9. IMPACT: DC 14 unachievable. WAFOR cannot hand over lead security responsibility. Mandate cannot close. CAUSE: Cumulative failure from DCs 5A through 5C; AFRC/RUF targeting of RSLMF; GoSL political interference; insufficient OMLT resourcing. CONSEQUENCE: WAFOR remains in a security role beyond mandate. NAC decision required for extension. TCN political pressure intensifies. OPPORTUNITY COST: Every phase of OMLT under-resourcing compounds this risk — the deficit cannot be recovered in Phase 4.</t>
  </si>
  <si>
    <t>CAUSES: Baseline RSLMF capability deficit; accumulated training shortfalls from Phases 2 and 3; AFRC/RUF targeting; GoSL command interference; equipment funding shortfall. CONSEQUENCES: WAFOR withdrawal blocked; mandate extension; TCN political pressure; risk of RSLMF collapse if WAFOR withdraws prematurely. ODDS: Possible if OMLT is under-resourced. Probability reduces significantly if DCs 5A/B/C achieved on schedule. FACTORS: OMLT resourcing; RSLMF leadership; security environment; GoSL political stability.</t>
  </si>
  <si>
    <t>Assessed 3C — Moderate. The terminal campaign risk — the condition that determines whether the operation succeeds or extends indefinitely. Acceptable if OMLT is resourced from Phase 1 and FOC criteria are defined and monitored from Phase 2.</t>
  </si>
  <si>
    <t>Change the likelihood. (1) RSLMF FOC criteria defined and agreed with GoSL and SACEUR before CONOPS approved. (2) OMLT resourced as CJSOR-mandatory from Phase 1. (3) Enabling budget includes mandate extension contingency. (4) FOC criteria monitored as a CCIR from Phase 2. Owner: COMWAFOR/JFLCC. Trigger: FOC criteria not met 6 months before planned mandate end — formal timeline review and SACEUR notification.</t>
  </si>
  <si>
    <t>MSO3 mandates RSLMF FOC. OMLT capability identified. Enabling budget requirement confirmed.</t>
  </si>
  <si>
    <t>Drone threat: WAFOR faces a confirmed C-UAS capability gap with no NATO doctrinal solution.</t>
  </si>
  <si>
    <t>GAMBIA must be assessed as a fallback logistics node. If CONAKRY (GUINEA) becomes unavailable, WAFOR has no confirmed alternative entry point of sufficient capacity. GUINEA Technical Agreement is assessed as a precondition for success from a sustainment perspective.</t>
  </si>
  <si>
    <t>. Without it, WAFOR has no confirmed fallback if CONAKRY (GUINEA) is lost. This is a planning vulnerability that must be resolved before deployment orders are issued.</t>
  </si>
  <si>
    <t>LOCs DENIED— WAFOR Cannot Expand Beyond FREETOWN</t>
  </si>
  <si>
    <t>WAFOR low tolerance of risk</t>
  </si>
  <si>
    <t>d</t>
  </si>
  <si>
    <t>5D</t>
  </si>
  <si>
    <t>RISK ANALYSIS SUMMARY</t>
  </si>
  <si>
    <t>Possible Branches
or Sequels</t>
  </si>
  <si>
    <t>Key Common Risks</t>
  </si>
  <si>
    <t>LIBERIA INVADES</t>
  </si>
  <si>
    <t>WITHDRAWAL of GUINEA technical Agreement
[Secure border, ROEs]
(PCS)</t>
  </si>
  <si>
    <t>Adversary ABANDONS mines &amp; continues
the insurgency</t>
  </si>
  <si>
    <t>←</t>
  </si>
  <si>
    <t>LOW WAFOR tolerance of casualties</t>
  </si>
  <si>
    <t>X-LOCs DENIED to WAFOR
by submarines, drones &amp; IDPs</t>
  </si>
  <si>
    <t>GoSL collapse → NO WAFOR
legitimacy
[Secure FREETOWN in Phase 1]</t>
  </si>
  <si>
    <t>5</t>
  </si>
  <si>
    <t>WAFOR forces in GUINEA engaged by fire
from across border in SIERRA LEONE &amp;
either return fire (breach of technical agreement)
or do NOT return fire &amp; take casualties</t>
  </si>
  <si>
    <t>Identified Preconditions for Success</t>
  </si>
  <si>
    <t>Government of SIERRA LEONE NOT collapse</t>
  </si>
  <si>
    <t>GUINEA technical agreement remains extant</t>
  </si>
  <si>
    <t>6</t>
  </si>
  <si>
    <t>IDPs threaten DC4: FREETOWN
[CIMIC liaison with NGOs]</t>
  </si>
  <si>
    <t>↓</t>
  </si>
  <si>
    <t>Key COA 1
Specific Risks</t>
  </si>
  <si>
    <t>Key Mitigation</t>
  </si>
  <si>
    <t>Key COA 2-specific
Risks</t>
  </si>
  <si>
    <t>Adversary FOM retained</t>
  </si>
  <si>
    <t>DEPLOY hard-kill CUAS early</t>
  </si>
  <si>
    <t>Symbolic status of BONTHE
&amp; SHERBRO may provoke
adversary's MDCOA [Avoid &amp; LIAISE]</t>
  </si>
  <si>
    <t>LIBERIAN support to AFRC/RUF NOT DETERRED</t>
  </si>
  <si>
    <t>HNS technical agreement w/ GAMBIA
KLE &amp; STRATCOM</t>
  </si>
  <si>
    <t>Border w/ LIBERIA NOT SECURED</t>
  </si>
  <si>
    <t>Naval anti-submarine warfare</t>
  </si>
  <si>
    <t>Adversary abandons Mines
&amp; insurgency persists</t>
  </si>
  <si>
    <t>DISPERSED posture stresses force protection</t>
  </si>
  <si>
    <t>Robust Convoy Centres with
air-mobile Reserve</t>
  </si>
  <si>
    <t>Adversary Retains partial
diamond funding</t>
  </si>
  <si>
    <t>Landmines &amp; IEDs</t>
  </si>
  <si>
    <t>Re-position FOB stack during
the dry season</t>
  </si>
  <si>
    <t>RSLMF NOT FOC</t>
  </si>
  <si>
    <t>CIMIC liaison with NGOs</t>
  </si>
  <si>
    <t>Excessive civilian casualties
as WAFOR secures
mines
[Joint targeting
Cell ROEs]</t>
  </si>
  <si>
    <t>7</t>
  </si>
  <si>
    <t>Mandate too short</t>
  </si>
  <si>
    <t>GUINEA well &amp; testing water</t>
  </si>
  <si>
    <t>JOC must make convoys unpredictable</t>
  </si>
  <si>
    <t>CUAS lead nation</t>
  </si>
  <si>
    <t>JTF must OCCUPY GUINEA-SL
border crossing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</si>
</sst>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charset val="1"/>
    </font>
    <font>
      <b/>
      <sz val="14"/>
      <color rgb="FFFFFFFF"/>
      <name val="Arial"/>
      <charset val="1"/>
    </font>
    <font>
      <sz val="10"/>
      <color rgb="FF000000"/>
      <name val="Arial"/>
      <charset val="1"/>
    </font>
    <font>
      <b/>
      <sz val="11"/>
      <color rgb="FFFFFFFF"/>
      <name val="Arial"/>
      <charset val="1"/>
    </font>
    <font>
      <sz val="11"/>
      <name val="Arial"/>
      <charset val="1"/>
    </font>
    <font>
      <sz val="10"/>
      <name val="Arial"/>
      <charset val="1"/>
    </font>
    <font>
      <i/>
      <sz val="9"/>
      <color rgb="FF000000"/>
      <name val="Arial"/>
      <charset val="1"/>
    </font>
    <font>
      <b/>
      <sz val="9"/>
      <color rgb="FFFFFFFF"/>
      <name val="Arial"/>
      <charset val="1"/>
    </font>
    <font>
      <sz val="9"/>
      <color rgb="FF000000"/>
      <name val="Arial"/>
      <charset val="1"/>
    </font>
    <font>
      <b/>
      <sz val="9"/>
      <color rgb="FF000000"/>
      <name val="Arial"/>
      <charset val="1"/>
    </font>
    <font>
      <b/>
      <sz val="10"/>
      <color rgb="FF000000"/>
      <name val="Arial"/>
      <charset val="1"/>
    </font>
    <font>
      <b/>
      <sz val="10"/>
      <color rgb="FFFFFFFF"/>
      <name val="Arial"/>
      <charset val="1"/>
    </font>
    <font>
      <b/>
      <sz val="20"/>
      <color rgb="FF111111"/>
      <name val="Carlito"/>
    </font>
    <font>
      <sz val="12"/>
      <color rgb="FF1E40AF"/>
      <name val="Carlito"/>
    </font>
    <font>
      <sz val="17"/>
      <color rgb="FF111111"/>
      <name val="Carlito"/>
    </font>
    <font>
      <sz val="14"/>
      <color rgb="FFB91C1C"/>
      <name val="Carlito"/>
    </font>
    <font>
      <sz val="15"/>
      <color rgb="FF1E40AF"/>
      <name val="Carlito"/>
    </font>
    <font>
      <sz val="13"/>
      <color rgb="FF1E40AF"/>
      <name val="Carlito"/>
    </font>
    <font>
      <sz val="72"/>
      <color rgb="FF166534"/>
      <name val="Carlito"/>
    </font>
    <font>
      <sz val="20"/>
      <color rgb="FF166534"/>
      <name val="Carlito"/>
    </font>
    <font>
      <sz val="11"/>
      <color rgb="FF166534"/>
      <name val="Carlito"/>
    </font>
    <font>
      <sz val="28"/>
      <color rgb="FF166534"/>
      <name val="Carlito"/>
    </font>
  </fonts>
  <fills count="10">
    <fill>
      <patternFill patternType="none"/>
    </fill>
    <fill>
      <patternFill patternType="gray125"/>
    </fill>
    <fill>
      <patternFill patternType="solid">
        <fgColor rgb="FF1F4E78"/>
        <bgColor rgb="FF003366"/>
      </patternFill>
    </fill>
    <fill>
      <patternFill patternType="solid">
        <fgColor rgb="FFD9EAF7"/>
        <bgColor rgb="FFCCFFFF"/>
      </patternFill>
    </fill>
    <fill>
      <patternFill patternType="solid">
        <fgColor rgb="FF0F766E"/>
        <bgColor rgb="FF008080"/>
      </patternFill>
    </fill>
    <fill>
      <patternFill patternType="solid">
        <fgColor rgb="FF70AD47"/>
        <bgColor rgb="FF339966"/>
      </patternFill>
    </fill>
    <fill>
      <patternFill patternType="solid">
        <fgColor rgb="FFFFC000"/>
        <bgColor rgb="FFFF9900"/>
      </patternFill>
    </fill>
    <fill>
      <patternFill patternType="solid">
        <fgColor rgb="FFFF0000"/>
        <bgColor rgb="FFC00000"/>
      </patternFill>
    </fill>
    <fill>
      <patternFill patternType="solid">
        <fgColor rgb="FFC00000"/>
        <bgColor rgb="FFFF0000"/>
      </patternFill>
    </fill>
    <fill>
      <patternFill patternType="solid">
        <fgColor rgb="FFFFFFFF"/>
      </patternFill>
    </fill>
  </fills>
  <borders count="1">
    <border>
      <left/>
      <right/>
      <top/>
      <bottom/>
      <diagonal/>
    </border>
  </borders>
  <cellStyleXfs count="1">
    <xf numFmtId="0" fontId="0" fillId="0" borderId="0"/>
  </cellStyleXfs>
  <cellXfs count="32">
    <xf numFmtId="0" fontId="0" fillId="0" borderId="0" xfId="0"/>
    <xf numFmtId="0" fontId="6" fillId="3" borderId="0" xfId="0" applyFont="1" applyFill="1" applyAlignment="1">
      <alignment horizontal="left" vertical="center" wrapText="1"/>
    </xf>
    <xf numFmtId="0" fontId="3" fillId="2" borderId="0" xfId="0" applyFont="1" applyFill="1" applyAlignment="1">
      <alignment horizontal="left" vertical="center" wrapText="1"/>
    </xf>
    <xf numFmtId="0" fontId="2" fillId="3" borderId="0" xfId="0" applyFont="1" applyFill="1" applyAlignment="1">
      <alignment horizontal="left" vertical="center" wrapText="1"/>
    </xf>
    <xf numFmtId="0" fontId="1" fillId="2" borderId="0" xfId="0" applyFont="1" applyFill="1" applyAlignment="1">
      <alignment horizontal="left" vertical="center" wrapText="1"/>
    </xf>
    <xf numFmtId="0" fontId="3" fillId="4" borderId="0" xfId="0" applyFont="1" applyFill="1" applyAlignment="1">
      <alignment horizontal="center" vertical="center" wrapText="1"/>
    </xf>
    <xf numFmtId="0" fontId="4" fillId="0" borderId="0" xfId="0" applyFont="1" applyAlignment="1">
      <alignment horizontal="left" vertical="top" wrapText="1"/>
    </xf>
    <xf numFmtId="0" fontId="5" fillId="0" borderId="0" xfId="0" applyFont="1" applyAlignment="1">
      <alignment horizontal="left" vertical="top" wrapText="1"/>
    </xf>
    <xf numFmtId="0" fontId="7" fillId="4" borderId="0" xfId="0" applyFont="1" applyFill="1" applyAlignment="1">
      <alignment horizontal="center" vertical="center" wrapText="1"/>
    </xf>
    <xf numFmtId="0" fontId="7" fillId="5" borderId="0" xfId="0" applyFont="1" applyFill="1" applyAlignment="1">
      <alignment horizontal="center" vertical="center" wrapText="1"/>
    </xf>
    <xf numFmtId="0" fontId="7" fillId="6" borderId="0" xfId="0" applyFont="1" applyFill="1" applyAlignment="1">
      <alignment horizontal="center" vertical="center" wrapText="1"/>
    </xf>
    <xf numFmtId="0" fontId="7" fillId="7" borderId="0" xfId="0" applyFont="1" applyFill="1" applyAlignment="1">
      <alignment horizontal="center" vertical="center" wrapText="1"/>
    </xf>
    <xf numFmtId="0" fontId="7" fillId="8" borderId="0" xfId="0" applyFont="1" applyFill="1" applyAlignment="1">
      <alignment horizontal="center" vertical="center" wrapText="1"/>
    </xf>
    <xf numFmtId="0" fontId="8" fillId="0" borderId="0" xfId="0" applyFont="1" applyAlignment="1">
      <alignment horizontal="left" vertical="top"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6" borderId="0" xfId="0" applyFont="1" applyFill="1" applyAlignment="1">
      <alignment horizontal="center" vertical="center" wrapText="1"/>
    </xf>
    <xf numFmtId="0" fontId="11" fillId="5" borderId="0" xfId="0" applyFont="1" applyFill="1" applyAlignment="1">
      <alignment horizontal="center" vertical="center" wrapText="1"/>
    </xf>
    <xf numFmtId="0" fontId="11" fillId="7" borderId="0" xfId="0" applyFont="1" applyFill="1" applyAlignment="1">
      <alignment horizontal="center" vertical="center" wrapText="1"/>
    </xf>
    <xf numFmtId="0" fontId="1" fillId="2" borderId="0" xfId="0" applyFont="1" applyFill="1" applyAlignment="1">
      <alignment horizontal="center" vertical="center" wrapText="1"/>
    </xf>
    <xf numFmtId="0" fontId="12" fillId="9" borderId="0" xfId="0" applyFont="1" applyFill="1" applyAlignment="1">
      <alignment horizontal="center" vertical="center" wrapText="1"/>
    </xf>
    <xf numFmtId="0" fontId="13" fillId="9" borderId="0" xfId="0" applyFont="1" applyFill="1" applyAlignment="1">
      <alignment vertical="top" wrapText="1"/>
    </xf>
    <xf numFmtId="0" fontId="13" fillId="9" borderId="0" xfId="0" applyFont="1" applyFill="1" applyAlignment="1">
      <alignment vertical="top" wrapText="1"/>
    </xf>
    <xf numFmtId="0" fontId="14" fillId="9" borderId="0" xfId="0" applyFont="1" applyFill="1" applyAlignment="1">
      <alignment horizontal="center" vertical="center" wrapText="1"/>
    </xf>
    <xf numFmtId="0" fontId="15" fillId="9" borderId="0" xfId="0" applyFont="1" applyFill="1" applyAlignment="1">
      <alignment horizontal="left" vertical="top" wrapText="1"/>
    </xf>
    <xf numFmtId="0" fontId="16" fillId="9" borderId="0" xfId="0" applyFont="1" applyFill="1" applyAlignment="1">
      <alignment horizontal="left" vertical="top" wrapText="1"/>
    </xf>
    <xf numFmtId="0" fontId="17" fillId="9" borderId="0" xfId="0" applyFont="1" applyFill="1" applyAlignment="1">
      <alignment horizontal="left" vertical="top" wrapText="1"/>
    </xf>
    <xf numFmtId="0" fontId="18" fillId="9" borderId="0" xfId="0" applyFont="1" applyFill="1" applyAlignment="1">
      <alignment horizontal="center" vertical="center" wrapText="1"/>
    </xf>
    <xf numFmtId="0" fontId="19" fillId="9" borderId="0" xfId="0" applyFont="1" applyFill="1" applyAlignment="1">
      <alignment horizontal="center" vertical="center" wrapText="1"/>
    </xf>
    <xf numFmtId="0" fontId="20" fillId="9" borderId="0" xfId="0" applyFont="1" applyFill="1" applyAlignment="1">
      <alignment horizontal="center" vertical="top" wrapText="1"/>
    </xf>
    <xf numFmtId="0" fontId="13" fillId="9" borderId="0" xfId="0" applyFont="1" applyFill="1" applyAlignment="1">
      <alignment horizontal="left" vertical="top" wrapText="1"/>
    </xf>
    <xf numFmtId="0" fontId="21" fillId="9"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C0C0C0"/>
      <rgbColor rgb="FF808080"/>
      <rgbColor rgb="FF9999FF"/>
      <rgbColor rgb="FF993366"/>
      <rgbColor rgb="FFFFFF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70AD47"/>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0"/>
  <sheetViews>
    <sheetView topLeftCell="A49" zoomScale="55" zoomScaleNormal="55" workbookViewId="0">
      <selection activeCell="D34" sqref="D34"/>
    </sheetView>
  </sheetViews>
  <sheetFormatPr defaultColWidth="8.6328125" defaultRowHeight="14.5"/>
  <cols>
    <col min="1" max="1" width="3.26953125" customWidth="1"/>
    <col min="2" max="2" width="67.81640625" customWidth="1"/>
    <col min="3" max="3" width="5.7265625" customWidth="1"/>
    <col min="4" max="4" width="84.1796875" customWidth="1"/>
    <col min="5" max="5" width="9.36328125" customWidth="1"/>
    <col min="6" max="6" width="115.26953125" customWidth="1"/>
    <col min="7" max="7" width="63.7265625" customWidth="1"/>
    <col min="8" max="9" width="8.36328125" customWidth="1"/>
  </cols>
  <sheetData>
    <row r="1" spans="1:9" ht="30" customHeight="1">
      <c r="A1" s="4" t="s">
        <v>0</v>
      </c>
      <c r="B1" s="4"/>
      <c r="C1" s="4"/>
      <c r="D1" s="4"/>
      <c r="E1" s="4"/>
      <c r="F1" s="4"/>
      <c r="G1" s="4"/>
      <c r="H1" s="4"/>
      <c r="I1" s="4"/>
    </row>
    <row r="2" spans="1:9" ht="45" customHeight="1">
      <c r="A2" s="3" t="s">
        <v>1</v>
      </c>
      <c r="B2" s="3"/>
      <c r="C2" s="3"/>
      <c r="D2" s="3"/>
      <c r="E2" s="3"/>
      <c r="F2" s="3"/>
      <c r="G2" s="3"/>
      <c r="H2" s="3"/>
      <c r="I2" s="3"/>
    </row>
    <row r="3" spans="1:9" ht="19.5" customHeight="1">
      <c r="B3" s="5" t="s">
        <v>2</v>
      </c>
      <c r="D3" s="5" t="s">
        <v>3</v>
      </c>
      <c r="F3" s="5" t="s">
        <v>4</v>
      </c>
      <c r="G3" s="5" t="s">
        <v>5</v>
      </c>
      <c r="H3" s="5" t="s">
        <v>6</v>
      </c>
      <c r="I3" s="5" t="s">
        <v>7</v>
      </c>
    </row>
    <row r="4" spans="1:9" ht="19.5" customHeight="1">
      <c r="A4" s="5" t="s">
        <v>8</v>
      </c>
      <c r="B4" s="5" t="s">
        <v>9</v>
      </c>
      <c r="C4" s="5" t="s">
        <v>10</v>
      </c>
      <c r="D4" s="5" t="s">
        <v>11</v>
      </c>
      <c r="E4" s="5" t="s">
        <v>12</v>
      </c>
      <c r="F4" s="5" t="s">
        <v>13</v>
      </c>
      <c r="G4" s="5" t="s">
        <v>14</v>
      </c>
      <c r="H4" s="5" t="s">
        <v>15</v>
      </c>
      <c r="I4" s="5" t="s">
        <v>16</v>
      </c>
    </row>
    <row r="5" spans="1:9" ht="120" customHeight="1">
      <c r="A5" s="6">
        <v>1</v>
      </c>
      <c r="B5" s="6" t="s">
        <v>17</v>
      </c>
      <c r="C5" s="6" t="str">
        <f t="shared" ref="C5:C36" si="0">A5&amp;"."&amp;H5</f>
        <v>1.1</v>
      </c>
      <c r="D5" s="6" t="s">
        <v>18</v>
      </c>
      <c r="E5" s="6" t="str">
        <f t="shared" ref="E5:E36" si="1">C5&amp;"."&amp;I5</f>
        <v>1.1.1</v>
      </c>
      <c r="F5" s="6" t="s">
        <v>19</v>
      </c>
      <c r="G5" s="6" t="s">
        <v>20</v>
      </c>
      <c r="H5" s="6">
        <v>1</v>
      </c>
      <c r="I5" s="6">
        <v>1</v>
      </c>
    </row>
    <row r="6" spans="1:9" ht="120" customHeight="1">
      <c r="A6" s="6">
        <v>1</v>
      </c>
      <c r="B6" s="6"/>
      <c r="C6" s="6" t="str">
        <f t="shared" si="0"/>
        <v>1.1</v>
      </c>
      <c r="D6" s="6"/>
      <c r="E6" s="6" t="str">
        <f t="shared" si="1"/>
        <v>1.1.2</v>
      </c>
      <c r="F6" s="6" t="s">
        <v>21</v>
      </c>
      <c r="G6" s="6" t="s">
        <v>22</v>
      </c>
      <c r="H6" s="6">
        <v>1</v>
      </c>
      <c r="I6" s="6">
        <v>2</v>
      </c>
    </row>
    <row r="7" spans="1:9" ht="120" customHeight="1">
      <c r="A7" s="6">
        <v>1</v>
      </c>
      <c r="B7" s="6"/>
      <c r="C7" s="6" t="str">
        <f t="shared" si="0"/>
        <v>1.1</v>
      </c>
      <c r="D7" s="6"/>
      <c r="E7" s="6" t="str">
        <f t="shared" si="1"/>
        <v>1.1.3</v>
      </c>
      <c r="F7" s="6" t="s">
        <v>23</v>
      </c>
      <c r="G7" s="6" t="s">
        <v>24</v>
      </c>
      <c r="H7" s="6">
        <v>1</v>
      </c>
      <c r="I7" s="6">
        <v>3</v>
      </c>
    </row>
    <row r="8" spans="1:9" ht="120" customHeight="1">
      <c r="A8" s="6">
        <v>1</v>
      </c>
      <c r="B8" s="6"/>
      <c r="C8" s="6" t="str">
        <f t="shared" si="0"/>
        <v>1.2</v>
      </c>
      <c r="D8" s="6" t="s">
        <v>25</v>
      </c>
      <c r="E8" s="6" t="str">
        <f t="shared" si="1"/>
        <v>1.2.1</v>
      </c>
      <c r="F8" s="6" t="s">
        <v>26</v>
      </c>
      <c r="G8" s="6" t="s">
        <v>27</v>
      </c>
      <c r="H8" s="6">
        <v>2</v>
      </c>
      <c r="I8" s="6">
        <v>1</v>
      </c>
    </row>
    <row r="9" spans="1:9" ht="120" customHeight="1">
      <c r="A9" s="6">
        <v>1</v>
      </c>
      <c r="B9" s="6"/>
      <c r="C9" s="6" t="str">
        <f t="shared" si="0"/>
        <v>1.2</v>
      </c>
      <c r="D9" s="6"/>
      <c r="E9" s="6" t="str">
        <f t="shared" si="1"/>
        <v>1.2.2</v>
      </c>
      <c r="F9" s="6" t="s">
        <v>28</v>
      </c>
      <c r="G9" s="6" t="s">
        <v>29</v>
      </c>
      <c r="H9" s="6">
        <v>2</v>
      </c>
      <c r="I9" s="6">
        <v>2</v>
      </c>
    </row>
    <row r="10" spans="1:9" ht="120" customHeight="1">
      <c r="A10" s="6">
        <v>1</v>
      </c>
      <c r="B10" s="6"/>
      <c r="C10" s="6" t="str">
        <f t="shared" si="0"/>
        <v>1.2</v>
      </c>
      <c r="D10" s="6"/>
      <c r="E10" s="6" t="str">
        <f t="shared" si="1"/>
        <v>1.2.3</v>
      </c>
      <c r="F10" s="6" t="s">
        <v>457</v>
      </c>
      <c r="G10" s="6" t="s">
        <v>29</v>
      </c>
      <c r="H10" s="6">
        <v>2</v>
      </c>
      <c r="I10" s="6">
        <v>3</v>
      </c>
    </row>
    <row r="11" spans="1:9" ht="120" customHeight="1">
      <c r="A11" s="6">
        <v>2</v>
      </c>
      <c r="B11" s="6" t="s">
        <v>30</v>
      </c>
      <c r="C11" s="6" t="str">
        <f t="shared" si="0"/>
        <v>2.1</v>
      </c>
      <c r="D11" s="6" t="s">
        <v>31</v>
      </c>
      <c r="E11" s="6" t="str">
        <f t="shared" si="1"/>
        <v>2.1.1</v>
      </c>
      <c r="F11" s="6" t="s">
        <v>32</v>
      </c>
      <c r="G11" s="6" t="s">
        <v>29</v>
      </c>
      <c r="H11" s="6">
        <v>1</v>
      </c>
      <c r="I11" s="6">
        <v>1</v>
      </c>
    </row>
    <row r="12" spans="1:9" ht="120" customHeight="1">
      <c r="A12" s="6">
        <v>2</v>
      </c>
      <c r="B12" s="6"/>
      <c r="C12" s="6" t="str">
        <f t="shared" si="0"/>
        <v>2.1</v>
      </c>
      <c r="D12" s="6"/>
      <c r="E12" s="6" t="str">
        <f t="shared" si="1"/>
        <v>2.1.2</v>
      </c>
      <c r="F12" s="6" t="s">
        <v>458</v>
      </c>
      <c r="G12" s="6" t="s">
        <v>29</v>
      </c>
      <c r="H12" s="6">
        <v>1</v>
      </c>
      <c r="I12" s="6">
        <v>2</v>
      </c>
    </row>
    <row r="13" spans="1:9" ht="120" customHeight="1">
      <c r="A13" s="6">
        <v>2</v>
      </c>
      <c r="B13" s="6"/>
      <c r="C13" s="6" t="str">
        <f t="shared" si="0"/>
        <v>2.2</v>
      </c>
      <c r="D13" s="6" t="s">
        <v>33</v>
      </c>
      <c r="E13" s="6" t="str">
        <f t="shared" si="1"/>
        <v>2.2.1</v>
      </c>
      <c r="F13" s="6" t="s">
        <v>34</v>
      </c>
      <c r="G13" s="6" t="s">
        <v>29</v>
      </c>
      <c r="H13" s="6">
        <v>2</v>
      </c>
      <c r="I13" s="6">
        <v>1</v>
      </c>
    </row>
    <row r="14" spans="1:9" ht="120" customHeight="1">
      <c r="A14" s="6">
        <v>2</v>
      </c>
      <c r="B14" s="6"/>
      <c r="C14" s="6" t="str">
        <f t="shared" si="0"/>
        <v>2.2</v>
      </c>
      <c r="D14" s="6"/>
      <c r="E14" s="6" t="str">
        <f t="shared" si="1"/>
        <v>2.2.2</v>
      </c>
      <c r="F14" s="6" t="s">
        <v>35</v>
      </c>
      <c r="G14" s="6" t="s">
        <v>36</v>
      </c>
      <c r="H14" s="6">
        <v>2</v>
      </c>
      <c r="I14" s="6">
        <v>2</v>
      </c>
    </row>
    <row r="15" spans="1:9" ht="120" customHeight="1">
      <c r="A15" s="6">
        <v>3</v>
      </c>
      <c r="B15" s="6" t="s">
        <v>37</v>
      </c>
      <c r="C15" s="6" t="str">
        <f t="shared" si="0"/>
        <v>3.1</v>
      </c>
      <c r="D15" s="6" t="s">
        <v>38</v>
      </c>
      <c r="E15" s="6" t="str">
        <f t="shared" si="1"/>
        <v>3.1.1</v>
      </c>
      <c r="F15" s="6" t="s">
        <v>39</v>
      </c>
      <c r="G15" s="6" t="s">
        <v>40</v>
      </c>
      <c r="H15" s="6">
        <v>1</v>
      </c>
      <c r="I15" s="6">
        <v>1</v>
      </c>
    </row>
    <row r="16" spans="1:9" ht="120" customHeight="1">
      <c r="A16" s="6">
        <v>3</v>
      </c>
      <c r="B16" s="6"/>
      <c r="C16" s="6" t="str">
        <f t="shared" si="0"/>
        <v>3.1</v>
      </c>
      <c r="D16" s="6"/>
      <c r="E16" s="6" t="str">
        <f t="shared" si="1"/>
        <v>3.1.2</v>
      </c>
      <c r="F16" s="6" t="s">
        <v>41</v>
      </c>
      <c r="G16" s="6" t="s">
        <v>42</v>
      </c>
      <c r="H16" s="6">
        <v>1</v>
      </c>
      <c r="I16" s="6">
        <v>2</v>
      </c>
    </row>
    <row r="17" spans="1:9" ht="120" customHeight="1">
      <c r="A17" s="6">
        <v>3</v>
      </c>
      <c r="B17" s="6"/>
      <c r="C17" s="6" t="str">
        <f t="shared" si="0"/>
        <v>3.1</v>
      </c>
      <c r="D17" s="6"/>
      <c r="E17" s="6" t="str">
        <f t="shared" si="1"/>
        <v>3.1.3</v>
      </c>
      <c r="F17" s="6" t="s">
        <v>43</v>
      </c>
      <c r="G17" s="6" t="s">
        <v>44</v>
      </c>
      <c r="H17" s="6">
        <v>1</v>
      </c>
      <c r="I17" s="6">
        <v>3</v>
      </c>
    </row>
    <row r="18" spans="1:9" ht="120" customHeight="1">
      <c r="A18" s="6">
        <v>3</v>
      </c>
      <c r="B18" s="6"/>
      <c r="C18" s="6" t="str">
        <f t="shared" si="0"/>
        <v>3.2</v>
      </c>
      <c r="D18" s="6" t="s">
        <v>45</v>
      </c>
      <c r="E18" s="6" t="str">
        <f t="shared" si="1"/>
        <v>3.2.1</v>
      </c>
      <c r="F18" s="6" t="s">
        <v>46</v>
      </c>
      <c r="G18" s="6" t="s">
        <v>47</v>
      </c>
      <c r="H18" s="6">
        <v>2</v>
      </c>
      <c r="I18" s="6">
        <v>1</v>
      </c>
    </row>
    <row r="19" spans="1:9" ht="120" customHeight="1">
      <c r="A19" s="6">
        <v>3</v>
      </c>
      <c r="B19" s="6"/>
      <c r="C19" s="6" t="str">
        <f t="shared" si="0"/>
        <v>3.2</v>
      </c>
      <c r="D19" s="6"/>
      <c r="E19" s="6" t="str">
        <f t="shared" si="1"/>
        <v>3.2.2</v>
      </c>
      <c r="F19" s="6" t="s">
        <v>48</v>
      </c>
      <c r="G19" s="6" t="s">
        <v>49</v>
      </c>
      <c r="H19" s="6">
        <v>2</v>
      </c>
      <c r="I19" s="6">
        <v>2</v>
      </c>
    </row>
    <row r="20" spans="1:9" ht="120" customHeight="1">
      <c r="A20" s="6">
        <v>3</v>
      </c>
      <c r="B20" s="6"/>
      <c r="C20" s="6" t="str">
        <f t="shared" si="0"/>
        <v>3.2</v>
      </c>
      <c r="D20" s="6"/>
      <c r="E20" s="6" t="str">
        <f t="shared" si="1"/>
        <v>3.2.3</v>
      </c>
      <c r="F20" s="6" t="s">
        <v>50</v>
      </c>
      <c r="G20" s="6" t="s">
        <v>51</v>
      </c>
      <c r="H20" s="6">
        <v>2</v>
      </c>
      <c r="I20" s="6">
        <v>3</v>
      </c>
    </row>
    <row r="21" spans="1:9" ht="140">
      <c r="A21" s="6">
        <v>4</v>
      </c>
      <c r="B21" s="6" t="s">
        <v>52</v>
      </c>
      <c r="C21" s="6" t="str">
        <f t="shared" si="0"/>
        <v>4.1</v>
      </c>
      <c r="D21" s="6" t="s">
        <v>53</v>
      </c>
      <c r="E21" s="6" t="str">
        <f t="shared" si="1"/>
        <v>4.1.1</v>
      </c>
      <c r="F21" s="6" t="s">
        <v>54</v>
      </c>
      <c r="G21" s="6" t="s">
        <v>55</v>
      </c>
      <c r="H21" s="6">
        <v>1</v>
      </c>
      <c r="I21" s="6">
        <v>1</v>
      </c>
    </row>
    <row r="22" spans="1:9" ht="120" customHeight="1">
      <c r="A22" s="6">
        <v>4</v>
      </c>
      <c r="B22" s="6"/>
      <c r="C22" s="6" t="str">
        <f t="shared" si="0"/>
        <v>4.1</v>
      </c>
      <c r="D22" s="6"/>
      <c r="E22" s="6" t="str">
        <f t="shared" si="1"/>
        <v>4.1.2</v>
      </c>
      <c r="F22" s="6" t="s">
        <v>56</v>
      </c>
      <c r="G22" s="6" t="s">
        <v>49</v>
      </c>
      <c r="H22" s="6">
        <v>1</v>
      </c>
      <c r="I22" s="6">
        <v>2</v>
      </c>
    </row>
    <row r="23" spans="1:9" ht="120" customHeight="1">
      <c r="A23" s="6">
        <v>4</v>
      </c>
      <c r="B23" s="6"/>
      <c r="C23" s="6" t="str">
        <f t="shared" si="0"/>
        <v>4.1</v>
      </c>
      <c r="D23" s="6"/>
      <c r="E23" s="6" t="str">
        <f t="shared" si="1"/>
        <v>4.1.3</v>
      </c>
      <c r="F23" s="6" t="s">
        <v>57</v>
      </c>
      <c r="G23" s="6" t="s">
        <v>58</v>
      </c>
      <c r="H23" s="6">
        <v>1</v>
      </c>
      <c r="I23" s="6">
        <v>3</v>
      </c>
    </row>
    <row r="24" spans="1:9" ht="120" customHeight="1">
      <c r="A24" s="6">
        <v>4</v>
      </c>
      <c r="B24" s="6"/>
      <c r="C24" s="6" t="str">
        <f t="shared" si="0"/>
        <v>4.2</v>
      </c>
      <c r="D24" s="6" t="s">
        <v>59</v>
      </c>
      <c r="E24" s="6" t="str">
        <f t="shared" si="1"/>
        <v>4.2.1</v>
      </c>
      <c r="F24" s="6" t="s">
        <v>60</v>
      </c>
      <c r="G24" s="6" t="s">
        <v>49</v>
      </c>
      <c r="H24" s="6">
        <v>2</v>
      </c>
      <c r="I24" s="6">
        <v>1</v>
      </c>
    </row>
    <row r="25" spans="1:9" ht="120" customHeight="1">
      <c r="A25" s="6">
        <v>4</v>
      </c>
      <c r="B25" s="6"/>
      <c r="C25" s="6" t="str">
        <f t="shared" si="0"/>
        <v>4.2</v>
      </c>
      <c r="D25" s="6"/>
      <c r="E25" s="6" t="str">
        <f t="shared" si="1"/>
        <v>4.2.2</v>
      </c>
      <c r="F25" s="6" t="s">
        <v>61</v>
      </c>
      <c r="G25" s="6" t="s">
        <v>49</v>
      </c>
      <c r="H25" s="6">
        <v>2</v>
      </c>
      <c r="I25" s="6">
        <v>2</v>
      </c>
    </row>
    <row r="26" spans="1:9" ht="126">
      <c r="A26" s="6">
        <v>5</v>
      </c>
      <c r="B26" s="6" t="s">
        <v>62</v>
      </c>
      <c r="C26" s="6" t="str">
        <f t="shared" si="0"/>
        <v>5.1</v>
      </c>
      <c r="D26" s="6" t="s">
        <v>63</v>
      </c>
      <c r="E26" s="6" t="str">
        <f t="shared" si="1"/>
        <v>5.1.1</v>
      </c>
      <c r="F26" s="6" t="s">
        <v>64</v>
      </c>
      <c r="G26" s="6" t="s">
        <v>65</v>
      </c>
      <c r="H26" s="6">
        <v>1</v>
      </c>
      <c r="I26" s="6">
        <v>1</v>
      </c>
    </row>
    <row r="27" spans="1:9" ht="120" customHeight="1">
      <c r="A27" s="6">
        <v>5</v>
      </c>
      <c r="B27" s="6"/>
      <c r="C27" s="6" t="str">
        <f t="shared" si="0"/>
        <v>5.1</v>
      </c>
      <c r="D27" s="6"/>
      <c r="E27" s="6" t="str">
        <f t="shared" si="1"/>
        <v>5.1.2</v>
      </c>
      <c r="F27" s="6" t="s">
        <v>66</v>
      </c>
      <c r="G27" s="6" t="s">
        <v>67</v>
      </c>
      <c r="H27" s="6">
        <v>1</v>
      </c>
      <c r="I27" s="6">
        <v>2</v>
      </c>
    </row>
    <row r="28" spans="1:9" ht="120" customHeight="1">
      <c r="A28" s="6">
        <v>5</v>
      </c>
      <c r="B28" s="6"/>
      <c r="C28" s="6" t="str">
        <f t="shared" si="0"/>
        <v>5.1</v>
      </c>
      <c r="D28" s="6"/>
      <c r="E28" s="6" t="str">
        <f t="shared" si="1"/>
        <v>5.1.3</v>
      </c>
      <c r="F28" s="6" t="s">
        <v>68</v>
      </c>
      <c r="G28" s="6" t="s">
        <v>69</v>
      </c>
      <c r="H28" s="6">
        <v>1</v>
      </c>
      <c r="I28" s="6">
        <v>3</v>
      </c>
    </row>
    <row r="29" spans="1:9" ht="120" customHeight="1">
      <c r="A29" s="6">
        <v>5</v>
      </c>
      <c r="B29" s="6"/>
      <c r="C29" s="6" t="str">
        <f t="shared" si="0"/>
        <v>5.2</v>
      </c>
      <c r="D29" s="6" t="s">
        <v>70</v>
      </c>
      <c r="E29" s="6" t="str">
        <f t="shared" si="1"/>
        <v>5.2.1</v>
      </c>
      <c r="F29" s="6" t="s">
        <v>71</v>
      </c>
      <c r="G29" s="6" t="s">
        <v>49</v>
      </c>
      <c r="H29" s="6">
        <v>2</v>
      </c>
      <c r="I29" s="6">
        <v>1</v>
      </c>
    </row>
    <row r="30" spans="1:9" ht="120" customHeight="1">
      <c r="A30" s="6">
        <v>5</v>
      </c>
      <c r="B30" s="6"/>
      <c r="C30" s="6" t="str">
        <f t="shared" si="0"/>
        <v>5.2</v>
      </c>
      <c r="D30" s="6"/>
      <c r="E30" s="6" t="str">
        <f t="shared" si="1"/>
        <v>5.2.2</v>
      </c>
      <c r="F30" s="6" t="s">
        <v>72</v>
      </c>
      <c r="G30" s="6" t="s">
        <v>73</v>
      </c>
      <c r="H30" s="6">
        <v>2</v>
      </c>
      <c r="I30" s="6">
        <v>2</v>
      </c>
    </row>
    <row r="31" spans="1:9" ht="120" customHeight="1">
      <c r="A31" s="6">
        <v>6</v>
      </c>
      <c r="B31" s="6" t="s">
        <v>74</v>
      </c>
      <c r="C31" s="6" t="str">
        <f t="shared" si="0"/>
        <v>6.1</v>
      </c>
      <c r="D31" s="6" t="s">
        <v>75</v>
      </c>
      <c r="E31" s="6" t="str">
        <f t="shared" si="1"/>
        <v>6.1.1</v>
      </c>
      <c r="F31" s="6" t="s">
        <v>76</v>
      </c>
      <c r="G31" s="6" t="s">
        <v>77</v>
      </c>
      <c r="H31" s="6">
        <v>1</v>
      </c>
      <c r="I31" s="6">
        <v>1</v>
      </c>
    </row>
    <row r="32" spans="1:9" ht="120" customHeight="1">
      <c r="A32" s="6">
        <v>6</v>
      </c>
      <c r="B32" s="6"/>
      <c r="C32" s="6" t="str">
        <f t="shared" si="0"/>
        <v>6.1</v>
      </c>
      <c r="D32" s="6"/>
      <c r="E32" s="6" t="str">
        <f t="shared" si="1"/>
        <v>6.1.2</v>
      </c>
      <c r="F32" s="6" t="s">
        <v>78</v>
      </c>
      <c r="G32" s="6" t="s">
        <v>58</v>
      </c>
      <c r="H32" s="6">
        <v>1</v>
      </c>
      <c r="I32" s="6">
        <v>2</v>
      </c>
    </row>
    <row r="33" spans="1:9" ht="120" customHeight="1">
      <c r="A33" s="6">
        <v>6</v>
      </c>
      <c r="B33" s="6"/>
      <c r="C33" s="6" t="str">
        <f t="shared" si="0"/>
        <v>6.1</v>
      </c>
      <c r="D33" s="6"/>
      <c r="E33" s="6" t="str">
        <f t="shared" si="1"/>
        <v>6.1.3</v>
      </c>
      <c r="F33" s="6" t="s">
        <v>79</v>
      </c>
      <c r="G33" s="6" t="s">
        <v>80</v>
      </c>
      <c r="H33" s="6">
        <v>1</v>
      </c>
      <c r="I33" s="6">
        <v>3</v>
      </c>
    </row>
    <row r="34" spans="1:9" ht="120" customHeight="1">
      <c r="A34" s="6">
        <v>6</v>
      </c>
      <c r="B34" s="6"/>
      <c r="C34" s="6" t="str">
        <f t="shared" si="0"/>
        <v>6.2</v>
      </c>
      <c r="D34" s="6" t="s">
        <v>81</v>
      </c>
      <c r="E34" s="6" t="str">
        <f t="shared" si="1"/>
        <v>6.2.1</v>
      </c>
      <c r="F34" s="6" t="s">
        <v>82</v>
      </c>
      <c r="G34" s="6" t="s">
        <v>83</v>
      </c>
      <c r="H34" s="6">
        <v>2</v>
      </c>
      <c r="I34" s="6">
        <v>1</v>
      </c>
    </row>
    <row r="35" spans="1:9" ht="120" customHeight="1">
      <c r="A35" s="6">
        <v>6</v>
      </c>
      <c r="B35" s="6"/>
      <c r="C35" s="6" t="str">
        <f t="shared" si="0"/>
        <v>6.2</v>
      </c>
      <c r="D35" s="6"/>
      <c r="E35" s="6" t="str">
        <f t="shared" si="1"/>
        <v>6.2.2</v>
      </c>
      <c r="F35" s="6" t="s">
        <v>84</v>
      </c>
      <c r="G35" s="6" t="s">
        <v>85</v>
      </c>
      <c r="H35" s="6">
        <v>2</v>
      </c>
      <c r="I35" s="6">
        <v>2</v>
      </c>
    </row>
    <row r="36" spans="1:9" ht="120" customHeight="1">
      <c r="A36" s="6">
        <v>6</v>
      </c>
      <c r="B36" s="6"/>
      <c r="C36" s="6" t="str">
        <f t="shared" si="0"/>
        <v>6.2</v>
      </c>
      <c r="D36" s="6"/>
      <c r="E36" s="6" t="str">
        <f t="shared" si="1"/>
        <v>6.2.3</v>
      </c>
      <c r="F36" s="6" t="s">
        <v>86</v>
      </c>
      <c r="G36" s="6" t="s">
        <v>51</v>
      </c>
      <c r="H36" s="6">
        <v>2</v>
      </c>
      <c r="I36" s="6">
        <v>3</v>
      </c>
    </row>
    <row r="37" spans="1:9" ht="120" customHeight="1">
      <c r="A37" s="6">
        <v>7</v>
      </c>
      <c r="B37" s="6" t="s">
        <v>87</v>
      </c>
      <c r="C37" s="6" t="str">
        <f t="shared" ref="C37:C60" si="2">A37&amp;"."&amp;H37</f>
        <v>7.1</v>
      </c>
      <c r="D37" s="6" t="s">
        <v>88</v>
      </c>
      <c r="E37" s="6" t="str">
        <f t="shared" ref="E37:E60" si="3">C37&amp;"."&amp;I37</f>
        <v>7.1.1</v>
      </c>
      <c r="F37" s="6" t="s">
        <v>89</v>
      </c>
      <c r="G37" s="6" t="s">
        <v>49</v>
      </c>
      <c r="H37" s="6">
        <v>1</v>
      </c>
      <c r="I37" s="6">
        <v>1</v>
      </c>
    </row>
    <row r="38" spans="1:9" ht="120" customHeight="1">
      <c r="A38" s="6">
        <v>7</v>
      </c>
      <c r="B38" s="6"/>
      <c r="C38" s="6" t="str">
        <f t="shared" si="2"/>
        <v>7.1</v>
      </c>
      <c r="D38" s="6"/>
      <c r="E38" s="6" t="str">
        <f t="shared" si="3"/>
        <v>7.1.2</v>
      </c>
      <c r="F38" s="6" t="s">
        <v>90</v>
      </c>
      <c r="G38" s="6" t="s">
        <v>49</v>
      </c>
      <c r="H38" s="6">
        <v>1</v>
      </c>
      <c r="I38" s="6">
        <v>2</v>
      </c>
    </row>
    <row r="39" spans="1:9" ht="120" customHeight="1">
      <c r="A39" s="6">
        <v>7</v>
      </c>
      <c r="B39" s="6"/>
      <c r="C39" s="6" t="str">
        <f t="shared" si="2"/>
        <v>7.1</v>
      </c>
      <c r="D39" s="6"/>
      <c r="E39" s="6" t="str">
        <f t="shared" si="3"/>
        <v>7.1.3</v>
      </c>
      <c r="F39" s="6" t="s">
        <v>91</v>
      </c>
      <c r="G39" s="6" t="s">
        <v>92</v>
      </c>
      <c r="H39" s="6">
        <v>1</v>
      </c>
      <c r="I39" s="6">
        <v>3</v>
      </c>
    </row>
    <row r="40" spans="1:9" ht="120" customHeight="1">
      <c r="A40" s="6">
        <v>7</v>
      </c>
      <c r="B40" s="6"/>
      <c r="C40" s="6" t="str">
        <f t="shared" si="2"/>
        <v>7.2</v>
      </c>
      <c r="D40" s="6" t="s">
        <v>93</v>
      </c>
      <c r="E40" s="6" t="str">
        <f t="shared" si="3"/>
        <v>7.2.1</v>
      </c>
      <c r="F40" s="6" t="s">
        <v>94</v>
      </c>
      <c r="G40" s="6" t="s">
        <v>49</v>
      </c>
      <c r="H40" s="6">
        <v>2</v>
      </c>
      <c r="I40" s="6">
        <v>1</v>
      </c>
    </row>
    <row r="41" spans="1:9" ht="120" customHeight="1">
      <c r="A41" s="6">
        <v>7</v>
      </c>
      <c r="B41" s="6"/>
      <c r="C41" s="6" t="str">
        <f t="shared" si="2"/>
        <v>7.2</v>
      </c>
      <c r="D41" s="6"/>
      <c r="E41" s="6" t="str">
        <f t="shared" si="3"/>
        <v>7.2.2</v>
      </c>
      <c r="F41" s="6" t="s">
        <v>95</v>
      </c>
      <c r="G41" s="6" t="s">
        <v>96</v>
      </c>
      <c r="H41" s="6">
        <v>2</v>
      </c>
      <c r="I41" s="6">
        <v>2</v>
      </c>
    </row>
    <row r="42" spans="1:9" ht="120" customHeight="1">
      <c r="A42" s="6">
        <v>8</v>
      </c>
      <c r="B42" s="6" t="s">
        <v>97</v>
      </c>
      <c r="C42" s="6" t="str">
        <f t="shared" si="2"/>
        <v>8.1</v>
      </c>
      <c r="D42" s="6" t="s">
        <v>98</v>
      </c>
      <c r="E42" s="6" t="str">
        <f t="shared" si="3"/>
        <v>8.1.1</v>
      </c>
      <c r="F42" s="6" t="s">
        <v>99</v>
      </c>
      <c r="G42" s="6" t="s">
        <v>100</v>
      </c>
      <c r="H42" s="6">
        <v>1</v>
      </c>
      <c r="I42" s="6">
        <v>1</v>
      </c>
    </row>
    <row r="43" spans="1:9" ht="120" customHeight="1">
      <c r="A43" s="6">
        <v>8</v>
      </c>
      <c r="B43" s="6"/>
      <c r="C43" s="6" t="str">
        <f t="shared" si="2"/>
        <v>8.1</v>
      </c>
      <c r="D43" s="6"/>
      <c r="E43" s="6" t="str">
        <f t="shared" si="3"/>
        <v>8.1.2</v>
      </c>
      <c r="F43" s="6" t="s">
        <v>101</v>
      </c>
      <c r="G43" s="6" t="s">
        <v>102</v>
      </c>
      <c r="H43" s="6">
        <v>1</v>
      </c>
      <c r="I43" s="6">
        <v>2</v>
      </c>
    </row>
    <row r="44" spans="1:9" ht="120" customHeight="1">
      <c r="A44" s="6">
        <v>8</v>
      </c>
      <c r="B44" s="6"/>
      <c r="C44" s="6" t="str">
        <f t="shared" si="2"/>
        <v>8.1</v>
      </c>
      <c r="D44" s="6"/>
      <c r="E44" s="6" t="str">
        <f t="shared" si="3"/>
        <v>8.1.3</v>
      </c>
      <c r="F44" s="6" t="s">
        <v>103</v>
      </c>
      <c r="G44" s="6" t="s">
        <v>104</v>
      </c>
      <c r="H44" s="6">
        <v>1</v>
      </c>
      <c r="I44" s="6">
        <v>3</v>
      </c>
    </row>
    <row r="45" spans="1:9" ht="120" customHeight="1">
      <c r="A45" s="6">
        <v>9</v>
      </c>
      <c r="B45" s="6" t="s">
        <v>105</v>
      </c>
      <c r="C45" s="6" t="str">
        <f t="shared" si="2"/>
        <v>9.1</v>
      </c>
      <c r="D45" s="6" t="s">
        <v>106</v>
      </c>
      <c r="E45" s="6" t="str">
        <f t="shared" si="3"/>
        <v>9.1.1</v>
      </c>
      <c r="F45" s="6" t="s">
        <v>107</v>
      </c>
      <c r="G45" s="6" t="s">
        <v>108</v>
      </c>
      <c r="H45" s="6">
        <v>1</v>
      </c>
      <c r="I45" s="6">
        <v>1</v>
      </c>
    </row>
    <row r="46" spans="1:9" ht="120" customHeight="1">
      <c r="A46" s="6">
        <v>9</v>
      </c>
      <c r="B46" s="6"/>
      <c r="C46" s="6" t="str">
        <f t="shared" si="2"/>
        <v>9.1</v>
      </c>
      <c r="D46" s="6"/>
      <c r="E46" s="6" t="str">
        <f t="shared" si="3"/>
        <v>9.1.2</v>
      </c>
      <c r="F46" s="6" t="s">
        <v>109</v>
      </c>
      <c r="G46" s="6" t="s">
        <v>58</v>
      </c>
      <c r="H46" s="6">
        <v>1</v>
      </c>
      <c r="I46" s="6">
        <v>2</v>
      </c>
    </row>
    <row r="47" spans="1:9" ht="120" customHeight="1">
      <c r="A47" s="6">
        <v>9</v>
      </c>
      <c r="B47" s="6"/>
      <c r="C47" s="6" t="str">
        <f t="shared" si="2"/>
        <v>9.1</v>
      </c>
      <c r="D47" s="6"/>
      <c r="E47" s="6" t="str">
        <f t="shared" si="3"/>
        <v>9.1.3</v>
      </c>
      <c r="F47" s="6" t="s">
        <v>110</v>
      </c>
      <c r="G47" s="6" t="s">
        <v>111</v>
      </c>
      <c r="H47" s="6">
        <v>1</v>
      </c>
      <c r="I47" s="6">
        <v>3</v>
      </c>
    </row>
    <row r="48" spans="1:9" ht="120" customHeight="1">
      <c r="A48" s="6">
        <v>9</v>
      </c>
      <c r="B48" s="6"/>
      <c r="C48" s="6" t="str">
        <f t="shared" si="2"/>
        <v>9.2</v>
      </c>
      <c r="D48" s="6" t="s">
        <v>112</v>
      </c>
      <c r="E48" s="6" t="str">
        <f t="shared" si="3"/>
        <v>9.2.1</v>
      </c>
      <c r="F48" s="6" t="s">
        <v>113</v>
      </c>
      <c r="G48" s="6" t="s">
        <v>80</v>
      </c>
      <c r="H48" s="6">
        <v>2</v>
      </c>
      <c r="I48" s="6">
        <v>1</v>
      </c>
    </row>
    <row r="49" spans="1:9" ht="120" customHeight="1">
      <c r="A49" s="6">
        <v>9</v>
      </c>
      <c r="B49" s="6"/>
      <c r="C49" s="6" t="str">
        <f t="shared" si="2"/>
        <v>9.2</v>
      </c>
      <c r="D49" s="6"/>
      <c r="E49" s="6" t="str">
        <f t="shared" si="3"/>
        <v>9.2.2</v>
      </c>
      <c r="F49" s="6" t="s">
        <v>114</v>
      </c>
      <c r="G49" s="6" t="s">
        <v>115</v>
      </c>
      <c r="H49" s="6">
        <v>2</v>
      </c>
      <c r="I49" s="6">
        <v>2</v>
      </c>
    </row>
    <row r="50" spans="1:9" ht="120" customHeight="1">
      <c r="A50" s="6">
        <v>10</v>
      </c>
      <c r="B50" s="6" t="s">
        <v>116</v>
      </c>
      <c r="C50" s="6" t="str">
        <f t="shared" si="2"/>
        <v>10.1</v>
      </c>
      <c r="D50" s="6" t="s">
        <v>117</v>
      </c>
      <c r="E50" s="6" t="str">
        <f t="shared" si="3"/>
        <v>10.1.1</v>
      </c>
      <c r="F50" s="6" t="s">
        <v>118</v>
      </c>
      <c r="G50" s="6" t="s">
        <v>77</v>
      </c>
      <c r="H50" s="6">
        <v>1</v>
      </c>
      <c r="I50" s="6">
        <v>1</v>
      </c>
    </row>
    <row r="51" spans="1:9" ht="120" customHeight="1">
      <c r="A51" s="6">
        <v>10</v>
      </c>
      <c r="B51" s="6"/>
      <c r="C51" s="6" t="str">
        <f t="shared" si="2"/>
        <v>10.1</v>
      </c>
      <c r="D51" s="6"/>
      <c r="E51" s="6" t="str">
        <f t="shared" si="3"/>
        <v>10.1.2</v>
      </c>
      <c r="F51" s="6" t="s">
        <v>119</v>
      </c>
      <c r="G51" s="6" t="s">
        <v>58</v>
      </c>
      <c r="H51" s="6">
        <v>1</v>
      </c>
      <c r="I51" s="6">
        <v>2</v>
      </c>
    </row>
    <row r="52" spans="1:9" ht="120" customHeight="1">
      <c r="A52" s="6">
        <v>10</v>
      </c>
      <c r="B52" s="6"/>
      <c r="C52" s="6" t="str">
        <f t="shared" si="2"/>
        <v>10.1</v>
      </c>
      <c r="D52" s="6"/>
      <c r="E52" s="6" t="str">
        <f t="shared" si="3"/>
        <v>10.1.3</v>
      </c>
      <c r="F52" s="6" t="s">
        <v>120</v>
      </c>
      <c r="G52" s="6" t="s">
        <v>51</v>
      </c>
      <c r="H52" s="6">
        <v>1</v>
      </c>
      <c r="I52" s="6">
        <v>3</v>
      </c>
    </row>
    <row r="53" spans="1:9" ht="120" customHeight="1">
      <c r="A53" s="6">
        <v>10</v>
      </c>
      <c r="B53" s="6"/>
      <c r="C53" s="6" t="str">
        <f t="shared" si="2"/>
        <v>10.2</v>
      </c>
      <c r="D53" s="6" t="s">
        <v>121</v>
      </c>
      <c r="E53" s="6" t="str">
        <f t="shared" si="3"/>
        <v>10.2.1</v>
      </c>
      <c r="F53" s="6" t="s">
        <v>122</v>
      </c>
      <c r="G53" s="6" t="s">
        <v>123</v>
      </c>
      <c r="H53" s="6">
        <v>2</v>
      </c>
      <c r="I53" s="6">
        <v>1</v>
      </c>
    </row>
    <row r="54" spans="1:9" ht="120" customHeight="1">
      <c r="A54" s="6">
        <v>10</v>
      </c>
      <c r="B54" s="6"/>
      <c r="C54" s="6" t="str">
        <f t="shared" si="2"/>
        <v>10.2</v>
      </c>
      <c r="D54" s="6"/>
      <c r="E54" s="6" t="str">
        <f t="shared" si="3"/>
        <v>10.2.2</v>
      </c>
      <c r="F54" s="6" t="s">
        <v>124</v>
      </c>
      <c r="G54" s="6" t="s">
        <v>24</v>
      </c>
      <c r="H54" s="6">
        <v>2</v>
      </c>
      <c r="I54" s="6">
        <v>2</v>
      </c>
    </row>
    <row r="55" spans="1:9" ht="56">
      <c r="A55" s="6">
        <v>11</v>
      </c>
      <c r="B55" s="6" t="s">
        <v>456</v>
      </c>
      <c r="C55" s="6" t="str">
        <f t="shared" si="2"/>
        <v>11.1</v>
      </c>
      <c r="D55" s="6" t="s">
        <v>125</v>
      </c>
      <c r="E55" s="6" t="str">
        <f t="shared" si="3"/>
        <v>11.1.1</v>
      </c>
      <c r="F55" s="6" t="s">
        <v>126</v>
      </c>
      <c r="G55" s="6" t="s">
        <v>127</v>
      </c>
      <c r="H55" s="6">
        <v>1</v>
      </c>
      <c r="I55" s="6">
        <v>1</v>
      </c>
    </row>
    <row r="56" spans="1:9" ht="120" customHeight="1">
      <c r="A56" s="6">
        <v>11</v>
      </c>
      <c r="B56" s="6"/>
      <c r="C56" s="6" t="str">
        <f t="shared" si="2"/>
        <v>11.1</v>
      </c>
      <c r="D56" s="6"/>
      <c r="E56" s="6" t="str">
        <f t="shared" si="3"/>
        <v>11.1.2</v>
      </c>
      <c r="F56" s="6" t="s">
        <v>128</v>
      </c>
      <c r="G56" s="6" t="s">
        <v>129</v>
      </c>
      <c r="H56" s="6">
        <v>1</v>
      </c>
      <c r="I56" s="6">
        <v>2</v>
      </c>
    </row>
    <row r="57" spans="1:9" ht="120" customHeight="1">
      <c r="A57" s="6">
        <v>11</v>
      </c>
      <c r="B57" s="6"/>
      <c r="C57" s="6" t="str">
        <f t="shared" si="2"/>
        <v>11.1</v>
      </c>
      <c r="D57" s="6"/>
      <c r="E57" s="6" t="str">
        <f t="shared" si="3"/>
        <v>11.1.3</v>
      </c>
      <c r="F57" s="6" t="s">
        <v>130</v>
      </c>
      <c r="G57" s="6" t="s">
        <v>131</v>
      </c>
      <c r="H57" s="6">
        <v>1</v>
      </c>
      <c r="I57" s="6">
        <v>3</v>
      </c>
    </row>
    <row r="58" spans="1:9" ht="120" customHeight="1">
      <c r="A58" s="6">
        <v>11</v>
      </c>
      <c r="B58" s="6"/>
      <c r="C58" s="6" t="str">
        <f t="shared" si="2"/>
        <v>11.2</v>
      </c>
      <c r="D58" s="6" t="s">
        <v>132</v>
      </c>
      <c r="E58" s="6" t="str">
        <f t="shared" si="3"/>
        <v>11.2.1</v>
      </c>
      <c r="F58" s="6" t="s">
        <v>133</v>
      </c>
      <c r="G58" s="6" t="s">
        <v>131</v>
      </c>
      <c r="H58" s="6">
        <v>2</v>
      </c>
      <c r="I58" s="6">
        <v>1</v>
      </c>
    </row>
    <row r="59" spans="1:9" ht="120" customHeight="1">
      <c r="A59" s="6">
        <v>11</v>
      </c>
      <c r="B59" s="6"/>
      <c r="C59" s="6" t="str">
        <f t="shared" si="2"/>
        <v>11.2</v>
      </c>
      <c r="D59" s="6"/>
      <c r="E59" s="6" t="str">
        <f t="shared" si="3"/>
        <v>11.2.2</v>
      </c>
      <c r="F59" s="6" t="s">
        <v>134</v>
      </c>
      <c r="G59" s="6" t="s">
        <v>135</v>
      </c>
      <c r="H59" s="6">
        <v>2</v>
      </c>
      <c r="I59" s="6">
        <v>2</v>
      </c>
    </row>
    <row r="60" spans="1:9" ht="120" customHeight="1">
      <c r="A60" s="6">
        <v>11</v>
      </c>
      <c r="B60" s="6"/>
      <c r="C60" s="6" t="str">
        <f t="shared" si="2"/>
        <v>11.2</v>
      </c>
      <c r="D60" s="6"/>
      <c r="E60" s="6" t="str">
        <f t="shared" si="3"/>
        <v>11.2.3</v>
      </c>
      <c r="F60" s="6" t="s">
        <v>136</v>
      </c>
      <c r="G60" s="6" t="s">
        <v>129</v>
      </c>
      <c r="H60" s="6">
        <v>2</v>
      </c>
      <c r="I60" s="6">
        <v>3</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topLeftCell="A25" zoomScale="70" zoomScaleNormal="70" workbookViewId="0">
      <selection activeCell="G26" sqref="G26"/>
    </sheetView>
  </sheetViews>
  <sheetFormatPr defaultColWidth="8.6328125" defaultRowHeight="14.5"/>
  <cols>
    <col min="1" max="1" width="7" customWidth="1"/>
    <col min="2" max="2" width="22" customWidth="1"/>
    <col min="3" max="3" width="60.54296875" customWidth="1"/>
    <col min="4" max="4" width="87.26953125" customWidth="1"/>
    <col min="5" max="5" width="75.54296875" customWidth="1"/>
    <col min="6" max="6" width="56" customWidth="1"/>
    <col min="7" max="7" width="74.7265625" customWidth="1"/>
    <col min="8" max="8" width="55.7265625" customWidth="1"/>
    <col min="9" max="10" width="14" customWidth="1"/>
    <col min="11" max="11" width="18" customWidth="1"/>
  </cols>
  <sheetData>
    <row r="1" spans="1:11" ht="30" customHeight="1">
      <c r="A1" s="2" t="s">
        <v>275</v>
      </c>
      <c r="B1" s="2"/>
      <c r="C1" s="2"/>
      <c r="D1" s="2"/>
      <c r="E1" s="2"/>
      <c r="F1" s="2"/>
      <c r="G1" s="2"/>
      <c r="H1" s="2"/>
      <c r="I1" s="2"/>
      <c r="J1" s="2"/>
      <c r="K1" s="2"/>
    </row>
    <row r="2" spans="1:11" ht="19.5" customHeight="1">
      <c r="A2" s="1" t="s">
        <v>276</v>
      </c>
      <c r="B2" s="1"/>
      <c r="C2" s="1"/>
      <c r="D2" s="1"/>
      <c r="E2" s="1"/>
      <c r="F2" s="1"/>
      <c r="G2" s="1"/>
      <c r="H2" s="1"/>
      <c r="I2" s="1"/>
      <c r="J2" s="1"/>
      <c r="K2" s="1"/>
    </row>
    <row r="3" spans="1:11" ht="24" customHeight="1">
      <c r="A3" s="8" t="s">
        <v>277</v>
      </c>
      <c r="B3" s="8" t="s">
        <v>278</v>
      </c>
      <c r="C3" s="8" t="s">
        <v>279</v>
      </c>
      <c r="D3" s="8" t="s">
        <v>280</v>
      </c>
      <c r="E3" s="8" t="s">
        <v>281</v>
      </c>
      <c r="F3" s="8" t="s">
        <v>282</v>
      </c>
    </row>
    <row r="4" spans="1:11" ht="19.5" customHeight="1">
      <c r="A4" s="8" t="s">
        <v>283</v>
      </c>
      <c r="B4" s="9" t="s">
        <v>284</v>
      </c>
      <c r="C4" s="10" t="s">
        <v>285</v>
      </c>
      <c r="D4" s="11" t="s">
        <v>286</v>
      </c>
      <c r="E4" s="12" t="s">
        <v>287</v>
      </c>
      <c r="F4" s="12" t="s">
        <v>288</v>
      </c>
    </row>
    <row r="5" spans="1:11" ht="19.5" customHeight="1">
      <c r="A5" s="8" t="s">
        <v>289</v>
      </c>
      <c r="B5" s="9" t="s">
        <v>290</v>
      </c>
      <c r="C5" s="9" t="s">
        <v>291</v>
      </c>
      <c r="D5" s="10" t="s">
        <v>292</v>
      </c>
      <c r="E5" s="11" t="s">
        <v>293</v>
      </c>
      <c r="F5" s="12" t="s">
        <v>294</v>
      </c>
    </row>
    <row r="6" spans="1:11" ht="19.5" customHeight="1">
      <c r="A6" s="8" t="s">
        <v>295</v>
      </c>
      <c r="B6" s="9" t="s">
        <v>296</v>
      </c>
      <c r="C6" s="9" t="s">
        <v>297</v>
      </c>
      <c r="D6" s="10" t="s">
        <v>298</v>
      </c>
      <c r="E6" s="10" t="s">
        <v>299</v>
      </c>
      <c r="F6" s="11" t="s">
        <v>300</v>
      </c>
    </row>
    <row r="7" spans="1:11" ht="19.5" customHeight="1">
      <c r="A7" s="8" t="s">
        <v>301</v>
      </c>
      <c r="B7" s="9" t="s">
        <v>302</v>
      </c>
      <c r="C7" s="9" t="s">
        <v>303</v>
      </c>
      <c r="D7" s="9" t="s">
        <v>304</v>
      </c>
      <c r="E7" s="10" t="s">
        <v>305</v>
      </c>
      <c r="F7" s="10" t="s">
        <v>306</v>
      </c>
    </row>
    <row r="8" spans="1:11" ht="19.5" customHeight="1">
      <c r="A8" s="8" t="s">
        <v>307</v>
      </c>
      <c r="B8" s="9" t="s">
        <v>308</v>
      </c>
      <c r="C8" s="9" t="s">
        <v>309</v>
      </c>
      <c r="D8" s="9" t="s">
        <v>310</v>
      </c>
      <c r="E8" s="9" t="s">
        <v>311</v>
      </c>
      <c r="F8" s="9" t="s">
        <v>312</v>
      </c>
    </row>
    <row r="9" spans="1:11" ht="6" customHeight="1"/>
    <row r="10" spans="1:11" ht="49.5" customHeight="1">
      <c r="A10" s="8" t="s">
        <v>313</v>
      </c>
      <c r="B10" s="8" t="s">
        <v>314</v>
      </c>
      <c r="C10" s="8" t="s">
        <v>315</v>
      </c>
      <c r="D10" s="8" t="s">
        <v>316</v>
      </c>
      <c r="E10" s="8" t="s">
        <v>317</v>
      </c>
      <c r="F10" s="8" t="s">
        <v>318</v>
      </c>
      <c r="G10" s="8" t="s">
        <v>319</v>
      </c>
      <c r="H10" s="8" t="s">
        <v>320</v>
      </c>
      <c r="I10" s="8" t="s">
        <v>321</v>
      </c>
      <c r="J10" s="8" t="s">
        <v>322</v>
      </c>
      <c r="K10" s="8" t="s">
        <v>323</v>
      </c>
    </row>
    <row r="11" spans="1:11" ht="110.5" customHeight="1">
      <c r="A11" s="13" t="s">
        <v>324</v>
      </c>
      <c r="B11" s="14" t="s">
        <v>325</v>
      </c>
      <c r="C11" s="13" t="s">
        <v>326</v>
      </c>
      <c r="D11" s="13" t="s">
        <v>327</v>
      </c>
      <c r="E11" s="13" t="s">
        <v>328</v>
      </c>
      <c r="F11" s="13" t="s">
        <v>329</v>
      </c>
      <c r="G11" s="13" t="s">
        <v>330</v>
      </c>
      <c r="H11" s="13" t="s">
        <v>331</v>
      </c>
      <c r="I11" s="15">
        <v>4</v>
      </c>
      <c r="J11" s="15" t="s">
        <v>333</v>
      </c>
      <c r="K11" s="16" t="str">
        <f t="shared" ref="K11:K26" si="0">I11&amp;J11</f>
        <v>4C</v>
      </c>
    </row>
    <row r="12" spans="1:11" ht="109.5" customHeight="1">
      <c r="A12" s="13" t="s">
        <v>334</v>
      </c>
      <c r="B12" s="14" t="s">
        <v>335</v>
      </c>
      <c r="C12" s="13" t="s">
        <v>336</v>
      </c>
      <c r="D12" s="13" t="s">
        <v>337</v>
      </c>
      <c r="E12" s="13" t="s">
        <v>338</v>
      </c>
      <c r="F12" s="13" t="s">
        <v>339</v>
      </c>
      <c r="G12" s="13" t="s">
        <v>340</v>
      </c>
      <c r="H12" s="13" t="s">
        <v>341</v>
      </c>
      <c r="I12" s="15" t="s">
        <v>342</v>
      </c>
      <c r="J12" s="15" t="s">
        <v>343</v>
      </c>
      <c r="K12" s="16" t="str">
        <f t="shared" si="0"/>
        <v>2E</v>
      </c>
    </row>
    <row r="13" spans="1:11" ht="109.5" customHeight="1">
      <c r="A13" s="13" t="s">
        <v>344</v>
      </c>
      <c r="B13" s="14" t="s">
        <v>345</v>
      </c>
      <c r="C13" s="13" t="s">
        <v>346</v>
      </c>
      <c r="D13" s="13" t="s">
        <v>347</v>
      </c>
      <c r="E13" s="13" t="s">
        <v>348</v>
      </c>
      <c r="F13" s="13" t="s">
        <v>349</v>
      </c>
      <c r="G13" s="13" t="s">
        <v>350</v>
      </c>
      <c r="H13" s="13" t="s">
        <v>351</v>
      </c>
      <c r="I13" s="15" t="s">
        <v>352</v>
      </c>
      <c r="J13" s="15" t="s">
        <v>333</v>
      </c>
      <c r="K13" s="16" t="str">
        <f t="shared" si="0"/>
        <v>4C</v>
      </c>
    </row>
    <row r="14" spans="1:11" ht="109.5" customHeight="1">
      <c r="A14" s="13" t="s">
        <v>353</v>
      </c>
      <c r="B14" s="14" t="s">
        <v>345</v>
      </c>
      <c r="C14" s="13" t="s">
        <v>354</v>
      </c>
      <c r="D14" s="13" t="s">
        <v>355</v>
      </c>
      <c r="E14" s="13" t="s">
        <v>356</v>
      </c>
      <c r="F14" s="13" t="s">
        <v>357</v>
      </c>
      <c r="G14" s="13" t="s">
        <v>358</v>
      </c>
      <c r="H14" s="13" t="s">
        <v>359</v>
      </c>
      <c r="I14" s="15" t="s">
        <v>332</v>
      </c>
      <c r="J14" s="15" t="s">
        <v>360</v>
      </c>
      <c r="K14" s="16" t="str">
        <f t="shared" si="0"/>
        <v>3D</v>
      </c>
    </row>
    <row r="15" spans="1:11" ht="109.5" customHeight="1">
      <c r="A15" s="13" t="s">
        <v>361</v>
      </c>
      <c r="B15" s="14" t="s">
        <v>362</v>
      </c>
      <c r="C15" s="13" t="s">
        <v>363</v>
      </c>
      <c r="D15" s="13" t="s">
        <v>364</v>
      </c>
      <c r="E15" s="13" t="s">
        <v>365</v>
      </c>
      <c r="F15" s="13" t="s">
        <v>366</v>
      </c>
      <c r="G15" s="13" t="s">
        <v>367</v>
      </c>
      <c r="H15" s="13" t="s">
        <v>368</v>
      </c>
      <c r="I15" s="15" t="s">
        <v>352</v>
      </c>
      <c r="J15" s="15" t="s">
        <v>369</v>
      </c>
      <c r="K15" s="17" t="str">
        <f t="shared" si="0"/>
        <v>4B</v>
      </c>
    </row>
    <row r="16" spans="1:11" ht="109.5" customHeight="1">
      <c r="A16" s="13" t="s">
        <v>370</v>
      </c>
      <c r="B16" s="14" t="s">
        <v>371</v>
      </c>
      <c r="C16" s="13" t="s">
        <v>372</v>
      </c>
      <c r="D16" s="13" t="s">
        <v>373</v>
      </c>
      <c r="E16" s="13" t="s">
        <v>374</v>
      </c>
      <c r="F16" s="13" t="s">
        <v>375</v>
      </c>
      <c r="G16" s="13" t="s">
        <v>376</v>
      </c>
      <c r="H16" s="13" t="s">
        <v>377</v>
      </c>
      <c r="I16" s="15" t="s">
        <v>352</v>
      </c>
      <c r="J16" s="15" t="s">
        <v>360</v>
      </c>
      <c r="K16" s="18" t="str">
        <f t="shared" si="0"/>
        <v>4D</v>
      </c>
    </row>
    <row r="17" spans="1:11" ht="109.5" customHeight="1">
      <c r="A17" s="13" t="s">
        <v>378</v>
      </c>
      <c r="B17" s="14" t="s">
        <v>371</v>
      </c>
      <c r="C17" s="13" t="s">
        <v>379</v>
      </c>
      <c r="D17" s="13" t="s">
        <v>380</v>
      </c>
      <c r="E17" s="13" t="s">
        <v>381</v>
      </c>
      <c r="F17" s="13" t="s">
        <v>382</v>
      </c>
      <c r="G17" s="13" t="s">
        <v>383</v>
      </c>
      <c r="H17" s="13" t="s">
        <v>384</v>
      </c>
      <c r="I17" s="15" t="s">
        <v>332</v>
      </c>
      <c r="J17" s="15" t="s">
        <v>333</v>
      </c>
      <c r="K17" s="16" t="str">
        <f t="shared" si="0"/>
        <v>3C</v>
      </c>
    </row>
    <row r="18" spans="1:11" ht="109.5" customHeight="1">
      <c r="A18" s="13" t="s">
        <v>385</v>
      </c>
      <c r="B18" s="14" t="s">
        <v>386</v>
      </c>
      <c r="C18" s="13" t="s">
        <v>387</v>
      </c>
      <c r="D18" s="13" t="s">
        <v>388</v>
      </c>
      <c r="E18" s="13" t="s">
        <v>389</v>
      </c>
      <c r="F18" s="13" t="s">
        <v>390</v>
      </c>
      <c r="G18" s="13" t="s">
        <v>391</v>
      </c>
      <c r="H18" s="13" t="s">
        <v>392</v>
      </c>
      <c r="I18" s="15" t="s">
        <v>332</v>
      </c>
      <c r="J18" s="15" t="s">
        <v>333</v>
      </c>
      <c r="K18" s="16" t="str">
        <f t="shared" si="0"/>
        <v>3C</v>
      </c>
    </row>
    <row r="19" spans="1:11" ht="109.5" customHeight="1">
      <c r="A19" s="13" t="s">
        <v>393</v>
      </c>
      <c r="B19" s="14" t="s">
        <v>394</v>
      </c>
      <c r="C19" s="13" t="s">
        <v>459</v>
      </c>
      <c r="D19" s="13" t="s">
        <v>395</v>
      </c>
      <c r="E19" s="13" t="s">
        <v>396</v>
      </c>
      <c r="F19" s="13" t="s">
        <v>397</v>
      </c>
      <c r="G19" s="13" t="s">
        <v>398</v>
      </c>
      <c r="H19" s="13" t="s">
        <v>399</v>
      </c>
      <c r="I19" s="15" t="s">
        <v>352</v>
      </c>
      <c r="J19" s="15" t="s">
        <v>360</v>
      </c>
      <c r="K19" s="18" t="str">
        <f t="shared" si="0"/>
        <v>4D</v>
      </c>
    </row>
    <row r="20" spans="1:11" ht="109.5" customHeight="1">
      <c r="A20" s="13" t="s">
        <v>400</v>
      </c>
      <c r="B20" s="14" t="s">
        <v>401</v>
      </c>
      <c r="C20" s="13" t="s">
        <v>402</v>
      </c>
      <c r="D20" s="13" t="s">
        <v>403</v>
      </c>
      <c r="E20" s="13" t="s">
        <v>404</v>
      </c>
      <c r="F20" s="13" t="s">
        <v>405</v>
      </c>
      <c r="G20" s="13" t="s">
        <v>406</v>
      </c>
      <c r="H20" s="13" t="s">
        <v>407</v>
      </c>
      <c r="I20" s="15" t="s">
        <v>332</v>
      </c>
      <c r="J20" s="15" t="s">
        <v>360</v>
      </c>
      <c r="K20" s="16" t="str">
        <f t="shared" si="0"/>
        <v>3D</v>
      </c>
    </row>
    <row r="21" spans="1:11" ht="109.5" customHeight="1">
      <c r="A21" s="13" t="s">
        <v>408</v>
      </c>
      <c r="B21" s="14" t="s">
        <v>409</v>
      </c>
      <c r="C21" s="13" t="s">
        <v>410</v>
      </c>
      <c r="D21" s="13" t="s">
        <v>411</v>
      </c>
      <c r="E21" s="13" t="s">
        <v>412</v>
      </c>
      <c r="F21" s="13" t="s">
        <v>413</v>
      </c>
      <c r="G21" s="13" t="s">
        <v>414</v>
      </c>
      <c r="H21" s="13" t="s">
        <v>415</v>
      </c>
      <c r="I21" s="15" t="s">
        <v>332</v>
      </c>
      <c r="J21" s="15" t="s">
        <v>360</v>
      </c>
      <c r="K21" s="16" t="str">
        <f t="shared" si="0"/>
        <v>3D</v>
      </c>
    </row>
    <row r="22" spans="1:11" ht="109.5" customHeight="1">
      <c r="A22" s="13" t="s">
        <v>416</v>
      </c>
      <c r="B22" s="14" t="s">
        <v>417</v>
      </c>
      <c r="C22" s="13" t="s">
        <v>418</v>
      </c>
      <c r="D22" s="13" t="s">
        <v>419</v>
      </c>
      <c r="E22" s="13" t="s">
        <v>420</v>
      </c>
      <c r="F22" s="13" t="s">
        <v>421</v>
      </c>
      <c r="G22" s="13" t="s">
        <v>422</v>
      </c>
      <c r="H22" s="13" t="s">
        <v>423</v>
      </c>
      <c r="I22" s="15" t="s">
        <v>332</v>
      </c>
      <c r="J22" s="15" t="s">
        <v>333</v>
      </c>
      <c r="K22" s="16" t="str">
        <f t="shared" si="0"/>
        <v>3C</v>
      </c>
    </row>
    <row r="23" spans="1:11" ht="109.5" customHeight="1">
      <c r="A23" s="13" t="s">
        <v>424</v>
      </c>
      <c r="B23" s="14" t="s">
        <v>425</v>
      </c>
      <c r="C23" s="13" t="s">
        <v>426</v>
      </c>
      <c r="D23" s="13" t="s">
        <v>427</v>
      </c>
      <c r="E23" s="13" t="s">
        <v>428</v>
      </c>
      <c r="F23" s="13" t="s">
        <v>429</v>
      </c>
      <c r="G23" s="13" t="s">
        <v>430</v>
      </c>
      <c r="H23" s="13" t="s">
        <v>431</v>
      </c>
      <c r="I23" s="15" t="s">
        <v>342</v>
      </c>
      <c r="J23" s="15" t="s">
        <v>343</v>
      </c>
      <c r="K23" s="16" t="str">
        <f t="shared" si="0"/>
        <v>2E</v>
      </c>
    </row>
    <row r="24" spans="1:11" ht="109.5" customHeight="1">
      <c r="A24" s="13" t="s">
        <v>432</v>
      </c>
      <c r="B24" s="14" t="s">
        <v>433</v>
      </c>
      <c r="C24" s="13" t="s">
        <v>434</v>
      </c>
      <c r="D24" s="13" t="s">
        <v>435</v>
      </c>
      <c r="E24" s="13" t="s">
        <v>436</v>
      </c>
      <c r="F24" s="13" t="s">
        <v>437</v>
      </c>
      <c r="G24" s="13" t="s">
        <v>438</v>
      </c>
      <c r="H24" s="13" t="s">
        <v>439</v>
      </c>
      <c r="I24" s="15" t="s">
        <v>332</v>
      </c>
      <c r="J24" s="15" t="s">
        <v>333</v>
      </c>
      <c r="K24" s="16" t="str">
        <f t="shared" si="0"/>
        <v>3C</v>
      </c>
    </row>
    <row r="25" spans="1:11" ht="109.5" customHeight="1">
      <c r="A25" s="13" t="s">
        <v>440</v>
      </c>
      <c r="B25" s="14" t="s">
        <v>441</v>
      </c>
      <c r="C25" s="13" t="s">
        <v>442</v>
      </c>
      <c r="D25" s="13" t="s">
        <v>443</v>
      </c>
      <c r="E25" s="13" t="s">
        <v>444</v>
      </c>
      <c r="F25" s="13" t="s">
        <v>445</v>
      </c>
      <c r="G25" s="13" t="s">
        <v>446</v>
      </c>
      <c r="H25" s="13" t="s">
        <v>447</v>
      </c>
      <c r="I25" s="15" t="s">
        <v>332</v>
      </c>
      <c r="J25" s="15" t="s">
        <v>333</v>
      </c>
      <c r="K25" s="16" t="str">
        <f t="shared" si="0"/>
        <v>3C</v>
      </c>
    </row>
    <row r="26" spans="1:11" ht="109.5" customHeight="1">
      <c r="A26" s="13" t="s">
        <v>448</v>
      </c>
      <c r="B26" s="14" t="s">
        <v>449</v>
      </c>
      <c r="C26" s="13" t="s">
        <v>450</v>
      </c>
      <c r="D26" s="13" t="s">
        <v>451</v>
      </c>
      <c r="E26" s="13" t="s">
        <v>452</v>
      </c>
      <c r="F26" s="13" t="s">
        <v>453</v>
      </c>
      <c r="G26" s="13" t="s">
        <v>454</v>
      </c>
      <c r="H26" s="13" t="s">
        <v>455</v>
      </c>
      <c r="I26" s="15" t="s">
        <v>332</v>
      </c>
      <c r="J26" s="15" t="s">
        <v>333</v>
      </c>
      <c r="K26" s="16" t="str">
        <f t="shared" si="0"/>
        <v>3C</v>
      </c>
    </row>
    <row r="27" spans="1:11">
      <c r="C27" s="13" t="s">
        <v>460</v>
      </c>
      <c r="I27">
        <v>5</v>
      </c>
      <c r="J27" s="15" t="s">
        <v>461</v>
      </c>
      <c r="K27" t="s">
        <v>462</v>
      </c>
    </row>
  </sheetData>
  <mergeCells count="2">
    <mergeCell ref="A1:K1"/>
    <mergeCell ref="A2:K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C53A1-AF39-4D51-9ACC-61F2601C45CA}">
  <dimension ref="A1:Z75"/>
  <sheetViews>
    <sheetView tabSelected="1" zoomScale="70" zoomScaleNormal="70" workbookViewId="0">
      <selection sqref="A1:XFD1048576"/>
    </sheetView>
  </sheetViews>
  <sheetFormatPr defaultRowHeight="14.5"/>
  <cols>
    <col min="1" max="1" width="4.36328125" customWidth="1"/>
    <col min="2" max="8" width="13.08984375" customWidth="1"/>
    <col min="9" max="10" width="4.36328125" customWidth="1"/>
    <col min="11" max="16" width="13.08984375" customWidth="1"/>
    <col min="17" max="20" width="4.36328125" customWidth="1"/>
    <col min="21" max="26" width="13.08984375" customWidth="1"/>
  </cols>
  <sheetData>
    <row r="1" spans="1:26" ht="16" customHeight="1">
      <c r="A1" s="20" t="s">
        <v>463</v>
      </c>
      <c r="B1" s="21"/>
      <c r="C1" s="21"/>
      <c r="D1" s="21"/>
      <c r="E1" s="21"/>
      <c r="F1" s="21"/>
      <c r="G1" s="21"/>
      <c r="H1" s="21"/>
      <c r="I1" s="21"/>
      <c r="J1" s="21"/>
      <c r="K1" s="21"/>
      <c r="L1" s="21"/>
      <c r="M1" s="21"/>
      <c r="N1" s="21"/>
      <c r="O1" s="21"/>
      <c r="P1" s="21"/>
      <c r="Q1" s="21"/>
      <c r="R1" s="21"/>
      <c r="S1" s="21"/>
      <c r="T1" s="21"/>
      <c r="U1" s="21"/>
      <c r="V1" s="21"/>
      <c r="W1" s="21"/>
      <c r="X1" s="21"/>
      <c r="Y1" s="21"/>
      <c r="Z1" s="21"/>
    </row>
    <row r="2" spans="1:26" ht="16" customHeight="1">
      <c r="A2" s="21"/>
      <c r="B2" s="21"/>
      <c r="C2" s="21"/>
      <c r="D2" s="21"/>
      <c r="E2" s="21"/>
      <c r="F2" s="21"/>
      <c r="G2" s="21"/>
      <c r="H2" s="21"/>
      <c r="I2" s="21"/>
      <c r="J2" s="21"/>
      <c r="K2" s="21"/>
      <c r="L2" s="21"/>
      <c r="M2" s="21"/>
      <c r="N2" s="21"/>
      <c r="O2" s="21"/>
      <c r="P2" s="21"/>
      <c r="Q2" s="21"/>
      <c r="R2" s="21"/>
      <c r="S2" s="21"/>
      <c r="T2" s="21"/>
      <c r="U2" s="21"/>
      <c r="V2" s="21"/>
      <c r="W2" s="21"/>
      <c r="X2" s="21"/>
      <c r="Y2" s="21"/>
      <c r="Z2" s="21"/>
    </row>
    <row r="3" spans="1:26" ht="16" customHeight="1">
      <c r="A3" s="22"/>
      <c r="B3" s="22"/>
      <c r="C3" s="22"/>
      <c r="D3" s="22"/>
      <c r="E3" s="22"/>
      <c r="F3" s="22"/>
      <c r="G3" s="22"/>
      <c r="H3" s="22"/>
      <c r="I3" s="22"/>
      <c r="J3" s="22"/>
      <c r="K3" s="22"/>
      <c r="L3" s="22"/>
      <c r="M3" s="22"/>
      <c r="N3" s="22"/>
      <c r="O3" s="22"/>
      <c r="P3" s="22"/>
      <c r="Q3" s="22"/>
      <c r="R3" s="22"/>
      <c r="S3" s="22"/>
      <c r="T3" s="22"/>
      <c r="U3" s="22"/>
      <c r="V3" s="22"/>
      <c r="W3" s="22"/>
      <c r="X3" s="22"/>
      <c r="Y3" s="22"/>
      <c r="Z3" s="22"/>
    </row>
    <row r="4" spans="1:26" ht="16" customHeight="1">
      <c r="A4" s="23" t="s">
        <v>464</v>
      </c>
      <c r="B4" s="21"/>
      <c r="C4" s="21"/>
      <c r="D4" s="21"/>
      <c r="E4" s="21"/>
      <c r="F4" s="21"/>
      <c r="G4" s="21"/>
      <c r="H4" s="21"/>
      <c r="I4" s="22"/>
      <c r="J4" s="22"/>
      <c r="K4" s="22"/>
      <c r="L4" s="22"/>
      <c r="M4" s="22"/>
      <c r="N4" s="22"/>
      <c r="O4" s="22"/>
      <c r="P4" s="22"/>
      <c r="Q4" s="22"/>
      <c r="R4" s="23" t="s">
        <v>465</v>
      </c>
      <c r="S4" s="21"/>
      <c r="T4" s="21"/>
      <c r="U4" s="21"/>
      <c r="V4" s="21"/>
      <c r="W4" s="21"/>
      <c r="X4" s="21"/>
      <c r="Y4" s="21"/>
      <c r="Z4" s="21"/>
    </row>
    <row r="5" spans="1:26" ht="16" customHeight="1">
      <c r="A5" s="21"/>
      <c r="B5" s="21"/>
      <c r="C5" s="21"/>
      <c r="D5" s="21"/>
      <c r="E5" s="21"/>
      <c r="F5" s="21"/>
      <c r="G5" s="21"/>
      <c r="H5" s="21"/>
      <c r="I5" s="22"/>
      <c r="J5" s="22"/>
      <c r="K5" s="22"/>
      <c r="L5" s="22"/>
      <c r="M5" s="22"/>
      <c r="N5" s="22"/>
      <c r="O5" s="22"/>
      <c r="P5" s="22"/>
      <c r="Q5" s="22"/>
      <c r="R5" s="21"/>
      <c r="S5" s="21"/>
      <c r="T5" s="21"/>
      <c r="U5" s="21"/>
      <c r="V5" s="21"/>
      <c r="W5" s="21"/>
      <c r="X5" s="21"/>
      <c r="Y5" s="21"/>
      <c r="Z5" s="21"/>
    </row>
    <row r="6" spans="1:26" ht="16" customHeight="1">
      <c r="A6" s="22"/>
      <c r="B6" s="22"/>
      <c r="C6" s="22"/>
      <c r="D6" s="22"/>
      <c r="E6" s="22"/>
      <c r="F6" s="22"/>
      <c r="G6" s="22"/>
      <c r="H6" s="22"/>
      <c r="I6" s="22"/>
      <c r="J6" s="22"/>
      <c r="K6" s="22"/>
      <c r="L6" s="22"/>
      <c r="M6" s="22"/>
      <c r="N6" s="22"/>
      <c r="O6" s="22"/>
      <c r="P6" s="22"/>
      <c r="Q6" s="22"/>
      <c r="R6" s="22"/>
      <c r="S6" s="22"/>
      <c r="T6" s="22"/>
      <c r="U6" s="22"/>
      <c r="V6" s="22"/>
      <c r="W6" s="22"/>
      <c r="X6" s="22"/>
      <c r="Y6" s="22"/>
      <c r="Z6" s="22"/>
    </row>
    <row r="7" spans="1:26" ht="16" customHeight="1">
      <c r="A7" s="24" t="s">
        <v>160</v>
      </c>
      <c r="B7" s="25" t="s">
        <v>466</v>
      </c>
      <c r="C7" s="21"/>
      <c r="D7" s="21"/>
      <c r="E7" s="21"/>
      <c r="F7" s="21"/>
      <c r="G7" s="21"/>
      <c r="H7" s="21"/>
      <c r="I7" s="22"/>
      <c r="J7" s="22"/>
      <c r="K7" s="22"/>
      <c r="L7" s="22"/>
      <c r="M7" s="22"/>
      <c r="N7" s="22"/>
      <c r="O7" s="22"/>
      <c r="P7" s="22"/>
      <c r="Q7" s="22"/>
      <c r="R7" s="24" t="s">
        <v>160</v>
      </c>
      <c r="S7" s="26" t="s">
        <v>467</v>
      </c>
      <c r="T7" s="21"/>
      <c r="U7" s="21"/>
      <c r="V7" s="21"/>
      <c r="W7" s="21"/>
      <c r="X7" s="21"/>
      <c r="Y7" s="21"/>
      <c r="Z7" s="22"/>
    </row>
    <row r="8" spans="1:26" ht="16" customHeight="1">
      <c r="A8" s="22"/>
      <c r="B8" s="22"/>
      <c r="C8" s="22"/>
      <c r="D8" s="22"/>
      <c r="E8" s="22"/>
      <c r="F8" s="22"/>
      <c r="G8" s="22"/>
      <c r="H8" s="22"/>
      <c r="I8" s="27"/>
      <c r="J8" s="22"/>
      <c r="K8" s="22"/>
      <c r="L8" s="22"/>
      <c r="M8" s="22"/>
      <c r="N8" s="22"/>
      <c r="O8" s="22"/>
      <c r="P8" s="22"/>
      <c r="Q8" s="27"/>
      <c r="R8" s="22"/>
      <c r="S8" s="21"/>
      <c r="T8" s="21"/>
      <c r="U8" s="21"/>
      <c r="V8" s="21"/>
      <c r="W8" s="21"/>
      <c r="X8" s="21"/>
      <c r="Y8" s="21"/>
      <c r="Z8" s="22"/>
    </row>
    <row r="9" spans="1:26" ht="16" customHeight="1">
      <c r="A9" s="24" t="s">
        <v>342</v>
      </c>
      <c r="B9" s="26" t="s">
        <v>468</v>
      </c>
      <c r="C9" s="21"/>
      <c r="D9" s="21"/>
      <c r="E9" s="21"/>
      <c r="F9" s="21"/>
      <c r="G9" s="21"/>
      <c r="H9" s="21"/>
      <c r="I9" s="21"/>
      <c r="J9" s="22"/>
      <c r="K9" s="22"/>
      <c r="L9" s="22"/>
      <c r="M9" s="22"/>
      <c r="N9" s="22"/>
      <c r="O9" s="22"/>
      <c r="P9" s="22"/>
      <c r="Q9" s="21"/>
      <c r="R9" s="22"/>
      <c r="S9" s="21"/>
      <c r="T9" s="21"/>
      <c r="U9" s="21"/>
      <c r="V9" s="21"/>
      <c r="W9" s="21"/>
      <c r="X9" s="21"/>
      <c r="Y9" s="21"/>
      <c r="Z9" s="22"/>
    </row>
    <row r="10" spans="1:26" ht="16" customHeight="1">
      <c r="A10" s="22"/>
      <c r="B10" s="21"/>
      <c r="C10" s="21"/>
      <c r="D10" s="21"/>
      <c r="E10" s="21"/>
      <c r="F10" s="21"/>
      <c r="G10" s="21"/>
      <c r="H10" s="28" t="s">
        <v>469</v>
      </c>
      <c r="I10" s="21"/>
      <c r="J10" s="22"/>
      <c r="K10" s="22"/>
      <c r="L10" s="22"/>
      <c r="M10" s="22"/>
      <c r="N10" s="22"/>
      <c r="O10" s="22"/>
      <c r="P10" s="22"/>
      <c r="Q10" s="21"/>
      <c r="R10" s="24" t="s">
        <v>342</v>
      </c>
      <c r="S10" s="26" t="s">
        <v>470</v>
      </c>
      <c r="T10" s="21"/>
      <c r="U10" s="21"/>
      <c r="V10" s="21"/>
      <c r="W10" s="21"/>
      <c r="X10" s="21"/>
      <c r="Y10" s="21"/>
      <c r="Z10" s="22"/>
    </row>
    <row r="11" spans="1:26" ht="16" customHeight="1">
      <c r="A11" s="22"/>
      <c r="B11" s="22"/>
      <c r="C11" s="22"/>
      <c r="D11" s="22"/>
      <c r="E11" s="22"/>
      <c r="F11" s="22"/>
      <c r="G11" s="22"/>
      <c r="H11" s="22"/>
      <c r="I11" s="21"/>
      <c r="J11" s="22"/>
      <c r="K11" s="22"/>
      <c r="L11" s="22"/>
      <c r="M11" s="22"/>
      <c r="N11" s="22"/>
      <c r="O11" s="22"/>
      <c r="P11" s="22"/>
      <c r="Q11" s="21"/>
      <c r="R11" s="22"/>
      <c r="S11" s="21"/>
      <c r="T11" s="21"/>
      <c r="U11" s="21"/>
      <c r="V11" s="21"/>
      <c r="W11" s="21"/>
      <c r="X11" s="21"/>
      <c r="Y11" s="21"/>
      <c r="Z11" s="22"/>
    </row>
    <row r="12" spans="1:26" ht="16" customHeight="1">
      <c r="A12" s="22"/>
      <c r="B12" s="22"/>
      <c r="C12" s="22"/>
      <c r="D12" s="22"/>
      <c r="E12" s="22"/>
      <c r="F12" s="22"/>
      <c r="G12" s="22"/>
      <c r="H12" s="22"/>
      <c r="I12" s="21"/>
      <c r="J12" s="22"/>
      <c r="K12" s="22"/>
      <c r="L12" s="22"/>
      <c r="M12" s="22"/>
      <c r="N12" s="22"/>
      <c r="O12" s="22"/>
      <c r="P12" s="22"/>
      <c r="Q12" s="21"/>
      <c r="R12" s="22"/>
      <c r="S12" s="21"/>
      <c r="T12" s="21"/>
      <c r="U12" s="21"/>
      <c r="V12" s="21"/>
      <c r="W12" s="21"/>
      <c r="X12" s="21"/>
      <c r="Y12" s="21"/>
      <c r="Z12" s="22"/>
    </row>
    <row r="13" spans="1:26" ht="16" customHeight="1">
      <c r="A13" s="22"/>
      <c r="B13" s="22"/>
      <c r="C13" s="22"/>
      <c r="D13" s="22"/>
      <c r="E13" s="22"/>
      <c r="F13" s="22"/>
      <c r="G13" s="22"/>
      <c r="H13" s="22"/>
      <c r="I13" s="21"/>
      <c r="J13" s="22"/>
      <c r="K13" s="22"/>
      <c r="L13" s="22"/>
      <c r="M13" s="22"/>
      <c r="N13" s="22"/>
      <c r="O13" s="22"/>
      <c r="P13" s="22"/>
      <c r="Q13" s="21"/>
      <c r="R13" s="22"/>
      <c r="S13" s="22"/>
      <c r="T13" s="22"/>
      <c r="U13" s="22"/>
      <c r="V13" s="22"/>
      <c r="W13" s="22"/>
      <c r="X13" s="22"/>
      <c r="Y13" s="22"/>
      <c r="Z13" s="22"/>
    </row>
    <row r="14" spans="1:26" ht="16" customHeight="1">
      <c r="A14" s="22"/>
      <c r="B14" s="22"/>
      <c r="C14" s="22"/>
      <c r="D14" s="22"/>
      <c r="E14" s="22"/>
      <c r="F14" s="22"/>
      <c r="G14" s="22"/>
      <c r="H14" s="22"/>
      <c r="I14" s="21"/>
      <c r="J14" s="22"/>
      <c r="K14" s="22"/>
      <c r="L14" s="22"/>
      <c r="M14" s="22"/>
      <c r="N14" s="22"/>
      <c r="O14" s="22"/>
      <c r="P14" s="22"/>
      <c r="Q14" s="21"/>
      <c r="R14" s="24" t="s">
        <v>332</v>
      </c>
      <c r="S14" s="26" t="s">
        <v>471</v>
      </c>
      <c r="T14" s="21"/>
      <c r="U14" s="21"/>
      <c r="V14" s="21"/>
      <c r="W14" s="21"/>
      <c r="X14" s="21"/>
      <c r="Y14" s="21"/>
      <c r="Z14" s="29"/>
    </row>
    <row r="15" spans="1:26" ht="16" customHeight="1">
      <c r="A15" s="22"/>
      <c r="B15" s="22"/>
      <c r="C15" s="22"/>
      <c r="D15" s="22"/>
      <c r="E15" s="22"/>
      <c r="F15" s="22"/>
      <c r="G15" s="22"/>
      <c r="H15" s="22"/>
      <c r="I15" s="21"/>
      <c r="J15" s="22"/>
      <c r="K15" s="22"/>
      <c r="L15" s="22"/>
      <c r="M15" s="22"/>
      <c r="N15" s="22"/>
      <c r="O15" s="22"/>
      <c r="P15" s="22"/>
      <c r="Q15" s="21"/>
      <c r="R15" s="22"/>
      <c r="S15" s="21"/>
      <c r="T15" s="21"/>
      <c r="U15" s="21"/>
      <c r="V15" s="21"/>
      <c r="W15" s="21"/>
      <c r="X15" s="21"/>
      <c r="Y15" s="21"/>
      <c r="Z15" s="21"/>
    </row>
    <row r="16" spans="1:26" ht="16" customHeight="1">
      <c r="A16" s="22"/>
      <c r="B16" s="22"/>
      <c r="C16" s="22"/>
      <c r="D16" s="22"/>
      <c r="E16" s="22"/>
      <c r="F16" s="22"/>
      <c r="G16" s="22"/>
      <c r="H16" s="22"/>
      <c r="I16" s="21"/>
      <c r="J16" s="22"/>
      <c r="K16" s="22"/>
      <c r="L16" s="22"/>
      <c r="M16" s="22"/>
      <c r="N16" s="22"/>
      <c r="O16" s="22"/>
      <c r="P16" s="22"/>
      <c r="Q16" s="21"/>
      <c r="R16" s="22"/>
      <c r="S16" s="21"/>
      <c r="T16" s="21"/>
      <c r="U16" s="21"/>
      <c r="V16" s="21"/>
      <c r="W16" s="21"/>
      <c r="X16" s="21"/>
      <c r="Y16" s="21"/>
      <c r="Z16" s="21"/>
    </row>
    <row r="17" spans="1:26" ht="16" customHeight="1">
      <c r="A17" s="22"/>
      <c r="B17" s="22"/>
      <c r="C17" s="22"/>
      <c r="D17" s="22"/>
      <c r="E17" s="22"/>
      <c r="F17" s="22"/>
      <c r="G17" s="22"/>
      <c r="H17" s="22"/>
      <c r="I17" s="21"/>
      <c r="J17" s="22"/>
      <c r="K17" s="22"/>
      <c r="L17" s="22"/>
      <c r="M17" s="22"/>
      <c r="N17" s="22"/>
      <c r="O17" s="22"/>
      <c r="P17" s="22"/>
      <c r="Q17" s="21"/>
      <c r="R17" s="22"/>
      <c r="S17" s="22"/>
      <c r="T17" s="22"/>
      <c r="U17" s="22"/>
      <c r="V17" s="22"/>
      <c r="W17" s="22"/>
      <c r="X17" s="22"/>
      <c r="Y17" s="22"/>
      <c r="Z17" s="22"/>
    </row>
    <row r="18" spans="1:26" ht="16" customHeight="1">
      <c r="A18" s="22"/>
      <c r="B18" s="22"/>
      <c r="C18" s="22"/>
      <c r="D18" s="22"/>
      <c r="E18" s="22"/>
      <c r="F18" s="22"/>
      <c r="G18" s="22"/>
      <c r="H18" s="22"/>
      <c r="I18" s="21"/>
      <c r="J18" s="22"/>
      <c r="K18" s="22"/>
      <c r="L18" s="22"/>
      <c r="M18" s="22"/>
      <c r="N18" s="22"/>
      <c r="O18" s="22"/>
      <c r="P18" s="22"/>
      <c r="Q18" s="21"/>
      <c r="R18" s="22"/>
      <c r="S18" s="22"/>
      <c r="T18" s="22"/>
      <c r="U18" s="22"/>
      <c r="V18" s="22"/>
      <c r="W18" s="22"/>
      <c r="X18" s="22"/>
      <c r="Y18" s="22"/>
      <c r="Z18" s="22"/>
    </row>
    <row r="19" spans="1:26" ht="16" customHeight="1">
      <c r="A19" s="22"/>
      <c r="B19" s="22"/>
      <c r="C19" s="22"/>
      <c r="D19" s="22"/>
      <c r="E19" s="22"/>
      <c r="F19" s="22"/>
      <c r="G19" s="22"/>
      <c r="H19" s="22"/>
      <c r="I19" s="21"/>
      <c r="J19" s="22"/>
      <c r="K19" s="22"/>
      <c r="L19" s="22"/>
      <c r="M19" s="22"/>
      <c r="N19" s="22"/>
      <c r="O19" s="22"/>
      <c r="P19" s="22"/>
      <c r="Q19" s="21"/>
      <c r="R19" s="24" t="s">
        <v>352</v>
      </c>
      <c r="S19" s="26" t="s">
        <v>472</v>
      </c>
      <c r="T19" s="21"/>
      <c r="U19" s="21"/>
      <c r="V19" s="21"/>
      <c r="W19" s="21"/>
      <c r="X19" s="21"/>
      <c r="Y19" s="21"/>
      <c r="Z19" s="22"/>
    </row>
    <row r="20" spans="1:26" ht="16" customHeight="1">
      <c r="A20" s="22"/>
      <c r="B20" s="22"/>
      <c r="C20" s="22"/>
      <c r="D20" s="22"/>
      <c r="E20" s="22"/>
      <c r="F20" s="22"/>
      <c r="G20" s="22"/>
      <c r="H20" s="22"/>
      <c r="I20" s="21"/>
      <c r="J20" s="22"/>
      <c r="K20" s="22"/>
      <c r="L20" s="22"/>
      <c r="M20" s="22"/>
      <c r="N20" s="22"/>
      <c r="O20" s="22"/>
      <c r="P20" s="22"/>
      <c r="Q20" s="21"/>
      <c r="R20" s="22"/>
      <c r="S20" s="21"/>
      <c r="T20" s="21"/>
      <c r="U20" s="21"/>
      <c r="V20" s="21"/>
      <c r="W20" s="21"/>
      <c r="X20" s="21"/>
      <c r="Y20" s="21"/>
      <c r="Z20" s="22"/>
    </row>
    <row r="21" spans="1:26" ht="16" customHeight="1">
      <c r="A21" s="22"/>
      <c r="B21" s="22"/>
      <c r="C21" s="22"/>
      <c r="D21" s="22"/>
      <c r="E21" s="22"/>
      <c r="F21" s="22"/>
      <c r="G21" s="22"/>
      <c r="H21" s="22"/>
      <c r="I21" s="21"/>
      <c r="J21" s="22"/>
      <c r="K21" s="22"/>
      <c r="L21" s="22"/>
      <c r="M21" s="22"/>
      <c r="N21" s="22"/>
      <c r="O21" s="22"/>
      <c r="P21" s="22"/>
      <c r="Q21" s="21"/>
      <c r="R21" s="22"/>
      <c r="S21" s="21"/>
      <c r="T21" s="21"/>
      <c r="U21" s="21"/>
      <c r="V21" s="21"/>
      <c r="W21" s="21"/>
      <c r="X21" s="21"/>
      <c r="Y21" s="21"/>
      <c r="Z21" s="22"/>
    </row>
    <row r="22" spans="1:26" ht="16" customHeight="1">
      <c r="A22" s="22"/>
      <c r="B22" s="22"/>
      <c r="C22" s="22"/>
      <c r="D22" s="22"/>
      <c r="E22" s="22"/>
      <c r="F22" s="22"/>
      <c r="G22" s="22"/>
      <c r="H22" s="22"/>
      <c r="I22" s="21"/>
      <c r="J22" s="22"/>
      <c r="K22" s="22"/>
      <c r="L22" s="22"/>
      <c r="M22" s="22"/>
      <c r="N22" s="22"/>
      <c r="O22" s="22"/>
      <c r="P22" s="22"/>
      <c r="Q22" s="21"/>
      <c r="R22" s="22"/>
      <c r="S22" s="22"/>
      <c r="T22" s="22"/>
      <c r="U22" s="22"/>
      <c r="V22" s="22"/>
      <c r="W22" s="22"/>
      <c r="X22" s="22"/>
      <c r="Y22" s="22"/>
      <c r="Z22" s="22"/>
    </row>
    <row r="23" spans="1:26" ht="16" customHeight="1">
      <c r="A23" s="22"/>
      <c r="B23" s="22"/>
      <c r="C23" s="22"/>
      <c r="D23" s="22"/>
      <c r="E23" s="22"/>
      <c r="F23" s="22"/>
      <c r="G23" s="22"/>
      <c r="H23" s="22"/>
      <c r="I23" s="21"/>
      <c r="J23" s="22"/>
      <c r="K23" s="22"/>
      <c r="L23" s="22"/>
      <c r="M23" s="22"/>
      <c r="N23" s="22"/>
      <c r="O23" s="22"/>
      <c r="P23" s="22"/>
      <c r="Q23" s="21"/>
      <c r="R23" s="22"/>
      <c r="S23" s="22"/>
      <c r="T23" s="22"/>
      <c r="U23" s="22"/>
      <c r="V23" s="22"/>
      <c r="W23" s="22"/>
      <c r="X23" s="22"/>
      <c r="Y23" s="22"/>
      <c r="Z23" s="22"/>
    </row>
    <row r="24" spans="1:26" ht="16" customHeight="1">
      <c r="A24" s="22"/>
      <c r="B24" s="22"/>
      <c r="C24" s="22"/>
      <c r="D24" s="22"/>
      <c r="E24" s="22"/>
      <c r="F24" s="22"/>
      <c r="G24" s="22"/>
      <c r="H24" s="22"/>
      <c r="I24" s="21"/>
      <c r="J24" s="22"/>
      <c r="K24" s="22"/>
      <c r="L24" s="22"/>
      <c r="M24" s="22"/>
      <c r="N24" s="22"/>
      <c r="O24" s="22"/>
      <c r="P24" s="22"/>
      <c r="Q24" s="21"/>
      <c r="R24" s="22"/>
      <c r="S24" s="22"/>
      <c r="T24" s="22"/>
      <c r="U24" s="22"/>
      <c r="V24" s="22"/>
      <c r="W24" s="22"/>
      <c r="X24" s="22"/>
      <c r="Y24" s="22"/>
      <c r="Z24" s="22"/>
    </row>
    <row r="25" spans="1:26" ht="16" customHeight="1">
      <c r="A25" s="22"/>
      <c r="B25" s="22"/>
      <c r="C25" s="22"/>
      <c r="D25" s="22"/>
      <c r="E25" s="22"/>
      <c r="F25" s="22"/>
      <c r="G25" s="22"/>
      <c r="H25" s="22"/>
      <c r="I25" s="21"/>
      <c r="J25" s="22"/>
      <c r="K25" s="22"/>
      <c r="L25" s="22"/>
      <c r="M25" s="22"/>
      <c r="N25" s="22"/>
      <c r="O25" s="22"/>
      <c r="P25" s="22"/>
      <c r="Q25" s="21"/>
      <c r="R25" s="24" t="s">
        <v>473</v>
      </c>
      <c r="S25" s="26" t="s">
        <v>474</v>
      </c>
      <c r="T25" s="21"/>
      <c r="U25" s="21"/>
      <c r="V25" s="21"/>
      <c r="W25" s="21"/>
      <c r="X25" s="21"/>
      <c r="Y25" s="21"/>
      <c r="Z25" s="22"/>
    </row>
    <row r="26" spans="1:26" ht="16" customHeight="1">
      <c r="A26" s="23" t="s">
        <v>475</v>
      </c>
      <c r="B26" s="21"/>
      <c r="C26" s="21"/>
      <c r="D26" s="21"/>
      <c r="E26" s="21"/>
      <c r="F26" s="21"/>
      <c r="G26" s="21"/>
      <c r="H26" s="21"/>
      <c r="I26" s="21"/>
      <c r="J26" s="22"/>
      <c r="K26" s="22"/>
      <c r="L26" s="22"/>
      <c r="M26" s="22"/>
      <c r="N26" s="22"/>
      <c r="O26" s="22"/>
      <c r="P26" s="22"/>
      <c r="Q26" s="21"/>
      <c r="R26" s="22"/>
      <c r="S26" s="21"/>
      <c r="T26" s="21"/>
      <c r="U26" s="21"/>
      <c r="V26" s="21"/>
      <c r="W26" s="21"/>
      <c r="X26" s="21"/>
      <c r="Y26" s="21"/>
      <c r="Z26" s="22"/>
    </row>
    <row r="27" spans="1:26" ht="16" customHeight="1">
      <c r="A27" s="21"/>
      <c r="B27" s="21"/>
      <c r="C27" s="21"/>
      <c r="D27" s="21"/>
      <c r="E27" s="21"/>
      <c r="F27" s="21"/>
      <c r="G27" s="21"/>
      <c r="H27" s="21"/>
      <c r="I27" s="21"/>
      <c r="J27" s="22"/>
      <c r="K27" s="22"/>
      <c r="L27" s="22"/>
      <c r="M27" s="22"/>
      <c r="N27" s="22"/>
      <c r="O27" s="22"/>
      <c r="P27" s="22"/>
      <c r="Q27" s="21"/>
      <c r="R27" s="22"/>
      <c r="S27" s="21"/>
      <c r="T27" s="21"/>
      <c r="U27" s="21"/>
      <c r="V27" s="21"/>
      <c r="W27" s="21"/>
      <c r="X27" s="21"/>
      <c r="Y27" s="21"/>
      <c r="Z27" s="22"/>
    </row>
    <row r="28" spans="1:26" ht="16" customHeight="1">
      <c r="A28" s="22"/>
      <c r="B28" s="22"/>
      <c r="C28" s="22"/>
      <c r="D28" s="22"/>
      <c r="E28" s="22"/>
      <c r="F28" s="22"/>
      <c r="G28" s="22"/>
      <c r="H28" s="22"/>
      <c r="I28" s="21"/>
      <c r="J28" s="22"/>
      <c r="K28" s="22"/>
      <c r="L28" s="22"/>
      <c r="M28" s="22"/>
      <c r="N28" s="22"/>
      <c r="O28" s="22"/>
      <c r="P28" s="22"/>
      <c r="Q28" s="21"/>
      <c r="R28" s="22"/>
      <c r="S28" s="22"/>
      <c r="T28" s="22"/>
      <c r="U28" s="22"/>
      <c r="V28" s="22"/>
      <c r="W28" s="22"/>
      <c r="X28" s="22"/>
      <c r="Y28" s="22"/>
      <c r="Z28" s="22"/>
    </row>
    <row r="29" spans="1:26" ht="16" customHeight="1">
      <c r="A29" s="24" t="s">
        <v>160</v>
      </c>
      <c r="B29" s="30" t="s">
        <v>476</v>
      </c>
      <c r="C29" s="21"/>
      <c r="D29" s="21"/>
      <c r="E29" s="21"/>
      <c r="F29" s="21"/>
      <c r="G29" s="21"/>
      <c r="H29" s="21"/>
      <c r="I29" s="21"/>
      <c r="J29" s="22"/>
      <c r="K29" s="22"/>
      <c r="L29" s="22"/>
      <c r="M29" s="22"/>
      <c r="N29" s="22"/>
      <c r="O29" s="22"/>
      <c r="P29" s="22"/>
      <c r="Q29" s="21"/>
      <c r="R29" s="22"/>
      <c r="S29" s="22"/>
      <c r="T29" s="22"/>
      <c r="U29" s="22"/>
      <c r="V29" s="22"/>
      <c r="W29" s="22"/>
      <c r="X29" s="22"/>
      <c r="Y29" s="22"/>
      <c r="Z29" s="22"/>
    </row>
    <row r="30" spans="1:26" ht="16" customHeight="1">
      <c r="A30" s="22"/>
      <c r="B30" s="22"/>
      <c r="C30" s="22"/>
      <c r="D30" s="22"/>
      <c r="E30" s="22"/>
      <c r="F30" s="22"/>
      <c r="G30" s="22"/>
      <c r="H30" s="22"/>
      <c r="I30" s="21"/>
      <c r="J30" s="22"/>
      <c r="K30" s="22"/>
      <c r="L30" s="22"/>
      <c r="M30" s="22"/>
      <c r="N30" s="22"/>
      <c r="O30" s="22"/>
      <c r="P30" s="22"/>
      <c r="Q30" s="21"/>
      <c r="R30" s="22"/>
      <c r="S30" s="22"/>
      <c r="T30" s="22"/>
      <c r="U30" s="22"/>
      <c r="V30" s="22"/>
      <c r="W30" s="22"/>
      <c r="X30" s="22"/>
      <c r="Y30" s="22"/>
      <c r="Z30" s="22"/>
    </row>
    <row r="31" spans="1:26" ht="16" customHeight="1">
      <c r="A31" s="24" t="s">
        <v>342</v>
      </c>
      <c r="B31" s="30" t="s">
        <v>477</v>
      </c>
      <c r="C31" s="21"/>
      <c r="D31" s="21"/>
      <c r="E31" s="21"/>
      <c r="F31" s="21"/>
      <c r="G31" s="21"/>
      <c r="H31" s="21"/>
      <c r="I31" s="21"/>
      <c r="J31" s="22"/>
      <c r="K31" s="22"/>
      <c r="L31" s="22"/>
      <c r="M31" s="22"/>
      <c r="N31" s="22"/>
      <c r="O31" s="22"/>
      <c r="P31" s="22"/>
      <c r="Q31" s="21"/>
      <c r="R31" s="22"/>
      <c r="S31" s="22"/>
      <c r="T31" s="22"/>
      <c r="U31" s="22"/>
      <c r="V31" s="22"/>
      <c r="W31" s="22"/>
      <c r="X31" s="22"/>
      <c r="Y31" s="22"/>
      <c r="Z31" s="22"/>
    </row>
    <row r="32" spans="1:26" ht="16" customHeight="1">
      <c r="A32" s="22"/>
      <c r="B32" s="22"/>
      <c r="C32" s="22"/>
      <c r="D32" s="22"/>
      <c r="E32" s="22"/>
      <c r="F32" s="22"/>
      <c r="G32" s="22"/>
      <c r="H32" s="22"/>
      <c r="I32" s="21"/>
      <c r="J32" s="22"/>
      <c r="K32" s="22"/>
      <c r="L32" s="22"/>
      <c r="M32" s="22"/>
      <c r="N32" s="22"/>
      <c r="O32" s="22"/>
      <c r="P32" s="22"/>
      <c r="Q32" s="21"/>
      <c r="R32" s="24" t="s">
        <v>478</v>
      </c>
      <c r="S32" s="26" t="s">
        <v>479</v>
      </c>
      <c r="T32" s="21"/>
      <c r="U32" s="21"/>
      <c r="V32" s="21"/>
      <c r="W32" s="21"/>
      <c r="X32" s="21"/>
      <c r="Y32" s="21"/>
      <c r="Z32" s="22"/>
    </row>
    <row r="33" spans="1:26" ht="16" customHeight="1">
      <c r="A33" s="22"/>
      <c r="B33" s="22"/>
      <c r="C33" s="22"/>
      <c r="D33" s="22"/>
      <c r="E33" s="22"/>
      <c r="F33" s="22"/>
      <c r="G33" s="22"/>
      <c r="H33" s="22"/>
      <c r="I33" s="21"/>
      <c r="J33" s="22"/>
      <c r="K33" s="22"/>
      <c r="L33" s="22"/>
      <c r="M33" s="22"/>
      <c r="N33" s="22"/>
      <c r="O33" s="22"/>
      <c r="P33" s="22"/>
      <c r="Q33" s="21"/>
      <c r="R33" s="22"/>
      <c r="S33" s="21"/>
      <c r="T33" s="21"/>
      <c r="U33" s="21"/>
      <c r="V33" s="21"/>
      <c r="W33" s="21"/>
      <c r="X33" s="21"/>
      <c r="Y33" s="21"/>
      <c r="Z33" s="22"/>
    </row>
    <row r="34" spans="1:26" ht="16" customHeight="1">
      <c r="A34" s="22"/>
      <c r="B34" s="22"/>
      <c r="C34" s="22"/>
      <c r="D34" s="22"/>
      <c r="E34" s="22"/>
      <c r="F34" s="22"/>
      <c r="G34" s="22"/>
      <c r="H34" s="22"/>
      <c r="I34" s="21"/>
      <c r="J34" s="22"/>
      <c r="K34" s="22"/>
      <c r="L34" s="22"/>
      <c r="M34" s="22"/>
      <c r="N34" s="22"/>
      <c r="O34" s="22"/>
      <c r="P34" s="22"/>
      <c r="Q34" s="21"/>
      <c r="R34" s="22"/>
      <c r="S34" s="21"/>
      <c r="T34" s="21"/>
      <c r="U34" s="21"/>
      <c r="V34" s="21"/>
      <c r="W34" s="21"/>
      <c r="X34" s="21"/>
      <c r="Y34" s="21"/>
      <c r="Z34" s="22"/>
    </row>
    <row r="35" spans="1:26" ht="16" customHeight="1">
      <c r="A35" s="22"/>
      <c r="B35" s="22"/>
      <c r="C35" s="22"/>
      <c r="D35" s="22"/>
      <c r="E35" s="22"/>
      <c r="F35" s="22"/>
      <c r="G35" s="22"/>
      <c r="H35" s="22"/>
      <c r="I35" s="21"/>
      <c r="J35" s="22"/>
      <c r="K35" s="22"/>
      <c r="L35" s="22"/>
      <c r="M35" s="22"/>
      <c r="N35" s="22"/>
      <c r="O35" s="22"/>
      <c r="P35" s="22"/>
      <c r="Q35" s="21"/>
      <c r="R35" s="22"/>
      <c r="S35" s="22"/>
      <c r="T35" s="22"/>
      <c r="U35" s="22"/>
      <c r="V35" s="22"/>
      <c r="W35" s="22"/>
      <c r="X35" s="22"/>
      <c r="Y35" s="22"/>
      <c r="Z35" s="22"/>
    </row>
    <row r="36" spans="1:26" ht="16" customHeight="1">
      <c r="A36" s="22"/>
      <c r="B36" s="22"/>
      <c r="C36" s="22"/>
      <c r="D36" s="22"/>
      <c r="E36" s="22"/>
      <c r="F36" s="22"/>
      <c r="G36" s="22"/>
      <c r="H36" s="22"/>
      <c r="I36" s="22"/>
      <c r="J36" s="22"/>
      <c r="K36" s="22"/>
      <c r="L36" s="22"/>
      <c r="M36" s="22"/>
      <c r="N36" s="22"/>
      <c r="O36" s="22"/>
      <c r="P36" s="22"/>
      <c r="Q36" s="22"/>
      <c r="R36" s="22"/>
      <c r="S36" s="31" t="s">
        <v>480</v>
      </c>
      <c r="T36" s="22"/>
      <c r="U36" s="22"/>
      <c r="V36" s="22"/>
      <c r="W36" s="22"/>
      <c r="X36" s="22"/>
      <c r="Y36" s="22"/>
      <c r="Z36" s="22"/>
    </row>
    <row r="37" spans="1:26" ht="16" customHeight="1">
      <c r="A37" s="22"/>
      <c r="B37" s="22"/>
      <c r="C37" s="22"/>
      <c r="D37" s="22"/>
      <c r="E37" s="22"/>
      <c r="F37" s="22"/>
      <c r="G37" s="22"/>
      <c r="H37" s="22"/>
      <c r="I37" s="22"/>
      <c r="J37" s="22"/>
      <c r="K37" s="22"/>
      <c r="L37" s="22"/>
      <c r="M37" s="22"/>
      <c r="N37" s="22"/>
      <c r="O37" s="22"/>
      <c r="P37" s="22"/>
      <c r="Q37" s="22"/>
      <c r="R37" s="22"/>
      <c r="S37" s="21"/>
      <c r="T37" s="22"/>
      <c r="U37" s="22"/>
      <c r="V37" s="22"/>
      <c r="W37" s="22"/>
      <c r="X37" s="22"/>
      <c r="Y37" s="22"/>
      <c r="Z37" s="22"/>
    </row>
    <row r="38" spans="1:26" ht="16" customHeight="1">
      <c r="A38" s="22"/>
      <c r="B38" s="22"/>
      <c r="C38" s="22"/>
      <c r="D38" s="22"/>
      <c r="E38" s="22"/>
      <c r="F38" s="22"/>
      <c r="G38" s="22"/>
      <c r="H38" s="22"/>
      <c r="I38" s="22"/>
      <c r="J38" s="22"/>
      <c r="K38" s="22"/>
      <c r="L38" s="22"/>
      <c r="M38" s="22"/>
      <c r="N38" s="22"/>
      <c r="O38" s="22"/>
      <c r="P38" s="22"/>
      <c r="Q38" s="22"/>
      <c r="R38" s="22"/>
      <c r="S38" s="21"/>
      <c r="T38" s="22"/>
      <c r="U38" s="22"/>
      <c r="V38" s="22"/>
      <c r="W38" s="22"/>
      <c r="X38" s="22"/>
      <c r="Y38" s="22"/>
      <c r="Z38" s="22"/>
    </row>
    <row r="39" spans="1:26" ht="16" customHeight="1">
      <c r="A39" s="23" t="s">
        <v>481</v>
      </c>
      <c r="B39" s="21"/>
      <c r="C39" s="21"/>
      <c r="D39" s="21"/>
      <c r="E39" s="21"/>
      <c r="F39" s="21"/>
      <c r="G39" s="21"/>
      <c r="H39" s="21"/>
      <c r="I39" s="21"/>
      <c r="J39" s="23" t="s">
        <v>482</v>
      </c>
      <c r="K39" s="21"/>
      <c r="L39" s="21"/>
      <c r="M39" s="21"/>
      <c r="N39" s="21"/>
      <c r="O39" s="21"/>
      <c r="P39" s="21"/>
      <c r="Q39" s="21"/>
      <c r="R39" s="21"/>
      <c r="S39" s="21"/>
      <c r="T39" s="23" t="s">
        <v>483</v>
      </c>
      <c r="U39" s="21"/>
      <c r="V39" s="21"/>
      <c r="W39" s="21"/>
      <c r="X39" s="21"/>
      <c r="Y39" s="21"/>
      <c r="Z39" s="21"/>
    </row>
    <row r="40" spans="1:26" ht="2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6" customHeight="1">
      <c r="A41" s="24" t="s">
        <v>160</v>
      </c>
      <c r="B41" s="26" t="s">
        <v>484</v>
      </c>
      <c r="C41" s="21"/>
      <c r="D41" s="21"/>
      <c r="E41" s="21"/>
      <c r="F41" s="21"/>
      <c r="G41" s="21"/>
      <c r="H41" s="21"/>
      <c r="I41" s="21"/>
      <c r="J41" s="24" t="s">
        <v>160</v>
      </c>
      <c r="K41" s="30" t="s">
        <v>485</v>
      </c>
      <c r="L41" s="21"/>
      <c r="M41" s="21"/>
      <c r="N41" s="21"/>
      <c r="O41" s="21"/>
      <c r="P41" s="21"/>
      <c r="Q41" s="21"/>
      <c r="R41" s="21"/>
      <c r="S41" s="21"/>
      <c r="T41" s="22"/>
      <c r="U41" s="22"/>
      <c r="V41" s="22"/>
      <c r="W41" s="22"/>
      <c r="X41" s="22"/>
      <c r="Y41" s="22"/>
      <c r="Z41" s="22"/>
    </row>
    <row r="42" spans="1:26" ht="16" customHeight="1">
      <c r="A42" s="22"/>
      <c r="B42" s="21"/>
      <c r="C42" s="21"/>
      <c r="D42" s="21"/>
      <c r="E42" s="21"/>
      <c r="F42" s="21"/>
      <c r="G42" s="21"/>
      <c r="H42" s="21"/>
      <c r="I42" s="21"/>
      <c r="J42" s="22"/>
      <c r="K42" s="21"/>
      <c r="L42" s="21"/>
      <c r="M42" s="21"/>
      <c r="N42" s="21"/>
      <c r="O42" s="21"/>
      <c r="P42" s="21"/>
      <c r="Q42" s="21"/>
      <c r="R42" s="21"/>
      <c r="S42" s="21"/>
      <c r="T42" s="24" t="s">
        <v>160</v>
      </c>
      <c r="U42" s="30" t="s">
        <v>486</v>
      </c>
      <c r="V42" s="21"/>
      <c r="W42" s="21"/>
      <c r="X42" s="21"/>
      <c r="Y42" s="21"/>
      <c r="Z42" s="21"/>
    </row>
    <row r="43" spans="1:26" ht="16" customHeight="1">
      <c r="A43" s="22"/>
      <c r="B43" s="22"/>
      <c r="C43" s="22"/>
      <c r="D43" s="22"/>
      <c r="E43" s="22"/>
      <c r="F43" s="22"/>
      <c r="G43" s="22"/>
      <c r="H43" s="22"/>
      <c r="I43" s="22"/>
      <c r="J43" s="22"/>
      <c r="K43" s="22"/>
      <c r="L43" s="22"/>
      <c r="M43" s="22"/>
      <c r="N43" s="22"/>
      <c r="O43" s="22"/>
      <c r="P43" s="22"/>
      <c r="Q43" s="22"/>
      <c r="R43" s="22"/>
      <c r="S43" s="22"/>
      <c r="T43" s="22"/>
      <c r="U43" s="21"/>
      <c r="V43" s="21"/>
      <c r="W43" s="21"/>
      <c r="X43" s="21"/>
      <c r="Y43" s="21"/>
      <c r="Z43" s="21"/>
    </row>
    <row r="44" spans="1:26" ht="16" customHeight="1">
      <c r="A44" s="24" t="s">
        <v>342</v>
      </c>
      <c r="B44" s="26" t="s">
        <v>487</v>
      </c>
      <c r="C44" s="21"/>
      <c r="D44" s="21"/>
      <c r="E44" s="21"/>
      <c r="F44" s="21"/>
      <c r="G44" s="21"/>
      <c r="H44" s="21"/>
      <c r="I44" s="21"/>
      <c r="J44" s="24" t="s">
        <v>342</v>
      </c>
      <c r="K44" s="30" t="s">
        <v>488</v>
      </c>
      <c r="L44" s="21"/>
      <c r="M44" s="21"/>
      <c r="N44" s="21"/>
      <c r="O44" s="21"/>
      <c r="P44" s="21"/>
      <c r="Q44" s="21"/>
      <c r="R44" s="21"/>
      <c r="S44" s="21"/>
      <c r="T44" s="22"/>
      <c r="U44" s="21"/>
      <c r="V44" s="21"/>
      <c r="W44" s="21"/>
      <c r="X44" s="21"/>
      <c r="Y44" s="21"/>
      <c r="Z44" s="21"/>
    </row>
    <row r="45" spans="1:26" ht="16" customHeight="1">
      <c r="A45" s="22"/>
      <c r="B45" s="21"/>
      <c r="C45" s="21"/>
      <c r="D45" s="21"/>
      <c r="E45" s="21"/>
      <c r="F45" s="21"/>
      <c r="G45" s="21"/>
      <c r="H45" s="21"/>
      <c r="I45" s="21"/>
      <c r="J45" s="22"/>
      <c r="K45" s="21"/>
      <c r="L45" s="21"/>
      <c r="M45" s="21"/>
      <c r="N45" s="21"/>
      <c r="O45" s="21"/>
      <c r="P45" s="21"/>
      <c r="Q45" s="21"/>
      <c r="R45" s="21"/>
      <c r="S45" s="21"/>
      <c r="T45" s="22"/>
      <c r="U45" s="21"/>
      <c r="V45" s="21"/>
      <c r="W45" s="21"/>
      <c r="X45" s="21"/>
      <c r="Y45" s="21"/>
      <c r="Z45" s="21"/>
    </row>
    <row r="46" spans="1:26" ht="16"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6" customHeight="1">
      <c r="A47" s="24" t="s">
        <v>332</v>
      </c>
      <c r="B47" s="26" t="s">
        <v>489</v>
      </c>
      <c r="C47" s="21"/>
      <c r="D47" s="21"/>
      <c r="E47" s="21"/>
      <c r="F47" s="21"/>
      <c r="G47" s="21"/>
      <c r="H47" s="21"/>
      <c r="I47" s="21"/>
      <c r="J47" s="24" t="s">
        <v>332</v>
      </c>
      <c r="K47" s="30" t="s">
        <v>490</v>
      </c>
      <c r="L47" s="21"/>
      <c r="M47" s="21"/>
      <c r="N47" s="21"/>
      <c r="O47" s="21"/>
      <c r="P47" s="21"/>
      <c r="Q47" s="21"/>
      <c r="R47" s="21"/>
      <c r="S47" s="21"/>
      <c r="T47" s="24" t="s">
        <v>342</v>
      </c>
      <c r="U47" s="30" t="s">
        <v>491</v>
      </c>
      <c r="V47" s="21"/>
      <c r="W47" s="21"/>
      <c r="X47" s="21"/>
      <c r="Y47" s="21"/>
      <c r="Z47" s="21"/>
    </row>
    <row r="48" spans="1:26" ht="16" customHeight="1">
      <c r="A48" s="22"/>
      <c r="B48" s="21"/>
      <c r="C48" s="21"/>
      <c r="D48" s="21"/>
      <c r="E48" s="21"/>
      <c r="F48" s="21"/>
      <c r="G48" s="21"/>
      <c r="H48" s="21"/>
      <c r="I48" s="21"/>
      <c r="J48" s="22"/>
      <c r="K48" s="21"/>
      <c r="L48" s="21"/>
      <c r="M48" s="21"/>
      <c r="N48" s="21"/>
      <c r="O48" s="21"/>
      <c r="P48" s="21"/>
      <c r="Q48" s="21"/>
      <c r="R48" s="21"/>
      <c r="S48" s="21"/>
      <c r="T48" s="22"/>
      <c r="U48" s="21"/>
      <c r="V48" s="21"/>
      <c r="W48" s="21"/>
      <c r="X48" s="21"/>
      <c r="Y48" s="21"/>
      <c r="Z48" s="21"/>
    </row>
    <row r="49" spans="1:26" ht="16" customHeight="1">
      <c r="A49" s="22"/>
      <c r="B49" s="22"/>
      <c r="C49" s="22"/>
      <c r="D49" s="22"/>
      <c r="E49" s="22"/>
      <c r="F49" s="22"/>
      <c r="G49" s="22"/>
      <c r="H49" s="22"/>
      <c r="I49" s="22"/>
      <c r="J49" s="22"/>
      <c r="K49" s="22"/>
      <c r="L49" s="22"/>
      <c r="M49" s="22"/>
      <c r="N49" s="22"/>
      <c r="O49" s="22"/>
      <c r="P49" s="22"/>
      <c r="Q49" s="22"/>
      <c r="R49" s="22"/>
      <c r="S49" s="22"/>
      <c r="T49" s="22"/>
      <c r="U49" s="21"/>
      <c r="V49" s="21"/>
      <c r="W49" s="21"/>
      <c r="X49" s="21"/>
      <c r="Y49" s="21"/>
      <c r="Z49" s="21"/>
    </row>
    <row r="50" spans="1:26" ht="16" customHeight="1">
      <c r="A50" s="24" t="s">
        <v>352</v>
      </c>
      <c r="B50" s="26" t="s">
        <v>492</v>
      </c>
      <c r="C50" s="21"/>
      <c r="D50" s="21"/>
      <c r="E50" s="21"/>
      <c r="F50" s="21"/>
      <c r="G50" s="21"/>
      <c r="H50" s="21"/>
      <c r="I50" s="21"/>
      <c r="J50" s="24" t="s">
        <v>352</v>
      </c>
      <c r="K50" s="30" t="s">
        <v>493</v>
      </c>
      <c r="L50" s="21"/>
      <c r="M50" s="21"/>
      <c r="N50" s="21"/>
      <c r="O50" s="21"/>
      <c r="P50" s="21"/>
      <c r="Q50" s="21"/>
      <c r="R50" s="21"/>
      <c r="S50" s="21"/>
      <c r="T50" s="22"/>
      <c r="U50" s="21"/>
      <c r="V50" s="21"/>
      <c r="W50" s="21"/>
      <c r="X50" s="21"/>
      <c r="Y50" s="21"/>
      <c r="Z50" s="21"/>
    </row>
    <row r="51" spans="1:26" ht="16" customHeight="1">
      <c r="A51" s="22"/>
      <c r="B51" s="21"/>
      <c r="C51" s="21"/>
      <c r="D51" s="21"/>
      <c r="E51" s="21"/>
      <c r="F51" s="21"/>
      <c r="G51" s="21"/>
      <c r="H51" s="21"/>
      <c r="I51" s="21"/>
      <c r="J51" s="22"/>
      <c r="K51" s="21"/>
      <c r="L51" s="21"/>
      <c r="M51" s="21"/>
      <c r="N51" s="21"/>
      <c r="O51" s="21"/>
      <c r="P51" s="21"/>
      <c r="Q51" s="21"/>
      <c r="R51" s="21"/>
      <c r="S51" s="21"/>
      <c r="T51" s="22"/>
      <c r="U51" s="22"/>
      <c r="V51" s="22"/>
      <c r="W51" s="22"/>
      <c r="X51" s="22"/>
      <c r="Y51" s="22"/>
      <c r="Z51" s="22"/>
    </row>
    <row r="52" spans="1:26" ht="16" customHeight="1">
      <c r="A52" s="22"/>
      <c r="B52" s="22"/>
      <c r="C52" s="22"/>
      <c r="D52" s="22"/>
      <c r="E52" s="22"/>
      <c r="F52" s="22"/>
      <c r="G52" s="22"/>
      <c r="H52" s="22"/>
      <c r="I52" s="22"/>
      <c r="J52" s="22"/>
      <c r="K52" s="22"/>
      <c r="L52" s="22"/>
      <c r="M52" s="22"/>
      <c r="N52" s="22"/>
      <c r="O52" s="22"/>
      <c r="P52" s="22"/>
      <c r="Q52" s="22"/>
      <c r="R52" s="22"/>
      <c r="S52" s="22"/>
      <c r="T52" s="24" t="s">
        <v>332</v>
      </c>
      <c r="U52" s="30" t="s">
        <v>494</v>
      </c>
      <c r="V52" s="21"/>
      <c r="W52" s="21"/>
      <c r="X52" s="21"/>
      <c r="Y52" s="21"/>
      <c r="Z52" s="21"/>
    </row>
    <row r="53" spans="1:26" ht="16" customHeight="1">
      <c r="A53" s="24" t="s">
        <v>473</v>
      </c>
      <c r="B53" s="26" t="s">
        <v>495</v>
      </c>
      <c r="C53" s="21"/>
      <c r="D53" s="21"/>
      <c r="E53" s="21"/>
      <c r="F53" s="21"/>
      <c r="G53" s="21"/>
      <c r="H53" s="21"/>
      <c r="I53" s="21"/>
      <c r="J53" s="24" t="s">
        <v>473</v>
      </c>
      <c r="K53" s="30" t="s">
        <v>496</v>
      </c>
      <c r="L53" s="21"/>
      <c r="M53" s="21"/>
      <c r="N53" s="21"/>
      <c r="O53" s="21"/>
      <c r="P53" s="21"/>
      <c r="Q53" s="21"/>
      <c r="R53" s="21"/>
      <c r="S53" s="21"/>
      <c r="T53" s="22"/>
      <c r="U53" s="21"/>
      <c r="V53" s="21"/>
      <c r="W53" s="21"/>
      <c r="X53" s="21"/>
      <c r="Y53" s="21"/>
      <c r="Z53" s="21"/>
    </row>
    <row r="54" spans="1:26" ht="16" customHeight="1">
      <c r="A54" s="22"/>
      <c r="B54" s="21"/>
      <c r="C54" s="21"/>
      <c r="D54" s="21"/>
      <c r="E54" s="21"/>
      <c r="F54" s="21"/>
      <c r="G54" s="21"/>
      <c r="H54" s="21"/>
      <c r="I54" s="21"/>
      <c r="J54" s="22"/>
      <c r="K54" s="21"/>
      <c r="L54" s="21"/>
      <c r="M54" s="21"/>
      <c r="N54" s="21"/>
      <c r="O54" s="21"/>
      <c r="P54" s="21"/>
      <c r="Q54" s="21"/>
      <c r="R54" s="21"/>
      <c r="S54" s="21"/>
      <c r="T54" s="22"/>
      <c r="U54" s="21"/>
      <c r="V54" s="21"/>
      <c r="W54" s="21"/>
      <c r="X54" s="21"/>
      <c r="Y54" s="21"/>
      <c r="Z54" s="21"/>
    </row>
    <row r="55" spans="1:26" ht="16" customHeight="1">
      <c r="A55" s="22"/>
      <c r="B55" s="22"/>
      <c r="C55" s="22"/>
      <c r="D55" s="22"/>
      <c r="E55" s="22"/>
      <c r="F55" s="22"/>
      <c r="G55" s="22"/>
      <c r="H55" s="22"/>
      <c r="I55" s="22"/>
      <c r="J55" s="22"/>
      <c r="K55" s="22"/>
      <c r="L55" s="22"/>
      <c r="M55" s="22"/>
      <c r="N55" s="22"/>
      <c r="O55" s="22"/>
      <c r="P55" s="22"/>
      <c r="Q55" s="22"/>
      <c r="R55" s="22"/>
      <c r="S55" s="22"/>
      <c r="T55" s="22"/>
      <c r="U55" s="21"/>
      <c r="V55" s="21"/>
      <c r="W55" s="21"/>
      <c r="X55" s="21"/>
      <c r="Y55" s="21"/>
      <c r="Z55" s="21"/>
    </row>
    <row r="56" spans="1:26" ht="16" customHeight="1">
      <c r="A56" s="24" t="s">
        <v>478</v>
      </c>
      <c r="B56" s="26" t="s">
        <v>497</v>
      </c>
      <c r="C56" s="21"/>
      <c r="D56" s="21"/>
      <c r="E56" s="21"/>
      <c r="F56" s="21"/>
      <c r="G56" s="21"/>
      <c r="H56" s="21"/>
      <c r="I56" s="21"/>
      <c r="J56" s="24" t="s">
        <v>478</v>
      </c>
      <c r="K56" s="30" t="s">
        <v>498</v>
      </c>
      <c r="L56" s="21"/>
      <c r="M56" s="21"/>
      <c r="N56" s="21"/>
      <c r="O56" s="21"/>
      <c r="P56" s="21"/>
      <c r="Q56" s="21"/>
      <c r="R56" s="21"/>
      <c r="S56" s="21"/>
      <c r="T56" s="22"/>
      <c r="U56" s="22"/>
      <c r="V56" s="22"/>
      <c r="W56" s="22"/>
      <c r="X56" s="22"/>
      <c r="Y56" s="22"/>
      <c r="Z56" s="22"/>
    </row>
    <row r="57" spans="1:26" ht="16" customHeight="1">
      <c r="A57" s="22"/>
      <c r="B57" s="21"/>
      <c r="C57" s="21"/>
      <c r="D57" s="21"/>
      <c r="E57" s="21"/>
      <c r="F57" s="21"/>
      <c r="G57" s="21"/>
      <c r="H57" s="21"/>
      <c r="I57" s="21"/>
      <c r="J57" s="22"/>
      <c r="K57" s="21"/>
      <c r="L57" s="21"/>
      <c r="M57" s="21"/>
      <c r="N57" s="21"/>
      <c r="O57" s="21"/>
      <c r="P57" s="21"/>
      <c r="Q57" s="21"/>
      <c r="R57" s="21"/>
      <c r="S57" s="21"/>
      <c r="T57" s="24" t="s">
        <v>352</v>
      </c>
      <c r="U57" s="30" t="s">
        <v>499</v>
      </c>
      <c r="V57" s="21"/>
      <c r="W57" s="21"/>
      <c r="X57" s="21"/>
      <c r="Y57" s="21"/>
      <c r="Z57" s="21"/>
    </row>
    <row r="58" spans="1:26" ht="16" customHeight="1">
      <c r="A58" s="22"/>
      <c r="B58" s="22"/>
      <c r="C58" s="22"/>
      <c r="D58" s="22"/>
      <c r="E58" s="22"/>
      <c r="F58" s="22"/>
      <c r="G58" s="22"/>
      <c r="H58" s="22"/>
      <c r="I58" s="22"/>
      <c r="J58" s="22"/>
      <c r="K58" s="22"/>
      <c r="L58" s="22"/>
      <c r="M58" s="22"/>
      <c r="N58" s="22"/>
      <c r="O58" s="22"/>
      <c r="P58" s="22"/>
      <c r="Q58" s="22"/>
      <c r="R58" s="22"/>
      <c r="S58" s="22"/>
      <c r="T58" s="22"/>
      <c r="U58" s="21"/>
      <c r="V58" s="21"/>
      <c r="W58" s="21"/>
      <c r="X58" s="21"/>
      <c r="Y58" s="21"/>
      <c r="Z58" s="21"/>
    </row>
    <row r="59" spans="1:26" ht="16" customHeight="1">
      <c r="A59" s="24" t="s">
        <v>500</v>
      </c>
      <c r="B59" s="26" t="s">
        <v>501</v>
      </c>
      <c r="C59" s="21"/>
      <c r="D59" s="21"/>
      <c r="E59" s="21"/>
      <c r="F59" s="21"/>
      <c r="G59" s="21"/>
      <c r="H59" s="21"/>
      <c r="I59" s="21"/>
      <c r="J59" s="24" t="s">
        <v>500</v>
      </c>
      <c r="K59" s="30" t="s">
        <v>502</v>
      </c>
      <c r="L59" s="21"/>
      <c r="M59" s="21"/>
      <c r="N59" s="21"/>
      <c r="O59" s="21"/>
      <c r="P59" s="21"/>
      <c r="Q59" s="21"/>
      <c r="R59" s="21"/>
      <c r="S59" s="21"/>
      <c r="T59" s="22"/>
      <c r="U59" s="21"/>
      <c r="V59" s="21"/>
      <c r="W59" s="21"/>
      <c r="X59" s="21"/>
      <c r="Y59" s="21"/>
      <c r="Z59" s="21"/>
    </row>
    <row r="60" spans="1:26" ht="16" customHeight="1">
      <c r="A60" s="22"/>
      <c r="B60" s="21"/>
      <c r="C60" s="21"/>
      <c r="D60" s="21"/>
      <c r="E60" s="21"/>
      <c r="F60" s="21"/>
      <c r="G60" s="21"/>
      <c r="H60" s="21"/>
      <c r="I60" s="21"/>
      <c r="J60" s="22"/>
      <c r="K60" s="21"/>
      <c r="L60" s="21"/>
      <c r="M60" s="21"/>
      <c r="N60" s="21"/>
      <c r="O60" s="21"/>
      <c r="P60" s="21"/>
      <c r="Q60" s="21"/>
      <c r="R60" s="21"/>
      <c r="S60" s="21"/>
      <c r="T60" s="22"/>
      <c r="U60" s="21"/>
      <c r="V60" s="21"/>
      <c r="W60" s="21"/>
      <c r="X60" s="21"/>
      <c r="Y60" s="21"/>
      <c r="Z60" s="21"/>
    </row>
    <row r="61" spans="1:26" ht="16"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6" customHeight="1">
      <c r="A62" s="22"/>
      <c r="B62" s="22"/>
      <c r="C62" s="22"/>
      <c r="D62" s="22"/>
      <c r="E62" s="22"/>
      <c r="F62" s="22"/>
      <c r="G62" s="22"/>
      <c r="H62" s="22"/>
      <c r="I62" s="22"/>
      <c r="J62" s="24" t="s">
        <v>205</v>
      </c>
      <c r="K62" s="30" t="s">
        <v>503</v>
      </c>
      <c r="L62" s="21"/>
      <c r="M62" s="21"/>
      <c r="N62" s="21"/>
      <c r="O62" s="21"/>
      <c r="P62" s="21"/>
      <c r="Q62" s="21"/>
      <c r="R62" s="21"/>
      <c r="S62" s="21"/>
      <c r="T62" s="22"/>
      <c r="U62" s="22"/>
      <c r="V62" s="22"/>
      <c r="W62" s="22"/>
      <c r="X62" s="22"/>
      <c r="Y62" s="22"/>
      <c r="Z62" s="22"/>
    </row>
    <row r="63" spans="1:26" ht="16" customHeight="1">
      <c r="A63" s="22"/>
      <c r="B63" s="22"/>
      <c r="C63" s="22"/>
      <c r="D63" s="22"/>
      <c r="E63" s="22"/>
      <c r="F63" s="22"/>
      <c r="G63" s="22"/>
      <c r="H63" s="22"/>
      <c r="I63" s="22"/>
      <c r="J63" s="22"/>
      <c r="K63" s="21"/>
      <c r="L63" s="21"/>
      <c r="M63" s="21"/>
      <c r="N63" s="21"/>
      <c r="O63" s="21"/>
      <c r="P63" s="21"/>
      <c r="Q63" s="21"/>
      <c r="R63" s="21"/>
      <c r="S63" s="21"/>
      <c r="T63" s="22"/>
      <c r="U63" s="22"/>
      <c r="V63" s="22"/>
      <c r="W63" s="22"/>
      <c r="X63" s="22"/>
      <c r="Y63" s="22"/>
      <c r="Z63" s="22"/>
    </row>
    <row r="64" spans="1:26" ht="16"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6" customHeight="1">
      <c r="A65" s="22"/>
      <c r="B65" s="22"/>
      <c r="C65" s="22"/>
      <c r="D65" s="22"/>
      <c r="E65" s="22"/>
      <c r="F65" s="22"/>
      <c r="G65" s="22"/>
      <c r="H65" s="22"/>
      <c r="I65" s="22"/>
      <c r="J65" s="24" t="s">
        <v>165</v>
      </c>
      <c r="K65" s="30" t="s">
        <v>504</v>
      </c>
      <c r="L65" s="21"/>
      <c r="M65" s="21"/>
      <c r="N65" s="21"/>
      <c r="O65" s="21"/>
      <c r="P65" s="21"/>
      <c r="Q65" s="21"/>
      <c r="R65" s="21"/>
      <c r="S65" s="21"/>
      <c r="T65" s="22"/>
      <c r="U65" s="22"/>
      <c r="V65" s="22"/>
      <c r="W65" s="22"/>
      <c r="X65" s="22"/>
      <c r="Y65" s="22"/>
      <c r="Z65" s="22"/>
    </row>
    <row r="66" spans="1:26" ht="16" customHeight="1">
      <c r="A66" s="22"/>
      <c r="B66" s="22"/>
      <c r="C66" s="22"/>
      <c r="D66" s="22"/>
      <c r="E66" s="22"/>
      <c r="F66" s="22"/>
      <c r="G66" s="22"/>
      <c r="H66" s="22"/>
      <c r="I66" s="22"/>
      <c r="J66" s="22"/>
      <c r="K66" s="21"/>
      <c r="L66" s="21"/>
      <c r="M66" s="21"/>
      <c r="N66" s="21"/>
      <c r="O66" s="21"/>
      <c r="P66" s="21"/>
      <c r="Q66" s="21"/>
      <c r="R66" s="21"/>
      <c r="S66" s="21"/>
      <c r="T66" s="22"/>
      <c r="U66" s="22"/>
      <c r="V66" s="22"/>
      <c r="W66" s="22"/>
      <c r="X66" s="22"/>
      <c r="Y66" s="22"/>
      <c r="Z66" s="22"/>
    </row>
    <row r="67" spans="1:26" ht="16"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6" customHeight="1">
      <c r="A68" s="22"/>
      <c r="B68" s="22"/>
      <c r="C68" s="22"/>
      <c r="D68" s="22"/>
      <c r="E68" s="22"/>
      <c r="F68" s="22"/>
      <c r="G68" s="22"/>
      <c r="H68" s="22"/>
      <c r="I68" s="22"/>
      <c r="J68" s="24" t="s">
        <v>180</v>
      </c>
      <c r="K68" s="30" t="s">
        <v>505</v>
      </c>
      <c r="L68" s="21"/>
      <c r="M68" s="21"/>
      <c r="N68" s="21"/>
      <c r="O68" s="21"/>
      <c r="P68" s="21"/>
      <c r="Q68" s="21"/>
      <c r="R68" s="21"/>
      <c r="S68" s="21"/>
      <c r="T68" s="22"/>
      <c r="U68" s="22"/>
      <c r="V68" s="22"/>
      <c r="W68" s="22"/>
      <c r="X68" s="22"/>
      <c r="Y68" s="22"/>
      <c r="Z68" s="22"/>
    </row>
    <row r="69" spans="1:26" ht="16" customHeight="1">
      <c r="A69" s="22"/>
      <c r="B69" s="22"/>
      <c r="C69" s="22"/>
      <c r="D69" s="22"/>
      <c r="E69" s="22"/>
      <c r="F69" s="22"/>
      <c r="G69" s="22"/>
      <c r="H69" s="22"/>
      <c r="I69" s="22"/>
      <c r="J69" s="22"/>
      <c r="K69" s="21"/>
      <c r="L69" s="21"/>
      <c r="M69" s="21"/>
      <c r="N69" s="21"/>
      <c r="O69" s="21"/>
      <c r="P69" s="21"/>
      <c r="Q69" s="21"/>
      <c r="R69" s="21"/>
      <c r="S69" s="21"/>
      <c r="T69" s="22"/>
      <c r="U69" s="22"/>
      <c r="V69" s="22"/>
      <c r="W69" s="22"/>
      <c r="X69" s="22"/>
      <c r="Y69" s="22"/>
      <c r="Z69" s="22"/>
    </row>
    <row r="70" spans="1:26" ht="16"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6"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6"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6"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6"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6"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sheetData>
  <mergeCells count="42">
    <mergeCell ref="K65:S66"/>
    <mergeCell ref="K68:S69"/>
    <mergeCell ref="B56:I57"/>
    <mergeCell ref="K56:S57"/>
    <mergeCell ref="U57:Z60"/>
    <mergeCell ref="B59:I60"/>
    <mergeCell ref="K59:S60"/>
    <mergeCell ref="K62:S63"/>
    <mergeCell ref="B47:I48"/>
    <mergeCell ref="K47:S48"/>
    <mergeCell ref="U47:Z50"/>
    <mergeCell ref="B50:I51"/>
    <mergeCell ref="K50:S51"/>
    <mergeCell ref="U52:Z55"/>
    <mergeCell ref="B53:I54"/>
    <mergeCell ref="K53:S54"/>
    <mergeCell ref="S32:Y34"/>
    <mergeCell ref="S36:S38"/>
    <mergeCell ref="A39:I40"/>
    <mergeCell ref="J39:S40"/>
    <mergeCell ref="T39:Z40"/>
    <mergeCell ref="B41:I42"/>
    <mergeCell ref="K41:S42"/>
    <mergeCell ref="U42:Z45"/>
    <mergeCell ref="B44:I45"/>
    <mergeCell ref="K44:S45"/>
    <mergeCell ref="Z14:Z16"/>
    <mergeCell ref="S19:Y21"/>
    <mergeCell ref="S25:Y27"/>
    <mergeCell ref="A26:H27"/>
    <mergeCell ref="B29:H29"/>
    <mergeCell ref="B31:H31"/>
    <mergeCell ref="A1:Z2"/>
    <mergeCell ref="A4:H5"/>
    <mergeCell ref="R4:Z5"/>
    <mergeCell ref="B7:H7"/>
    <mergeCell ref="S7:Y9"/>
    <mergeCell ref="I8:I35"/>
    <mergeCell ref="Q8:Q35"/>
    <mergeCell ref="B9:H10"/>
    <mergeCell ref="S10:Y12"/>
    <mergeCell ref="S14:Y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zoomScale="55" zoomScaleNormal="55" workbookViewId="0">
      <selection activeCell="C10" sqref="C10"/>
    </sheetView>
  </sheetViews>
  <sheetFormatPr defaultColWidth="8.6328125" defaultRowHeight="14.5"/>
  <cols>
    <col min="1" max="1" width="11.36328125" customWidth="1"/>
    <col min="2" max="2" width="47.453125" customWidth="1"/>
    <col min="3" max="3" width="62.90625" customWidth="1"/>
    <col min="4" max="4" width="20" customWidth="1"/>
    <col min="5" max="5" width="25" customWidth="1"/>
    <col min="6" max="6" width="42" customWidth="1"/>
  </cols>
  <sheetData>
    <row r="1" spans="1:6" ht="27.75" customHeight="1">
      <c r="A1" s="19" t="s">
        <v>215</v>
      </c>
      <c r="B1" s="19"/>
      <c r="C1" s="19"/>
      <c r="D1" s="19"/>
      <c r="E1" s="19"/>
      <c r="F1" s="19"/>
    </row>
    <row r="2" spans="1:6" ht="19.5" customHeight="1">
      <c r="A2" s="5" t="s">
        <v>2</v>
      </c>
      <c r="B2" s="5" t="s">
        <v>216</v>
      </c>
      <c r="C2" s="5" t="s">
        <v>217</v>
      </c>
      <c r="D2" s="5" t="s">
        <v>218</v>
      </c>
      <c r="E2" s="5" t="s">
        <v>219</v>
      </c>
      <c r="F2" s="5" t="s">
        <v>220</v>
      </c>
    </row>
    <row r="3" spans="1:6" ht="69.75" customHeight="1">
      <c r="A3" s="7">
        <v>1</v>
      </c>
      <c r="B3" s="7" t="s">
        <v>221</v>
      </c>
      <c r="C3" s="7" t="s">
        <v>222</v>
      </c>
      <c r="D3" s="7" t="s">
        <v>223</v>
      </c>
      <c r="E3" s="7" t="s">
        <v>224</v>
      </c>
      <c r="F3" s="7" t="s">
        <v>225</v>
      </c>
    </row>
    <row r="4" spans="1:6" ht="69.75" customHeight="1">
      <c r="A4" s="7">
        <v>2</v>
      </c>
      <c r="B4" s="7" t="s">
        <v>226</v>
      </c>
      <c r="C4" s="7" t="s">
        <v>227</v>
      </c>
      <c r="D4" s="7" t="s">
        <v>228</v>
      </c>
      <c r="E4" s="7" t="s">
        <v>229</v>
      </c>
      <c r="F4" s="7" t="s">
        <v>230</v>
      </c>
    </row>
    <row r="5" spans="1:6" ht="69.75" customHeight="1">
      <c r="A5" s="7">
        <v>3</v>
      </c>
      <c r="B5" s="7" t="s">
        <v>231</v>
      </c>
      <c r="C5" s="7" t="s">
        <v>232</v>
      </c>
      <c r="D5" s="7" t="s">
        <v>233</v>
      </c>
      <c r="E5" s="7" t="s">
        <v>234</v>
      </c>
      <c r="F5" s="7" t="s">
        <v>235</v>
      </c>
    </row>
    <row r="6" spans="1:6" ht="69.75" customHeight="1">
      <c r="A6" s="7">
        <v>4</v>
      </c>
      <c r="B6" s="7" t="s">
        <v>236</v>
      </c>
      <c r="C6" s="7" t="s">
        <v>237</v>
      </c>
      <c r="D6" s="7" t="s">
        <v>238</v>
      </c>
      <c r="E6" s="7" t="s">
        <v>239</v>
      </c>
      <c r="F6" s="7" t="s">
        <v>240</v>
      </c>
    </row>
    <row r="7" spans="1:6" ht="69.75" customHeight="1">
      <c r="A7" s="7">
        <v>5</v>
      </c>
      <c r="B7" s="7" t="s">
        <v>241</v>
      </c>
      <c r="C7" s="7" t="s">
        <v>242</v>
      </c>
      <c r="D7" s="7" t="s">
        <v>243</v>
      </c>
      <c r="E7" s="7" t="s">
        <v>244</v>
      </c>
      <c r="F7" s="7" t="s">
        <v>245</v>
      </c>
    </row>
    <row r="8" spans="1:6" ht="69.75" customHeight="1">
      <c r="A8" s="7">
        <v>6</v>
      </c>
      <c r="B8" s="7" t="s">
        <v>246</v>
      </c>
      <c r="C8" s="7" t="s">
        <v>247</v>
      </c>
      <c r="D8" s="7" t="s">
        <v>248</v>
      </c>
      <c r="E8" s="7" t="s">
        <v>249</v>
      </c>
      <c r="F8" s="7" t="s">
        <v>250</v>
      </c>
    </row>
    <row r="9" spans="1:6" ht="69.75" customHeight="1">
      <c r="A9" s="7">
        <v>7</v>
      </c>
      <c r="B9" s="7" t="s">
        <v>251</v>
      </c>
      <c r="C9" s="7" t="s">
        <v>252</v>
      </c>
      <c r="D9" s="7" t="s">
        <v>253</v>
      </c>
      <c r="E9" s="7" t="s">
        <v>254</v>
      </c>
      <c r="F9" s="7" t="s">
        <v>255</v>
      </c>
    </row>
    <row r="10" spans="1:6" ht="69.75" customHeight="1">
      <c r="A10" s="7">
        <v>8</v>
      </c>
      <c r="B10" s="7" t="s">
        <v>256</v>
      </c>
      <c r="C10" s="7" t="s">
        <v>257</v>
      </c>
      <c r="D10" s="7" t="s">
        <v>258</v>
      </c>
      <c r="E10" s="7" t="s">
        <v>259</v>
      </c>
      <c r="F10" s="7" t="s">
        <v>260</v>
      </c>
    </row>
    <row r="11" spans="1:6" ht="69.75" customHeight="1">
      <c r="A11" s="7">
        <v>9</v>
      </c>
      <c r="B11" s="7" t="s">
        <v>261</v>
      </c>
      <c r="C11" s="7" t="s">
        <v>262</v>
      </c>
      <c r="D11" s="7" t="s">
        <v>263</v>
      </c>
      <c r="E11" s="7" t="s">
        <v>264</v>
      </c>
      <c r="F11" s="7" t="s">
        <v>265</v>
      </c>
    </row>
    <row r="12" spans="1:6" ht="69.75" customHeight="1">
      <c r="A12" s="7">
        <v>10</v>
      </c>
      <c r="B12" s="7" t="s">
        <v>266</v>
      </c>
      <c r="C12" s="7" t="s">
        <v>267</v>
      </c>
      <c r="D12" s="7" t="s">
        <v>268</v>
      </c>
      <c r="E12" s="7" t="s">
        <v>269</v>
      </c>
      <c r="F12" s="7" t="s">
        <v>270</v>
      </c>
    </row>
    <row r="13" spans="1:6" ht="69.75" customHeight="1">
      <c r="A13" s="7">
        <v>11</v>
      </c>
      <c r="B13" s="7" t="s">
        <v>271</v>
      </c>
      <c r="C13" s="7" t="s">
        <v>272</v>
      </c>
      <c r="D13" s="7" t="s">
        <v>253</v>
      </c>
      <c r="E13" s="7" t="s">
        <v>273</v>
      </c>
      <c r="F13" s="7" t="s">
        <v>274</v>
      </c>
    </row>
  </sheetData>
  <mergeCells count="1">
    <mergeCell ref="A1:F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zoomScaleNormal="100" workbookViewId="0">
      <selection sqref="A1:E1"/>
    </sheetView>
  </sheetViews>
  <sheetFormatPr defaultColWidth="8.6328125" defaultRowHeight="14.5"/>
  <cols>
    <col min="1" max="1" width="35" customWidth="1"/>
    <col min="2" max="2" width="60" customWidth="1"/>
    <col min="3" max="3" width="45" customWidth="1"/>
    <col min="4" max="4" width="12" customWidth="1"/>
    <col min="5" max="5" width="35" customWidth="1"/>
  </cols>
  <sheetData>
    <row r="1" spans="1:5" ht="27.75" customHeight="1">
      <c r="A1" s="4" t="s">
        <v>137</v>
      </c>
      <c r="B1" s="4"/>
      <c r="C1" s="4"/>
      <c r="D1" s="4"/>
      <c r="E1" s="4"/>
    </row>
    <row r="2" spans="1:5" ht="19.5" customHeight="1">
      <c r="A2" s="5" t="s">
        <v>5</v>
      </c>
      <c r="B2" s="5" t="s">
        <v>138</v>
      </c>
      <c r="C2" s="5" t="s">
        <v>139</v>
      </c>
      <c r="D2" s="5" t="s">
        <v>140</v>
      </c>
      <c r="E2" s="5" t="s">
        <v>141</v>
      </c>
    </row>
    <row r="3" spans="1:5" ht="54.75" customHeight="1">
      <c r="A3" s="7" t="s">
        <v>142</v>
      </c>
      <c r="B3" s="7" t="s">
        <v>143</v>
      </c>
      <c r="C3" s="7" t="s">
        <v>144</v>
      </c>
      <c r="D3" s="7" t="s">
        <v>145</v>
      </c>
      <c r="E3" s="7" t="s">
        <v>146</v>
      </c>
    </row>
    <row r="4" spans="1:5" ht="54.75" customHeight="1">
      <c r="A4" s="7" t="s">
        <v>147</v>
      </c>
      <c r="B4" s="7" t="s">
        <v>148</v>
      </c>
      <c r="C4" s="7" t="s">
        <v>149</v>
      </c>
      <c r="D4" s="7" t="s">
        <v>150</v>
      </c>
      <c r="E4" s="7" t="s">
        <v>151</v>
      </c>
    </row>
    <row r="5" spans="1:5" ht="54.75" customHeight="1">
      <c r="A5" s="7" t="s">
        <v>152</v>
      </c>
      <c r="B5" s="7" t="s">
        <v>153</v>
      </c>
      <c r="C5" s="7" t="s">
        <v>154</v>
      </c>
      <c r="D5" s="7" t="s">
        <v>155</v>
      </c>
      <c r="E5" s="7" t="s">
        <v>156</v>
      </c>
    </row>
    <row r="6" spans="1:5" ht="54.75" customHeight="1">
      <c r="A6" s="7" t="s">
        <v>157</v>
      </c>
      <c r="B6" s="7" t="s">
        <v>158</v>
      </c>
      <c r="C6" s="7" t="s">
        <v>159</v>
      </c>
      <c r="D6" s="7" t="s">
        <v>160</v>
      </c>
      <c r="E6" s="7" t="s">
        <v>161</v>
      </c>
    </row>
    <row r="7" spans="1:5" ht="54.75" customHeight="1">
      <c r="A7" s="7" t="s">
        <v>162</v>
      </c>
      <c r="B7" s="7" t="s">
        <v>163</v>
      </c>
      <c r="C7" s="7" t="s">
        <v>164</v>
      </c>
      <c r="D7" s="7" t="s">
        <v>165</v>
      </c>
      <c r="E7" s="7" t="s">
        <v>166</v>
      </c>
    </row>
    <row r="8" spans="1:5" ht="54.75" customHeight="1">
      <c r="A8" s="7" t="s">
        <v>167</v>
      </c>
      <c r="B8" s="7" t="s">
        <v>168</v>
      </c>
      <c r="C8" s="7" t="s">
        <v>169</v>
      </c>
      <c r="D8" s="7" t="s">
        <v>170</v>
      </c>
      <c r="E8" s="7" t="s">
        <v>171</v>
      </c>
    </row>
    <row r="9" spans="1:5" ht="54.75" customHeight="1">
      <c r="A9" s="7" t="s">
        <v>172</v>
      </c>
      <c r="B9" s="7" t="s">
        <v>173</v>
      </c>
      <c r="C9" s="7" t="s">
        <v>174</v>
      </c>
      <c r="D9" s="7" t="s">
        <v>175</v>
      </c>
      <c r="E9" s="7" t="s">
        <v>176</v>
      </c>
    </row>
    <row r="10" spans="1:5" ht="54.75" customHeight="1">
      <c r="A10" s="7" t="s">
        <v>177</v>
      </c>
      <c r="B10" s="7" t="s">
        <v>178</v>
      </c>
      <c r="C10" s="7" t="s">
        <v>179</v>
      </c>
      <c r="D10" s="7" t="s">
        <v>180</v>
      </c>
      <c r="E10" s="7" t="s">
        <v>181</v>
      </c>
    </row>
    <row r="11" spans="1:5" ht="54.75" customHeight="1">
      <c r="A11" s="7" t="s">
        <v>182</v>
      </c>
      <c r="B11" s="7" t="s">
        <v>183</v>
      </c>
      <c r="C11" s="7" t="s">
        <v>184</v>
      </c>
      <c r="D11" s="7" t="s">
        <v>185</v>
      </c>
      <c r="E11" s="7" t="s">
        <v>186</v>
      </c>
    </row>
    <row r="12" spans="1:5" ht="54.75" customHeight="1">
      <c r="A12" s="7" t="s">
        <v>187</v>
      </c>
      <c r="B12" s="7" t="s">
        <v>188</v>
      </c>
      <c r="C12" s="7" t="s">
        <v>189</v>
      </c>
      <c r="D12" s="7" t="s">
        <v>190</v>
      </c>
      <c r="E12" s="7" t="s">
        <v>191</v>
      </c>
    </row>
    <row r="13" spans="1:5" ht="54.75" customHeight="1">
      <c r="A13" s="7" t="s">
        <v>192</v>
      </c>
      <c r="B13" s="7" t="s">
        <v>193</v>
      </c>
      <c r="C13" s="7" t="s">
        <v>194</v>
      </c>
      <c r="D13" s="7" t="s">
        <v>195</v>
      </c>
      <c r="E13" s="7" t="s">
        <v>196</v>
      </c>
    </row>
    <row r="14" spans="1:5" ht="54.75" customHeight="1">
      <c r="A14" s="7" t="s">
        <v>197</v>
      </c>
      <c r="B14" s="7" t="s">
        <v>198</v>
      </c>
      <c r="C14" s="7" t="s">
        <v>199</v>
      </c>
      <c r="D14" s="7" t="s">
        <v>200</v>
      </c>
      <c r="E14" s="7" t="s">
        <v>201</v>
      </c>
    </row>
    <row r="15" spans="1:5" ht="54.75" customHeight="1">
      <c r="A15" s="7" t="s">
        <v>202</v>
      </c>
      <c r="B15" s="7" t="s">
        <v>203</v>
      </c>
      <c r="C15" s="7" t="s">
        <v>204</v>
      </c>
      <c r="D15" s="7" t="s">
        <v>205</v>
      </c>
      <c r="E15" s="7" t="s">
        <v>206</v>
      </c>
    </row>
    <row r="16" spans="1:5" ht="54.75" customHeight="1">
      <c r="A16" s="7" t="s">
        <v>129</v>
      </c>
      <c r="B16" s="7" t="s">
        <v>207</v>
      </c>
      <c r="C16" s="7" t="s">
        <v>208</v>
      </c>
      <c r="D16" s="7" t="s">
        <v>209</v>
      </c>
      <c r="E16" s="7" t="s">
        <v>210</v>
      </c>
    </row>
    <row r="17" spans="1:5" ht="54.75" customHeight="1">
      <c r="A17" s="7" t="s">
        <v>211</v>
      </c>
      <c r="B17" s="7" t="s">
        <v>212</v>
      </c>
      <c r="C17" s="7" t="s">
        <v>213</v>
      </c>
      <c r="D17" s="7" t="s">
        <v>170</v>
      </c>
      <c r="E17" s="7" t="s">
        <v>214</v>
      </c>
    </row>
  </sheetData>
  <mergeCells count="1">
    <mergeCell ref="A1:E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Risk Factor Analysis</vt:lpstr>
      <vt:lpstr>Risk Assessment</vt:lpstr>
      <vt:lpstr>Risk Board</vt:lpstr>
      <vt:lpstr>Summary</vt:lpstr>
      <vt:lpstr>Source Basis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ab03</dc:creator>
  <dc:description/>
  <cp:lastModifiedBy>ADAM BEATTY</cp:lastModifiedBy>
  <cp:revision>0</cp:revision>
  <dcterms:created xsi:type="dcterms:W3CDTF">2026-05-11T08:24:46Z</dcterms:created>
  <dcterms:modified xsi:type="dcterms:W3CDTF">2026-05-11T15:06:25Z</dcterms:modified>
  <dc:language>en-US</dc:language>
</cp:coreProperties>
</file>