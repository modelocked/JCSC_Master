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JCSC\10. OPP\Model_OPP_products\"/>
    </mc:Choice>
  </mc:AlternateContent>
  <xr:revisionPtr revIDLastSave="0" documentId="8_{D8DB70CD-429F-4235-887F-A398F1EF56DE}" xr6:coauthVersionLast="47" xr6:coauthVersionMax="47" xr10:uidLastSave="{00000000-0000-0000-0000-000000000000}"/>
  <bookViews>
    <workbookView xWindow="67080" yWindow="-120" windowWidth="29040" windowHeight="17520" activeTab="3" xr2:uid="{00000000-000D-0000-FFFF-FFFF00000000}"/>
  </bookViews>
  <sheets>
    <sheet name="README" sheetId="1" r:id="rId1"/>
    <sheet name="ASCOPE_PMESII" sheetId="2" r:id="rId2"/>
    <sheet name="ASCOPE_PMESII Labels" sheetId="3" r:id="rId3"/>
    <sheet name="Factor Analysis" sheetId="4" r:id="rId4"/>
    <sheet name="Master Factors" sheetId="5" r:id="rId5"/>
    <sheet name="Synch Matrix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6" l="1"/>
  <c r="P43" i="6" s="1"/>
  <c r="AI54" i="5" a="1"/>
  <c r="AI54" i="5"/>
  <c r="AH54" i="5" a="1"/>
  <c r="AH54" i="5"/>
  <c r="AG54" i="5" a="1"/>
  <c r="AG54" i="5"/>
  <c r="AF54" i="5" a="1"/>
  <c r="AF54" i="5"/>
  <c r="AE54" i="5" a="1"/>
  <c r="AE54" i="5"/>
  <c r="AD54" i="5" a="1"/>
  <c r="AD54" i="5"/>
  <c r="AC54" i="5" a="1"/>
  <c r="AC54" i="5"/>
  <c r="AB54" i="5" a="1"/>
  <c r="AB54" i="5"/>
  <c r="AA54" i="5" a="1"/>
  <c r="AA54" i="5"/>
  <c r="Z54" i="5" a="1"/>
  <c r="Z54" i="5"/>
  <c r="Y54" i="5" a="1"/>
  <c r="Y54" i="5"/>
  <c r="X54" i="5" a="1"/>
  <c r="X54" i="5"/>
  <c r="W54" i="5" a="1"/>
  <c r="W54" i="5"/>
  <c r="V54" i="5" a="1"/>
  <c r="V54" i="5"/>
  <c r="U54" i="5" a="1"/>
  <c r="U54" i="5"/>
  <c r="T54" i="5" a="1"/>
  <c r="T54" i="5"/>
  <c r="S54" i="5" a="1"/>
  <c r="S54" i="5"/>
  <c r="R54" i="5" a="1"/>
  <c r="R54" i="5"/>
  <c r="P54" i="5" a="1"/>
  <c r="P54" i="5"/>
  <c r="O54" i="5" a="1"/>
  <c r="O54" i="5"/>
  <c r="N54" i="5"/>
  <c r="I54" i="5" a="1"/>
  <c r="I54" i="5"/>
  <c r="H54" i="5" a="1"/>
  <c r="H54" i="5"/>
  <c r="G54" i="5"/>
  <c r="C54" i="5" a="1"/>
  <c r="C54" i="5"/>
  <c r="B54" i="5" a="1"/>
  <c r="B54" i="5"/>
  <c r="AI53" i="5" a="1"/>
  <c r="AI53" i="5"/>
  <c r="AH53" i="5" a="1"/>
  <c r="AH53" i="5"/>
  <c r="AG53" i="5" a="1"/>
  <c r="AG53" i="5"/>
  <c r="AF53" i="5" a="1"/>
  <c r="AF53" i="5"/>
  <c r="AE53" i="5" a="1"/>
  <c r="AE53" i="5"/>
  <c r="AD53" i="5" a="1"/>
  <c r="AD53" i="5"/>
  <c r="AC53" i="5" a="1"/>
  <c r="AC53" i="5"/>
  <c r="AB53" i="5" a="1"/>
  <c r="AB53" i="5"/>
  <c r="AA53" i="5" a="1"/>
  <c r="AA53" i="5"/>
  <c r="Z53" i="5" a="1"/>
  <c r="Z53" i="5"/>
  <c r="Y53" i="5" a="1"/>
  <c r="Y53" i="5"/>
  <c r="X53" i="5" a="1"/>
  <c r="X53" i="5"/>
  <c r="W53" i="5" a="1"/>
  <c r="W53" i="5"/>
  <c r="V53" i="5" a="1"/>
  <c r="V53" i="5"/>
  <c r="U53" i="5" a="1"/>
  <c r="U53" i="5"/>
  <c r="T53" i="5" a="1"/>
  <c r="T53" i="5"/>
  <c r="S53" i="5" a="1"/>
  <c r="S53" i="5"/>
  <c r="R53" i="5" a="1"/>
  <c r="R53" i="5"/>
  <c r="P53" i="5" a="1"/>
  <c r="P53" i="5"/>
  <c r="O53" i="5" a="1"/>
  <c r="O53" i="5"/>
  <c r="N53" i="5"/>
  <c r="I53" i="5" a="1"/>
  <c r="I53" i="5"/>
  <c r="H53" i="5" a="1"/>
  <c r="H53" i="5"/>
  <c r="G53" i="5"/>
  <c r="C53" i="5" a="1"/>
  <c r="C53" i="5"/>
  <c r="B53" i="5" a="1"/>
  <c r="B53" i="5"/>
  <c r="AI52" i="5" a="1"/>
  <c r="AI52" i="5"/>
  <c r="AH52" i="5" a="1"/>
  <c r="AH52" i="5"/>
  <c r="AG52" i="5" a="1"/>
  <c r="AG52" i="5"/>
  <c r="AF52" i="5" a="1"/>
  <c r="AF52" i="5"/>
  <c r="AE52" i="5" a="1"/>
  <c r="AE52" i="5"/>
  <c r="AD52" i="5" a="1"/>
  <c r="AD52" i="5"/>
  <c r="AC52" i="5" a="1"/>
  <c r="AC52" i="5"/>
  <c r="AB52" i="5" a="1"/>
  <c r="AB52" i="5"/>
  <c r="AA52" i="5" a="1"/>
  <c r="AA52" i="5"/>
  <c r="Z52" i="5" a="1"/>
  <c r="Z52" i="5"/>
  <c r="Y52" i="5" a="1"/>
  <c r="Y52" i="5"/>
  <c r="X52" i="5" a="1"/>
  <c r="X52" i="5"/>
  <c r="W52" i="5" a="1"/>
  <c r="W52" i="5"/>
  <c r="V52" i="5" a="1"/>
  <c r="V52" i="5"/>
  <c r="U52" i="5" a="1"/>
  <c r="U52" i="5"/>
  <c r="T52" i="5" a="1"/>
  <c r="T52" i="5"/>
  <c r="S52" i="5" a="1"/>
  <c r="S52" i="5"/>
  <c r="R52" i="5" a="1"/>
  <c r="R52" i="5"/>
  <c r="P52" i="5" a="1"/>
  <c r="P52" i="5"/>
  <c r="O52" i="5" a="1"/>
  <c r="O52" i="5"/>
  <c r="N52" i="5"/>
  <c r="I52" i="5" a="1"/>
  <c r="I52" i="5"/>
  <c r="H52" i="5" a="1"/>
  <c r="H52" i="5"/>
  <c r="G52" i="5"/>
  <c r="C52" i="5" a="1"/>
  <c r="C52" i="5"/>
  <c r="B52" i="5" a="1"/>
  <c r="B52" i="5"/>
  <c r="AI51" i="5" a="1"/>
  <c r="AI51" i="5"/>
  <c r="AH51" i="5" a="1"/>
  <c r="AH51" i="5"/>
  <c r="AG51" i="5" a="1"/>
  <c r="AG51" i="5"/>
  <c r="AF51" i="5" a="1"/>
  <c r="AF51" i="5"/>
  <c r="AE51" i="5" a="1"/>
  <c r="AE51" i="5"/>
  <c r="AD51" i="5" a="1"/>
  <c r="AD51" i="5"/>
  <c r="AC51" i="5" a="1"/>
  <c r="AC51" i="5"/>
  <c r="AB51" i="5" a="1"/>
  <c r="AB51" i="5"/>
  <c r="AA51" i="5" a="1"/>
  <c r="AA51" i="5"/>
  <c r="Z51" i="5" a="1"/>
  <c r="Z51" i="5"/>
  <c r="Y51" i="5" a="1"/>
  <c r="Y51" i="5"/>
  <c r="X51" i="5" a="1"/>
  <c r="X51" i="5"/>
  <c r="W51" i="5" a="1"/>
  <c r="W51" i="5"/>
  <c r="V51" i="5" a="1"/>
  <c r="V51" i="5"/>
  <c r="U51" i="5" a="1"/>
  <c r="U51" i="5"/>
  <c r="T51" i="5" a="1"/>
  <c r="T51" i="5"/>
  <c r="S51" i="5" a="1"/>
  <c r="S51" i="5"/>
  <c r="R51" i="5" a="1"/>
  <c r="R51" i="5"/>
  <c r="P51" i="5" a="1"/>
  <c r="P51" i="5"/>
  <c r="O51" i="5" a="1"/>
  <c r="O51" i="5"/>
  <c r="N51" i="5"/>
  <c r="I51" i="5" a="1"/>
  <c r="I51" i="5"/>
  <c r="H51" i="5" a="1"/>
  <c r="H51" i="5"/>
  <c r="G51" i="5"/>
  <c r="C51" i="5" a="1"/>
  <c r="C51" i="5"/>
  <c r="B51" i="5" a="1"/>
  <c r="B51" i="5"/>
  <c r="AI50" i="5" a="1"/>
  <c r="AI50" i="5"/>
  <c r="AH50" i="5" a="1"/>
  <c r="AH50" i="5"/>
  <c r="AG50" i="5" a="1"/>
  <c r="AG50" i="5"/>
  <c r="AF50" i="5" a="1"/>
  <c r="AF50" i="5"/>
  <c r="AE50" i="5" a="1"/>
  <c r="AE50" i="5"/>
  <c r="AD50" i="5" a="1"/>
  <c r="AD50" i="5"/>
  <c r="AC50" i="5" a="1"/>
  <c r="AC50" i="5"/>
  <c r="AB50" i="5" a="1"/>
  <c r="AB50" i="5"/>
  <c r="AA50" i="5" a="1"/>
  <c r="AA50" i="5"/>
  <c r="Z50" i="5" a="1"/>
  <c r="Z50" i="5"/>
  <c r="Y50" i="5" a="1"/>
  <c r="Y50" i="5"/>
  <c r="X50" i="5" a="1"/>
  <c r="X50" i="5"/>
  <c r="W50" i="5" a="1"/>
  <c r="W50" i="5"/>
  <c r="V50" i="5" a="1"/>
  <c r="V50" i="5"/>
  <c r="U50" i="5" a="1"/>
  <c r="U50" i="5"/>
  <c r="T50" i="5" a="1"/>
  <c r="T50" i="5"/>
  <c r="S50" i="5" a="1"/>
  <c r="S50" i="5"/>
  <c r="R50" i="5" a="1"/>
  <c r="R50" i="5"/>
  <c r="P50" i="5" a="1"/>
  <c r="P50" i="5"/>
  <c r="O50" i="5" a="1"/>
  <c r="O50" i="5"/>
  <c r="N50" i="5"/>
  <c r="I50" i="5" a="1"/>
  <c r="I50" i="5"/>
  <c r="H50" i="5" a="1"/>
  <c r="H50" i="5"/>
  <c r="G50" i="5"/>
  <c r="C50" i="5" a="1"/>
  <c r="C50" i="5"/>
  <c r="B50" i="5" a="1"/>
  <c r="B50" i="5"/>
  <c r="AI49" i="5" a="1"/>
  <c r="AI49" i="5"/>
  <c r="AH49" i="5" a="1"/>
  <c r="AH49" i="5"/>
  <c r="AG49" i="5" a="1"/>
  <c r="AG49" i="5"/>
  <c r="AF49" i="5" a="1"/>
  <c r="AF49" i="5"/>
  <c r="AE49" i="5" a="1"/>
  <c r="AE49" i="5"/>
  <c r="AD49" i="5" a="1"/>
  <c r="AD49" i="5"/>
  <c r="AC49" i="5" a="1"/>
  <c r="AC49" i="5"/>
  <c r="AB49" i="5" a="1"/>
  <c r="AB49" i="5"/>
  <c r="AA49" i="5" a="1"/>
  <c r="AA49" i="5"/>
  <c r="Z49" i="5" a="1"/>
  <c r="Z49" i="5"/>
  <c r="Y49" i="5" a="1"/>
  <c r="Y49" i="5"/>
  <c r="X49" i="5" a="1"/>
  <c r="X49" i="5"/>
  <c r="W49" i="5" a="1"/>
  <c r="W49" i="5"/>
  <c r="V49" i="5" a="1"/>
  <c r="V49" i="5"/>
  <c r="U49" i="5" a="1"/>
  <c r="U49" i="5"/>
  <c r="T49" i="5" a="1"/>
  <c r="T49" i="5"/>
  <c r="S49" i="5" a="1"/>
  <c r="S49" i="5"/>
  <c r="R49" i="5" a="1"/>
  <c r="R49" i="5"/>
  <c r="P49" i="5" a="1"/>
  <c r="P49" i="5"/>
  <c r="O49" i="5" a="1"/>
  <c r="O49" i="5"/>
  <c r="N49" i="5"/>
  <c r="I49" i="5" a="1"/>
  <c r="I49" i="5"/>
  <c r="H49" i="5" a="1"/>
  <c r="H49" i="5"/>
  <c r="G49" i="5"/>
  <c r="C49" i="5" a="1"/>
  <c r="C49" i="5"/>
  <c r="B49" i="5" a="1"/>
  <c r="B49" i="5"/>
  <c r="AI48" i="5" a="1"/>
  <c r="AI48" i="5"/>
  <c r="AH48" i="5" a="1"/>
  <c r="AH48" i="5"/>
  <c r="AG48" i="5" a="1"/>
  <c r="AG48" i="5"/>
  <c r="AF48" i="5" a="1"/>
  <c r="AF48" i="5"/>
  <c r="AE48" i="5" a="1"/>
  <c r="AE48" i="5"/>
  <c r="AD48" i="5" a="1"/>
  <c r="AD48" i="5"/>
  <c r="AC48" i="5" a="1"/>
  <c r="AC48" i="5"/>
  <c r="AB48" i="5" a="1"/>
  <c r="AB48" i="5"/>
  <c r="AA48" i="5" a="1"/>
  <c r="AA48" i="5"/>
  <c r="Z48" i="5" a="1"/>
  <c r="Z48" i="5"/>
  <c r="Y48" i="5" a="1"/>
  <c r="Y48" i="5"/>
  <c r="X48" i="5" a="1"/>
  <c r="X48" i="5"/>
  <c r="W48" i="5" a="1"/>
  <c r="W48" i="5"/>
  <c r="V48" i="5" a="1"/>
  <c r="V48" i="5"/>
  <c r="U48" i="5" a="1"/>
  <c r="U48" i="5"/>
  <c r="T48" i="5" a="1"/>
  <c r="T48" i="5"/>
  <c r="S48" i="5" a="1"/>
  <c r="S48" i="5"/>
  <c r="R48" i="5" a="1"/>
  <c r="R48" i="5"/>
  <c r="P48" i="5" a="1"/>
  <c r="P48" i="5"/>
  <c r="O48" i="5" a="1"/>
  <c r="O48" i="5"/>
  <c r="N48" i="5"/>
  <c r="I48" i="5" a="1"/>
  <c r="I48" i="5"/>
  <c r="H48" i="5" a="1"/>
  <c r="H48" i="5"/>
  <c r="G48" i="5"/>
  <c r="C48" i="5" a="1"/>
  <c r="C48" i="5"/>
  <c r="B48" i="5" a="1"/>
  <c r="B48" i="5"/>
  <c r="AI47" i="5" a="1"/>
  <c r="AI47" i="5"/>
  <c r="AH47" i="5" a="1"/>
  <c r="AH47" i="5"/>
  <c r="AG47" i="5" a="1"/>
  <c r="AG47" i="5"/>
  <c r="AF47" i="5" a="1"/>
  <c r="AF47" i="5"/>
  <c r="AE47" i="5" a="1"/>
  <c r="AE47" i="5"/>
  <c r="AD47" i="5" a="1"/>
  <c r="AD47" i="5"/>
  <c r="AC47" i="5" a="1"/>
  <c r="AC47" i="5"/>
  <c r="AB47" i="5" a="1"/>
  <c r="AB47" i="5"/>
  <c r="AA47" i="5" a="1"/>
  <c r="AA47" i="5"/>
  <c r="Z47" i="5" a="1"/>
  <c r="Z47" i="5"/>
  <c r="Y47" i="5" a="1"/>
  <c r="Y47" i="5"/>
  <c r="X47" i="5" a="1"/>
  <c r="X47" i="5"/>
  <c r="W47" i="5" a="1"/>
  <c r="W47" i="5"/>
  <c r="V47" i="5" a="1"/>
  <c r="V47" i="5"/>
  <c r="U47" i="5" a="1"/>
  <c r="U47" i="5"/>
  <c r="T47" i="5" a="1"/>
  <c r="T47" i="5"/>
  <c r="S47" i="5" a="1"/>
  <c r="S47" i="5"/>
  <c r="R47" i="5" a="1"/>
  <c r="R47" i="5"/>
  <c r="P47" i="5" a="1"/>
  <c r="P47" i="5"/>
  <c r="O47" i="5" a="1"/>
  <c r="O47" i="5"/>
  <c r="N47" i="5"/>
  <c r="I47" i="5" a="1"/>
  <c r="I47" i="5"/>
  <c r="H47" i="5" a="1"/>
  <c r="H47" i="5" s="1"/>
  <c r="G47" i="5"/>
  <c r="C47" i="5" a="1"/>
  <c r="C47" i="5" s="1"/>
  <c r="B47" i="5" a="1"/>
  <c r="B47" i="5" s="1"/>
  <c r="AI46" i="5" a="1"/>
  <c r="AI46" i="5" s="1"/>
  <c r="AH46" i="5" a="1"/>
  <c r="AH46" i="5" s="1"/>
  <c r="AG46" i="5" a="1"/>
  <c r="AG46" i="5" s="1"/>
  <c r="AF46" i="5" a="1"/>
  <c r="AF46" i="5" s="1"/>
  <c r="AE46" i="5" a="1"/>
  <c r="AE46" i="5" s="1"/>
  <c r="AD46" i="5" a="1"/>
  <c r="AD46" i="5" s="1"/>
  <c r="AC46" i="5" a="1"/>
  <c r="AC46" i="5" s="1"/>
  <c r="AB46" i="5" a="1"/>
  <c r="AB46" i="5" s="1"/>
  <c r="AA46" i="5" a="1"/>
  <c r="AA46" i="5" s="1"/>
  <c r="Z46" i="5" a="1"/>
  <c r="Z46" i="5" s="1"/>
  <c r="Y46" i="5" a="1"/>
  <c r="Y46" i="5" s="1"/>
  <c r="X46" i="5" a="1"/>
  <c r="X46" i="5" s="1"/>
  <c r="W46" i="5" a="1"/>
  <c r="W46" i="5" s="1"/>
  <c r="V46" i="5" a="1"/>
  <c r="V46" i="5" s="1"/>
  <c r="U46" i="5" a="1"/>
  <c r="U46" i="5" s="1"/>
  <c r="T46" i="5" a="1"/>
  <c r="T46" i="5" s="1"/>
  <c r="S46" i="5" a="1"/>
  <c r="S46" i="5" s="1"/>
  <c r="R46" i="5" a="1"/>
  <c r="R46" i="5" s="1"/>
  <c r="P46" i="5" a="1"/>
  <c r="P46" i="5" s="1"/>
  <c r="O46" i="5" a="1"/>
  <c r="O46" i="5" s="1"/>
  <c r="N46" i="5"/>
  <c r="I46" i="5" a="1"/>
  <c r="I46" i="5" s="1"/>
  <c r="H46" i="5" a="1"/>
  <c r="H46" i="5" s="1"/>
  <c r="G46" i="5"/>
  <c r="C46" i="5" a="1"/>
  <c r="C46" i="5" s="1"/>
  <c r="B46" i="5" a="1"/>
  <c r="B46" i="5" s="1"/>
  <c r="AI45" i="5" a="1"/>
  <c r="AI45" i="5" s="1"/>
  <c r="AH45" i="5" a="1"/>
  <c r="AH45" i="5" s="1"/>
  <c r="AG45" i="5" a="1"/>
  <c r="AG45" i="5" s="1"/>
  <c r="AF45" i="5" a="1"/>
  <c r="AF45" i="5" s="1"/>
  <c r="AE45" i="5" a="1"/>
  <c r="AE45" i="5" s="1"/>
  <c r="AD45" i="5" a="1"/>
  <c r="AD45" i="5" s="1"/>
  <c r="AC45" i="5" a="1"/>
  <c r="AC45" i="5" s="1"/>
  <c r="AB45" i="5" a="1"/>
  <c r="AB45" i="5" s="1"/>
  <c r="AA45" i="5" a="1"/>
  <c r="AA45" i="5" s="1"/>
  <c r="Z45" i="5" a="1"/>
  <c r="Z45" i="5" s="1"/>
  <c r="Y45" i="5" a="1"/>
  <c r="Y45" i="5" s="1"/>
  <c r="X45" i="5" a="1"/>
  <c r="X45" i="5" s="1"/>
  <c r="W45" i="5" a="1"/>
  <c r="W45" i="5" s="1"/>
  <c r="V45" i="5" a="1"/>
  <c r="V45" i="5" s="1"/>
  <c r="U45" i="5" a="1"/>
  <c r="U45" i="5" s="1"/>
  <c r="T45" i="5" a="1"/>
  <c r="T45" i="5" s="1"/>
  <c r="S45" i="5" a="1"/>
  <c r="S45" i="5" s="1"/>
  <c r="R45" i="5" a="1"/>
  <c r="R45" i="5" s="1"/>
  <c r="P45" i="5" a="1"/>
  <c r="P45" i="5" s="1"/>
  <c r="O45" i="5" a="1"/>
  <c r="O45" i="5" s="1"/>
  <c r="N45" i="5"/>
  <c r="I45" i="5" a="1"/>
  <c r="I45" i="5" s="1"/>
  <c r="H45" i="5" a="1"/>
  <c r="H45" i="5" s="1"/>
  <c r="G45" i="5"/>
  <c r="C45" i="5" a="1"/>
  <c r="C45" i="5" s="1"/>
  <c r="B45" i="5" a="1"/>
  <c r="B45" i="5" s="1"/>
  <c r="AI44" i="5" a="1"/>
  <c r="AI44" i="5" s="1"/>
  <c r="AH44" i="5" a="1"/>
  <c r="AH44" i="5" s="1"/>
  <c r="AG44" i="5" a="1"/>
  <c r="AG44" i="5" s="1"/>
  <c r="AF44" i="5" a="1"/>
  <c r="AF44" i="5" s="1"/>
  <c r="AE44" i="5" a="1"/>
  <c r="AE44" i="5" s="1"/>
  <c r="AD44" i="5" a="1"/>
  <c r="AD44" i="5" s="1"/>
  <c r="AC44" i="5" a="1"/>
  <c r="AC44" i="5" s="1"/>
  <c r="AB44" i="5" a="1"/>
  <c r="AB44" i="5" s="1"/>
  <c r="AA44" i="5" a="1"/>
  <c r="AA44" i="5" s="1"/>
  <c r="Z44" i="5" a="1"/>
  <c r="Z44" i="5" s="1"/>
  <c r="Y44" i="5" a="1"/>
  <c r="Y44" i="5" s="1"/>
  <c r="X44" i="5" a="1"/>
  <c r="X44" i="5" s="1"/>
  <c r="W44" i="5" a="1"/>
  <c r="W44" i="5" s="1"/>
  <c r="V44" i="5" a="1"/>
  <c r="V44" i="5" s="1"/>
  <c r="U44" i="5" a="1"/>
  <c r="U44" i="5" s="1"/>
  <c r="T44" i="5" a="1"/>
  <c r="T44" i="5" s="1"/>
  <c r="S44" i="5" a="1"/>
  <c r="S44" i="5" s="1"/>
  <c r="R44" i="5" a="1"/>
  <c r="R44" i="5" s="1"/>
  <c r="P44" i="5" a="1"/>
  <c r="P44" i="5" s="1"/>
  <c r="O44" i="5" a="1"/>
  <c r="O44" i="5" s="1"/>
  <c r="N44" i="5"/>
  <c r="I44" i="5" a="1"/>
  <c r="I44" i="5" s="1"/>
  <c r="H44" i="5" a="1"/>
  <c r="H44" i="5" s="1"/>
  <c r="G44" i="5"/>
  <c r="C44" i="5" a="1"/>
  <c r="C44" i="5" s="1"/>
  <c r="B44" i="5" a="1"/>
  <c r="B44" i="5" s="1"/>
  <c r="AI43" i="5" a="1"/>
  <c r="AI43" i="5" s="1"/>
  <c r="AH43" i="5" a="1"/>
  <c r="AH43" i="5" s="1"/>
  <c r="AG43" i="5" a="1"/>
  <c r="AG43" i="5" s="1"/>
  <c r="AF43" i="5" a="1"/>
  <c r="AF43" i="5" s="1"/>
  <c r="AE43" i="5" a="1"/>
  <c r="AE43" i="5" s="1"/>
  <c r="AD43" i="5" a="1"/>
  <c r="AD43" i="5" s="1"/>
  <c r="AC43" i="5" a="1"/>
  <c r="AC43" i="5" s="1"/>
  <c r="AB43" i="5" a="1"/>
  <c r="AB43" i="5" s="1"/>
  <c r="AA43" i="5" a="1"/>
  <c r="AA43" i="5" s="1"/>
  <c r="Z43" i="5" a="1"/>
  <c r="Z43" i="5" s="1"/>
  <c r="Y43" i="5" a="1"/>
  <c r="Y43" i="5" s="1"/>
  <c r="X43" i="5" a="1"/>
  <c r="X43" i="5" s="1"/>
  <c r="W43" i="5" a="1"/>
  <c r="W43" i="5" s="1"/>
  <c r="V43" i="5" a="1"/>
  <c r="V43" i="5" s="1"/>
  <c r="U43" i="5" a="1"/>
  <c r="U43" i="5" s="1"/>
  <c r="T43" i="5" a="1"/>
  <c r="T43" i="5" s="1"/>
  <c r="S43" i="5" a="1"/>
  <c r="S43" i="5" s="1"/>
  <c r="R43" i="5" a="1"/>
  <c r="R43" i="5" s="1"/>
  <c r="P43" i="5" a="1"/>
  <c r="P43" i="5" s="1"/>
  <c r="O43" i="5" a="1"/>
  <c r="O43" i="5" s="1"/>
  <c r="N43" i="5"/>
  <c r="I43" i="5" a="1"/>
  <c r="I43" i="5" s="1"/>
  <c r="H43" i="5" a="1"/>
  <c r="H43" i="5" s="1"/>
  <c r="G43" i="5"/>
  <c r="C43" i="5" a="1"/>
  <c r="C43" i="5" s="1"/>
  <c r="B43" i="5" a="1"/>
  <c r="B43" i="5" s="1"/>
  <c r="AI42" i="5" a="1"/>
  <c r="AI42" i="5" s="1"/>
  <c r="AH42" i="5" a="1"/>
  <c r="AH42" i="5" s="1"/>
  <c r="AG42" i="5" a="1"/>
  <c r="AG42" i="5" s="1"/>
  <c r="AF42" i="5" a="1"/>
  <c r="AF42" i="5" s="1"/>
  <c r="AE42" i="5" a="1"/>
  <c r="AE42" i="5" s="1"/>
  <c r="AD42" i="5" a="1"/>
  <c r="AD42" i="5" s="1"/>
  <c r="AC42" i="5" a="1"/>
  <c r="AC42" i="5" s="1"/>
  <c r="AB42" i="5" a="1"/>
  <c r="AB42" i="5" s="1"/>
  <c r="AA42" i="5" a="1"/>
  <c r="AA42" i="5" s="1"/>
  <c r="Z42" i="5" a="1"/>
  <c r="Z42" i="5" s="1"/>
  <c r="Y42" i="5" a="1"/>
  <c r="Y42" i="5" s="1"/>
  <c r="X42" i="5" a="1"/>
  <c r="X42" i="5" s="1"/>
  <c r="W42" i="5" a="1"/>
  <c r="W42" i="5" s="1"/>
  <c r="V42" i="5" a="1"/>
  <c r="V42" i="5" s="1"/>
  <c r="U42" i="5" a="1"/>
  <c r="U42" i="5" s="1"/>
  <c r="T42" i="5" a="1"/>
  <c r="T42" i="5" s="1"/>
  <c r="S42" i="5" a="1"/>
  <c r="S42" i="5" s="1"/>
  <c r="R42" i="5" a="1"/>
  <c r="R42" i="5" s="1"/>
  <c r="P42" i="5" a="1"/>
  <c r="P42" i="5" s="1"/>
  <c r="O42" i="5" a="1"/>
  <c r="O42" i="5" s="1"/>
  <c r="N42" i="5"/>
  <c r="I42" i="5" a="1"/>
  <c r="I42" i="5" s="1"/>
  <c r="H42" i="5" a="1"/>
  <c r="H42" i="5" s="1"/>
  <c r="G42" i="5"/>
  <c r="C42" i="5" a="1"/>
  <c r="C42" i="5" s="1"/>
  <c r="B42" i="5" a="1"/>
  <c r="B42" i="5" s="1"/>
  <c r="AI41" i="5" a="1"/>
  <c r="AI41" i="5" s="1"/>
  <c r="AH41" i="5" a="1"/>
  <c r="AH41" i="5" s="1"/>
  <c r="AG41" i="5" a="1"/>
  <c r="AG41" i="5" s="1"/>
  <c r="AF41" i="5" a="1"/>
  <c r="AF41" i="5" s="1"/>
  <c r="AE41" i="5" a="1"/>
  <c r="AE41" i="5" s="1"/>
  <c r="AD41" i="5" a="1"/>
  <c r="AD41" i="5" s="1"/>
  <c r="AC41" i="5" a="1"/>
  <c r="AC41" i="5" s="1"/>
  <c r="AB41" i="5" a="1"/>
  <c r="AB41" i="5" s="1"/>
  <c r="AA41" i="5" a="1"/>
  <c r="AA41" i="5" s="1"/>
  <c r="Z41" i="5" a="1"/>
  <c r="Z41" i="5" s="1"/>
  <c r="Y41" i="5" a="1"/>
  <c r="Y41" i="5" s="1"/>
  <c r="X41" i="5" a="1"/>
  <c r="X41" i="5" s="1"/>
  <c r="W41" i="5" a="1"/>
  <c r="W41" i="5" s="1"/>
  <c r="V41" i="5" a="1"/>
  <c r="V41" i="5" s="1"/>
  <c r="U41" i="5" a="1"/>
  <c r="U41" i="5" s="1"/>
  <c r="T41" i="5" a="1"/>
  <c r="T41" i="5" s="1"/>
  <c r="S41" i="5" a="1"/>
  <c r="S41" i="5" s="1"/>
  <c r="R41" i="5" a="1"/>
  <c r="R41" i="5" s="1"/>
  <c r="P41" i="5" a="1"/>
  <c r="P41" i="5" s="1"/>
  <c r="O41" i="5" a="1"/>
  <c r="O41" i="5" s="1"/>
  <c r="N41" i="5"/>
  <c r="I41" i="5" a="1"/>
  <c r="I41" i="5" s="1"/>
  <c r="H41" i="5" a="1"/>
  <c r="H41" i="5" s="1"/>
  <c r="G41" i="5"/>
  <c r="C41" i="5" a="1"/>
  <c r="C41" i="5" s="1"/>
  <c r="B41" i="5" a="1"/>
  <c r="B41" i="5" s="1"/>
  <c r="AI40" i="5" a="1"/>
  <c r="AI40" i="5" s="1"/>
  <c r="AH40" i="5" a="1"/>
  <c r="AH40" i="5" s="1"/>
  <c r="AG40" i="5" a="1"/>
  <c r="AG40" i="5" s="1"/>
  <c r="AF40" i="5" a="1"/>
  <c r="AF40" i="5" s="1"/>
  <c r="AE40" i="5" a="1"/>
  <c r="AE40" i="5" s="1"/>
  <c r="AD40" i="5" a="1"/>
  <c r="AD40" i="5" s="1"/>
  <c r="AC40" i="5" a="1"/>
  <c r="AC40" i="5" s="1"/>
  <c r="AB40" i="5" a="1"/>
  <c r="AB40" i="5" s="1"/>
  <c r="AA40" i="5" a="1"/>
  <c r="AA40" i="5" s="1"/>
  <c r="Z40" i="5" a="1"/>
  <c r="Z40" i="5" s="1"/>
  <c r="Y40" i="5" a="1"/>
  <c r="Y40" i="5" s="1"/>
  <c r="X40" i="5" a="1"/>
  <c r="X40" i="5" s="1"/>
  <c r="W40" i="5" a="1"/>
  <c r="W40" i="5" s="1"/>
  <c r="V40" i="5" a="1"/>
  <c r="V40" i="5" s="1"/>
  <c r="U40" i="5" a="1"/>
  <c r="U40" i="5" s="1"/>
  <c r="T40" i="5" a="1"/>
  <c r="T40" i="5" s="1"/>
  <c r="S40" i="5" a="1"/>
  <c r="S40" i="5" s="1"/>
  <c r="R40" i="5" a="1"/>
  <c r="R40" i="5" s="1"/>
  <c r="P40" i="5" a="1"/>
  <c r="P40" i="5" s="1"/>
  <c r="O40" i="5" a="1"/>
  <c r="O40" i="5" s="1"/>
  <c r="N40" i="5"/>
  <c r="I40" i="5" a="1"/>
  <c r="I40" i="5" s="1"/>
  <c r="H40" i="5" a="1"/>
  <c r="H40" i="5" s="1"/>
  <c r="G40" i="5"/>
  <c r="C40" i="5" a="1"/>
  <c r="C40" i="5" s="1"/>
  <c r="B40" i="5" a="1"/>
  <c r="B40" i="5" s="1"/>
  <c r="AI39" i="5" a="1"/>
  <c r="AI39" i="5" s="1"/>
  <c r="AH39" i="5" a="1"/>
  <c r="AH39" i="5" s="1"/>
  <c r="AG39" i="5" a="1"/>
  <c r="AG39" i="5" s="1"/>
  <c r="AF39" i="5" a="1"/>
  <c r="AF39" i="5" s="1"/>
  <c r="AE39" i="5" a="1"/>
  <c r="AE39" i="5" s="1"/>
  <c r="AD39" i="5" a="1"/>
  <c r="AD39" i="5" s="1"/>
  <c r="AC39" i="5" a="1"/>
  <c r="AC39" i="5" s="1"/>
  <c r="AB39" i="5" a="1"/>
  <c r="AB39" i="5" s="1"/>
  <c r="AA39" i="5" a="1"/>
  <c r="AA39" i="5" s="1"/>
  <c r="Z39" i="5" a="1"/>
  <c r="Z39" i="5" s="1"/>
  <c r="Y39" i="5" a="1"/>
  <c r="Y39" i="5" s="1"/>
  <c r="X39" i="5" a="1"/>
  <c r="X39" i="5" s="1"/>
  <c r="W39" i="5" a="1"/>
  <c r="W39" i="5" s="1"/>
  <c r="V39" i="5" a="1"/>
  <c r="V39" i="5" s="1"/>
  <c r="U39" i="5" a="1"/>
  <c r="U39" i="5" s="1"/>
  <c r="T39" i="5" a="1"/>
  <c r="T39" i="5" s="1"/>
  <c r="S39" i="5" a="1"/>
  <c r="S39" i="5" s="1"/>
  <c r="R39" i="5" a="1"/>
  <c r="R39" i="5" s="1"/>
  <c r="P39" i="5" a="1"/>
  <c r="P39" i="5" s="1"/>
  <c r="O39" i="5" a="1"/>
  <c r="O39" i="5" s="1"/>
  <c r="N39" i="5"/>
  <c r="I39" i="5" a="1"/>
  <c r="I39" i="5" s="1"/>
  <c r="H39" i="5" a="1"/>
  <c r="H39" i="5" s="1"/>
  <c r="G39" i="5"/>
  <c r="C39" i="5" a="1"/>
  <c r="C39" i="5" s="1"/>
  <c r="B39" i="5" a="1"/>
  <c r="B39" i="5" s="1"/>
  <c r="AI38" i="5" a="1"/>
  <c r="AI38" i="5" s="1"/>
  <c r="AH38" i="5" a="1"/>
  <c r="AH38" i="5" s="1"/>
  <c r="AG38" i="5" a="1"/>
  <c r="AG38" i="5" s="1"/>
  <c r="AF38" i="5" a="1"/>
  <c r="AF38" i="5" s="1"/>
  <c r="AE38" i="5" a="1"/>
  <c r="AE38" i="5" s="1"/>
  <c r="AD38" i="5" a="1"/>
  <c r="AD38" i="5" s="1"/>
  <c r="AC38" i="5" a="1"/>
  <c r="AC38" i="5" s="1"/>
  <c r="AB38" i="5" a="1"/>
  <c r="AB38" i="5" s="1"/>
  <c r="AA38" i="5" a="1"/>
  <c r="AA38" i="5" s="1"/>
  <c r="Z38" i="5" a="1"/>
  <c r="Z38" i="5" s="1"/>
  <c r="Y38" i="5" a="1"/>
  <c r="Y38" i="5" s="1"/>
  <c r="X38" i="5" a="1"/>
  <c r="X38" i="5" s="1"/>
  <c r="W38" i="5" a="1"/>
  <c r="W38" i="5" s="1"/>
  <c r="V38" i="5" a="1"/>
  <c r="V38" i="5" s="1"/>
  <c r="U38" i="5" a="1"/>
  <c r="U38" i="5" s="1"/>
  <c r="T38" i="5" a="1"/>
  <c r="T38" i="5" s="1"/>
  <c r="S38" i="5" a="1"/>
  <c r="S38" i="5" s="1"/>
  <c r="R38" i="5" a="1"/>
  <c r="R38" i="5" s="1"/>
  <c r="P38" i="5" a="1"/>
  <c r="P38" i="5" s="1"/>
  <c r="O38" i="5" a="1"/>
  <c r="O38" i="5" s="1"/>
  <c r="N38" i="5"/>
  <c r="I38" i="5" a="1"/>
  <c r="I38" i="5" s="1"/>
  <c r="H38" i="5" a="1"/>
  <c r="H38" i="5" s="1"/>
  <c r="G38" i="5"/>
  <c r="C38" i="5" a="1"/>
  <c r="C38" i="5" s="1"/>
  <c r="B38" i="5" a="1"/>
  <c r="B38" i="5" s="1"/>
  <c r="AI37" i="5" a="1"/>
  <c r="AI37" i="5" s="1"/>
  <c r="AH37" i="5" a="1"/>
  <c r="AH37" i="5" s="1"/>
  <c r="AG37" i="5" a="1"/>
  <c r="AG37" i="5" s="1"/>
  <c r="AF37" i="5" a="1"/>
  <c r="AF37" i="5" s="1"/>
  <c r="AE37" i="5" a="1"/>
  <c r="AE37" i="5" s="1"/>
  <c r="AD37" i="5" a="1"/>
  <c r="AD37" i="5" s="1"/>
  <c r="AC37" i="5" a="1"/>
  <c r="AC37" i="5" s="1"/>
  <c r="AB37" i="5" a="1"/>
  <c r="AB37" i="5" s="1"/>
  <c r="AA37" i="5" a="1"/>
  <c r="AA37" i="5" s="1"/>
  <c r="Z37" i="5" a="1"/>
  <c r="Z37" i="5" s="1"/>
  <c r="Y37" i="5" a="1"/>
  <c r="Y37" i="5" s="1"/>
  <c r="X37" i="5" a="1"/>
  <c r="X37" i="5" s="1"/>
  <c r="W37" i="5" a="1"/>
  <c r="W37" i="5" s="1"/>
  <c r="V37" i="5" a="1"/>
  <c r="V37" i="5" s="1"/>
  <c r="U37" i="5" a="1"/>
  <c r="U37" i="5" s="1"/>
  <c r="T37" i="5" a="1"/>
  <c r="T37" i="5" s="1"/>
  <c r="S37" i="5" a="1"/>
  <c r="S37" i="5" s="1"/>
  <c r="R37" i="5" a="1"/>
  <c r="R37" i="5" s="1"/>
  <c r="P37" i="5" a="1"/>
  <c r="P37" i="5" s="1"/>
  <c r="O37" i="5" a="1"/>
  <c r="O37" i="5" s="1"/>
  <c r="N37" i="5"/>
  <c r="I37" i="5" a="1"/>
  <c r="I37" i="5" s="1"/>
  <c r="H37" i="5" a="1"/>
  <c r="H37" i="5" s="1"/>
  <c r="G37" i="5"/>
  <c r="C37" i="5" a="1"/>
  <c r="C37" i="5" s="1"/>
  <c r="B37" i="5" a="1"/>
  <c r="B37" i="5" s="1"/>
  <c r="AI36" i="5" a="1"/>
  <c r="AI36" i="5" s="1"/>
  <c r="AH36" i="5" a="1"/>
  <c r="AH36" i="5" s="1"/>
  <c r="AG36" i="5" a="1"/>
  <c r="AG36" i="5" s="1"/>
  <c r="AF36" i="5" a="1"/>
  <c r="AF36" i="5" s="1"/>
  <c r="AE36" i="5" a="1"/>
  <c r="AE36" i="5" s="1"/>
  <c r="AD36" i="5" a="1"/>
  <c r="AD36" i="5" s="1"/>
  <c r="AC36" i="5" a="1"/>
  <c r="AC36" i="5" s="1"/>
  <c r="AB36" i="5" a="1"/>
  <c r="AB36" i="5" s="1"/>
  <c r="AA36" i="5" a="1"/>
  <c r="AA36" i="5" s="1"/>
  <c r="Z36" i="5" a="1"/>
  <c r="Z36" i="5" s="1"/>
  <c r="Y36" i="5" a="1"/>
  <c r="Y36" i="5" s="1"/>
  <c r="X36" i="5" a="1"/>
  <c r="X36" i="5" s="1"/>
  <c r="W36" i="5" a="1"/>
  <c r="W36" i="5" s="1"/>
  <c r="V36" i="5" a="1"/>
  <c r="V36" i="5" s="1"/>
  <c r="U36" i="5" a="1"/>
  <c r="U36" i="5" s="1"/>
  <c r="T36" i="5" a="1"/>
  <c r="T36" i="5" s="1"/>
  <c r="S36" i="5" a="1"/>
  <c r="S36" i="5" s="1"/>
  <c r="R36" i="5" a="1"/>
  <c r="R36" i="5" s="1"/>
  <c r="P36" i="5" a="1"/>
  <c r="P36" i="5" s="1"/>
  <c r="O36" i="5" a="1"/>
  <c r="O36" i="5" s="1"/>
  <c r="N36" i="5"/>
  <c r="I36" i="5" a="1"/>
  <c r="I36" i="5" s="1"/>
  <c r="H36" i="5" a="1"/>
  <c r="H36" i="5" s="1"/>
  <c r="G36" i="5"/>
  <c r="C36" i="5" a="1"/>
  <c r="C36" i="5" s="1"/>
  <c r="B36" i="5" a="1"/>
  <c r="B36" i="5" s="1"/>
  <c r="AI35" i="5" a="1"/>
  <c r="AI35" i="5" s="1"/>
  <c r="AH35" i="5" a="1"/>
  <c r="AH35" i="5" s="1"/>
  <c r="AG35" i="5" a="1"/>
  <c r="AG35" i="5" s="1"/>
  <c r="AF35" i="5" a="1"/>
  <c r="AF35" i="5" s="1"/>
  <c r="AE35" i="5" a="1"/>
  <c r="AE35" i="5" s="1"/>
  <c r="AD35" i="5" a="1"/>
  <c r="AD35" i="5" s="1"/>
  <c r="AC35" i="5" a="1"/>
  <c r="AC35" i="5" s="1"/>
  <c r="AB35" i="5" a="1"/>
  <c r="AB35" i="5" s="1"/>
  <c r="AA35" i="5" a="1"/>
  <c r="AA35" i="5" s="1"/>
  <c r="Z35" i="5" a="1"/>
  <c r="Z35" i="5" s="1"/>
  <c r="Y35" i="5" a="1"/>
  <c r="Y35" i="5" s="1"/>
  <c r="X35" i="5" a="1"/>
  <c r="X35" i="5" s="1"/>
  <c r="W35" i="5" a="1"/>
  <c r="W35" i="5" s="1"/>
  <c r="V35" i="5" a="1"/>
  <c r="V35" i="5" s="1"/>
  <c r="U35" i="5" a="1"/>
  <c r="U35" i="5" s="1"/>
  <c r="T35" i="5" a="1"/>
  <c r="T35" i="5" s="1"/>
  <c r="S35" i="5" a="1"/>
  <c r="S35" i="5" s="1"/>
  <c r="R35" i="5" a="1"/>
  <c r="R35" i="5" s="1"/>
  <c r="P35" i="5" a="1"/>
  <c r="P35" i="5" s="1"/>
  <c r="O35" i="5" a="1"/>
  <c r="O35" i="5" s="1"/>
  <c r="N35" i="5"/>
  <c r="I35" i="5" a="1"/>
  <c r="I35" i="5" s="1"/>
  <c r="H35" i="5" a="1"/>
  <c r="H35" i="5" s="1"/>
  <c r="G35" i="5"/>
  <c r="C35" i="5" a="1"/>
  <c r="C35" i="5" s="1"/>
  <c r="B35" i="5" a="1"/>
  <c r="B35" i="5" s="1"/>
  <c r="AI34" i="5" a="1"/>
  <c r="AI34" i="5" s="1"/>
  <c r="AH34" i="5" a="1"/>
  <c r="AH34" i="5" s="1"/>
  <c r="AG34" i="5" a="1"/>
  <c r="AG34" i="5" s="1"/>
  <c r="AF34" i="5" a="1"/>
  <c r="AF34" i="5" s="1"/>
  <c r="AE34" i="5" a="1"/>
  <c r="AE34" i="5" s="1"/>
  <c r="AD34" i="5" a="1"/>
  <c r="AD34" i="5" s="1"/>
  <c r="AC34" i="5" a="1"/>
  <c r="AC34" i="5" s="1"/>
  <c r="AB34" i="5" a="1"/>
  <c r="AB34" i="5" s="1"/>
  <c r="AA34" i="5" a="1"/>
  <c r="AA34" i="5" s="1"/>
  <c r="Z34" i="5" a="1"/>
  <c r="Z34" i="5" s="1"/>
  <c r="Y34" i="5" a="1"/>
  <c r="Y34" i="5" s="1"/>
  <c r="X34" i="5" a="1"/>
  <c r="X34" i="5" s="1"/>
  <c r="W34" i="5" a="1"/>
  <c r="W34" i="5" s="1"/>
  <c r="V34" i="5" a="1"/>
  <c r="V34" i="5" s="1"/>
  <c r="U34" i="5" a="1"/>
  <c r="U34" i="5" s="1"/>
  <c r="T34" i="5" a="1"/>
  <c r="T34" i="5" s="1"/>
  <c r="S34" i="5" a="1"/>
  <c r="S34" i="5" s="1"/>
  <c r="R34" i="5" a="1"/>
  <c r="R34" i="5" s="1"/>
  <c r="P34" i="5" a="1"/>
  <c r="P34" i="5" s="1"/>
  <c r="O34" i="5" a="1"/>
  <c r="O34" i="5" s="1"/>
  <c r="N34" i="5"/>
  <c r="I34" i="5" a="1"/>
  <c r="I34" i="5" s="1"/>
  <c r="H34" i="5" a="1"/>
  <c r="H34" i="5" s="1"/>
  <c r="G34" i="5"/>
  <c r="C34" i="5" a="1"/>
  <c r="C34" i="5" s="1"/>
  <c r="B34" i="5" a="1"/>
  <c r="B34" i="5" s="1"/>
  <c r="AI33" i="5" a="1"/>
  <c r="AI33" i="5" s="1"/>
  <c r="AH33" i="5" a="1"/>
  <c r="AH33" i="5" s="1"/>
  <c r="AG33" i="5" a="1"/>
  <c r="AG33" i="5" s="1"/>
  <c r="AF33" i="5" a="1"/>
  <c r="AF33" i="5" s="1"/>
  <c r="AE33" i="5" a="1"/>
  <c r="AE33" i="5" s="1"/>
  <c r="AD33" i="5" a="1"/>
  <c r="AD33" i="5" s="1"/>
  <c r="AC33" i="5" a="1"/>
  <c r="AC33" i="5" s="1"/>
  <c r="AB33" i="5" a="1"/>
  <c r="AB33" i="5" s="1"/>
  <c r="AA33" i="5" a="1"/>
  <c r="AA33" i="5" s="1"/>
  <c r="Z33" i="5" a="1"/>
  <c r="Z33" i="5" s="1"/>
  <c r="Y33" i="5" a="1"/>
  <c r="Y33" i="5" s="1"/>
  <c r="X33" i="5" a="1"/>
  <c r="X33" i="5" s="1"/>
  <c r="W33" i="5" a="1"/>
  <c r="W33" i="5" s="1"/>
  <c r="V33" i="5" a="1"/>
  <c r="V33" i="5" s="1"/>
  <c r="U33" i="5" a="1"/>
  <c r="U33" i="5" s="1"/>
  <c r="T33" i="5" a="1"/>
  <c r="T33" i="5" s="1"/>
  <c r="S33" i="5" a="1"/>
  <c r="S33" i="5" s="1"/>
  <c r="R33" i="5" a="1"/>
  <c r="R33" i="5" s="1"/>
  <c r="P33" i="5" a="1"/>
  <c r="P33" i="5" s="1"/>
  <c r="O33" i="5" a="1"/>
  <c r="O33" i="5" s="1"/>
  <c r="N33" i="5"/>
  <c r="I33" i="5" a="1"/>
  <c r="I33" i="5" s="1"/>
  <c r="H33" i="5" a="1"/>
  <c r="H33" i="5" s="1"/>
  <c r="G33" i="5"/>
  <c r="C33" i="5" a="1"/>
  <c r="C33" i="5" s="1"/>
  <c r="B33" i="5" a="1"/>
  <c r="B33" i="5" s="1"/>
  <c r="AI32" i="5" a="1"/>
  <c r="AI32" i="5" s="1"/>
  <c r="AH32" i="5" a="1"/>
  <c r="AH32" i="5" s="1"/>
  <c r="AG32" i="5" a="1"/>
  <c r="AG32" i="5" s="1"/>
  <c r="AF32" i="5" a="1"/>
  <c r="AF32" i="5" s="1"/>
  <c r="AE32" i="5" a="1"/>
  <c r="AE32" i="5" s="1"/>
  <c r="AD32" i="5" a="1"/>
  <c r="AD32" i="5" s="1"/>
  <c r="AC32" i="5" a="1"/>
  <c r="AC32" i="5" s="1"/>
  <c r="AB32" i="5" a="1"/>
  <c r="AB32" i="5" s="1"/>
  <c r="AA32" i="5" a="1"/>
  <c r="AA32" i="5" s="1"/>
  <c r="Z32" i="5" a="1"/>
  <c r="Z32" i="5" s="1"/>
  <c r="Y32" i="5" a="1"/>
  <c r="Y32" i="5" s="1"/>
  <c r="X32" i="5" a="1"/>
  <c r="X32" i="5" s="1"/>
  <c r="W32" i="5" a="1"/>
  <c r="W32" i="5" s="1"/>
  <c r="V32" i="5" a="1"/>
  <c r="V32" i="5" s="1"/>
  <c r="U32" i="5" a="1"/>
  <c r="U32" i="5" s="1"/>
  <c r="T32" i="5" a="1"/>
  <c r="T32" i="5" s="1"/>
  <c r="S32" i="5" a="1"/>
  <c r="S32" i="5" s="1"/>
  <c r="R32" i="5" a="1"/>
  <c r="R32" i="5" s="1"/>
  <c r="P32" i="5" a="1"/>
  <c r="P32" i="5" s="1"/>
  <c r="O32" i="5" a="1"/>
  <c r="O32" i="5" s="1"/>
  <c r="N32" i="5"/>
  <c r="I32" i="5" a="1"/>
  <c r="I32" i="5" s="1"/>
  <c r="H32" i="5" a="1"/>
  <c r="H32" i="5" s="1"/>
  <c r="G32" i="5"/>
  <c r="C32" i="5" a="1"/>
  <c r="C32" i="5" s="1"/>
  <c r="B32" i="5" a="1"/>
  <c r="B32" i="5" s="1"/>
  <c r="AI31" i="5" a="1"/>
  <c r="AI31" i="5" s="1"/>
  <c r="AH31" i="5" a="1"/>
  <c r="AH31" i="5" s="1"/>
  <c r="AG31" i="5" a="1"/>
  <c r="AG31" i="5" s="1"/>
  <c r="AF31" i="5" a="1"/>
  <c r="AF31" i="5" s="1"/>
  <c r="AE31" i="5" a="1"/>
  <c r="AE31" i="5" s="1"/>
  <c r="AD31" i="5" a="1"/>
  <c r="AD31" i="5" s="1"/>
  <c r="AC31" i="5" a="1"/>
  <c r="AC31" i="5" s="1"/>
  <c r="AB31" i="5" a="1"/>
  <c r="AB31" i="5" s="1"/>
  <c r="AA31" i="5" a="1"/>
  <c r="AA31" i="5" s="1"/>
  <c r="Z31" i="5" a="1"/>
  <c r="Z31" i="5" s="1"/>
  <c r="Y31" i="5" a="1"/>
  <c r="Y31" i="5" s="1"/>
  <c r="X31" i="5" a="1"/>
  <c r="X31" i="5" s="1"/>
  <c r="W31" i="5" a="1"/>
  <c r="W31" i="5" s="1"/>
  <c r="V31" i="5" a="1"/>
  <c r="V31" i="5" s="1"/>
  <c r="U31" i="5" a="1"/>
  <c r="U31" i="5" s="1"/>
  <c r="T31" i="5" a="1"/>
  <c r="T31" i="5" s="1"/>
  <c r="S31" i="5" a="1"/>
  <c r="S31" i="5" s="1"/>
  <c r="R31" i="5" a="1"/>
  <c r="R31" i="5" s="1"/>
  <c r="P31" i="5" a="1"/>
  <c r="P31" i="5" s="1"/>
  <c r="O31" i="5" a="1"/>
  <c r="O31" i="5" s="1"/>
  <c r="N31" i="5"/>
  <c r="I31" i="5" a="1"/>
  <c r="I31" i="5" s="1"/>
  <c r="H31" i="5" a="1"/>
  <c r="H31" i="5" s="1"/>
  <c r="G31" i="5"/>
  <c r="C31" i="5" a="1"/>
  <c r="C31" i="5" s="1"/>
  <c r="B31" i="5" a="1"/>
  <c r="B31" i="5" s="1"/>
  <c r="AI30" i="5" a="1"/>
  <c r="AI30" i="5" s="1"/>
  <c r="AH30" i="5" a="1"/>
  <c r="AH30" i="5" s="1"/>
  <c r="AG30" i="5" a="1"/>
  <c r="AG30" i="5" s="1"/>
  <c r="AF30" i="5" a="1"/>
  <c r="AF30" i="5" s="1"/>
  <c r="AE30" i="5" a="1"/>
  <c r="AE30" i="5" s="1"/>
  <c r="AD30" i="5" a="1"/>
  <c r="AD30" i="5" s="1"/>
  <c r="AC30" i="5" a="1"/>
  <c r="AC30" i="5" s="1"/>
  <c r="AB30" i="5" a="1"/>
  <c r="AB30" i="5" s="1"/>
  <c r="AA30" i="5" a="1"/>
  <c r="AA30" i="5" s="1"/>
  <c r="Z30" i="5" a="1"/>
  <c r="Z30" i="5" s="1"/>
  <c r="Y30" i="5" a="1"/>
  <c r="Y30" i="5" s="1"/>
  <c r="X30" i="5" a="1"/>
  <c r="X30" i="5" s="1"/>
  <c r="W30" i="5" a="1"/>
  <c r="W30" i="5" s="1"/>
  <c r="V30" i="5" a="1"/>
  <c r="V30" i="5" s="1"/>
  <c r="U30" i="5" a="1"/>
  <c r="U30" i="5" s="1"/>
  <c r="T30" i="5" a="1"/>
  <c r="T30" i="5" s="1"/>
  <c r="S30" i="5" a="1"/>
  <c r="S30" i="5" s="1"/>
  <c r="R30" i="5" a="1"/>
  <c r="R30" i="5" s="1"/>
  <c r="P30" i="5" a="1"/>
  <c r="P30" i="5" s="1"/>
  <c r="O30" i="5" a="1"/>
  <c r="O30" i="5" s="1"/>
  <c r="N30" i="5"/>
  <c r="I30" i="5" a="1"/>
  <c r="I30" i="5" s="1"/>
  <c r="H30" i="5" a="1"/>
  <c r="H30" i="5" s="1"/>
  <c r="G30" i="5"/>
  <c r="C30" i="5" a="1"/>
  <c r="C30" i="5" s="1"/>
  <c r="B30" i="5" a="1"/>
  <c r="B30" i="5" s="1"/>
  <c r="AI29" i="5" a="1"/>
  <c r="AI29" i="5" s="1"/>
  <c r="AH29" i="5" a="1"/>
  <c r="AH29" i="5" s="1"/>
  <c r="AG29" i="5" a="1"/>
  <c r="AG29" i="5" s="1"/>
  <c r="AF29" i="5" a="1"/>
  <c r="AF29" i="5" s="1"/>
  <c r="AE29" i="5" a="1"/>
  <c r="AE29" i="5" s="1"/>
  <c r="AD29" i="5" a="1"/>
  <c r="AD29" i="5" s="1"/>
  <c r="AC29" i="5" a="1"/>
  <c r="AC29" i="5" s="1"/>
  <c r="AB29" i="5" a="1"/>
  <c r="AB29" i="5" s="1"/>
  <c r="AA29" i="5" a="1"/>
  <c r="AA29" i="5" s="1"/>
  <c r="Z29" i="5" a="1"/>
  <c r="Z29" i="5" s="1"/>
  <c r="Y29" i="5" a="1"/>
  <c r="Y29" i="5" s="1"/>
  <c r="X29" i="5" a="1"/>
  <c r="X29" i="5" s="1"/>
  <c r="W29" i="5" a="1"/>
  <c r="W29" i="5" s="1"/>
  <c r="V29" i="5" a="1"/>
  <c r="V29" i="5" s="1"/>
  <c r="U29" i="5" a="1"/>
  <c r="U29" i="5" s="1"/>
  <c r="T29" i="5" a="1"/>
  <c r="T29" i="5" s="1"/>
  <c r="S29" i="5" a="1"/>
  <c r="S29" i="5" s="1"/>
  <c r="R29" i="5" a="1"/>
  <c r="R29" i="5" s="1"/>
  <c r="P29" i="5" a="1"/>
  <c r="P29" i="5" s="1"/>
  <c r="O29" i="5" a="1"/>
  <c r="O29" i="5" s="1"/>
  <c r="N29" i="5"/>
  <c r="I29" i="5" a="1"/>
  <c r="I29" i="5" s="1"/>
  <c r="H29" i="5" a="1"/>
  <c r="H29" i="5" s="1"/>
  <c r="G29" i="5"/>
  <c r="C29" i="5" a="1"/>
  <c r="C29" i="5" s="1"/>
  <c r="B29" i="5" a="1"/>
  <c r="B29" i="5" s="1"/>
  <c r="AI28" i="5" a="1"/>
  <c r="AI28" i="5" s="1"/>
  <c r="AH28" i="5" a="1"/>
  <c r="AH28" i="5" s="1"/>
  <c r="AG28" i="5" a="1"/>
  <c r="AG28" i="5" s="1"/>
  <c r="AF28" i="5" a="1"/>
  <c r="AF28" i="5" s="1"/>
  <c r="AE28" i="5" a="1"/>
  <c r="AE28" i="5" s="1"/>
  <c r="AD28" i="5" a="1"/>
  <c r="AD28" i="5" s="1"/>
  <c r="AC28" i="5" a="1"/>
  <c r="AC28" i="5" s="1"/>
  <c r="AB28" i="5" a="1"/>
  <c r="AB28" i="5" s="1"/>
  <c r="AA28" i="5" a="1"/>
  <c r="AA28" i="5" s="1"/>
  <c r="Z28" i="5" a="1"/>
  <c r="Z28" i="5" s="1"/>
  <c r="Y28" i="5" a="1"/>
  <c r="Y28" i="5" s="1"/>
  <c r="X28" i="5" a="1"/>
  <c r="X28" i="5" s="1"/>
  <c r="W28" i="5" a="1"/>
  <c r="W28" i="5" s="1"/>
  <c r="V28" i="5" a="1"/>
  <c r="V28" i="5" s="1"/>
  <c r="U28" i="5" a="1"/>
  <c r="U28" i="5" s="1"/>
  <c r="T28" i="5" a="1"/>
  <c r="T28" i="5" s="1"/>
  <c r="S28" i="5" a="1"/>
  <c r="S28" i="5" s="1"/>
  <c r="R28" i="5" a="1"/>
  <c r="R28" i="5" s="1"/>
  <c r="P28" i="5" a="1"/>
  <c r="P28" i="5" s="1"/>
  <c r="O28" i="5" a="1"/>
  <c r="O28" i="5" s="1"/>
  <c r="N28" i="5"/>
  <c r="I28" i="5" a="1"/>
  <c r="I28" i="5" s="1"/>
  <c r="H28" i="5" a="1"/>
  <c r="H28" i="5" s="1"/>
  <c r="G28" i="5"/>
  <c r="C28" i="5" a="1"/>
  <c r="C28" i="5" s="1"/>
  <c r="B28" i="5" a="1"/>
  <c r="B28" i="5" s="1"/>
  <c r="AI27" i="5" a="1"/>
  <c r="AI27" i="5" s="1"/>
  <c r="AH27" i="5" a="1"/>
  <c r="AH27" i="5" s="1"/>
  <c r="AG27" i="5" a="1"/>
  <c r="AG27" i="5" s="1"/>
  <c r="AF27" i="5" a="1"/>
  <c r="AF27" i="5" s="1"/>
  <c r="AE27" i="5" a="1"/>
  <c r="AE27" i="5" s="1"/>
  <c r="AD27" i="5" a="1"/>
  <c r="AD27" i="5" s="1"/>
  <c r="AC27" i="5" a="1"/>
  <c r="AC27" i="5" s="1"/>
  <c r="AB27" i="5" a="1"/>
  <c r="AB27" i="5" s="1"/>
  <c r="AA27" i="5" a="1"/>
  <c r="AA27" i="5" s="1"/>
  <c r="Z27" i="5" a="1"/>
  <c r="Z27" i="5" s="1"/>
  <c r="Y27" i="5" a="1"/>
  <c r="Y27" i="5" s="1"/>
  <c r="X27" i="5" a="1"/>
  <c r="X27" i="5" s="1"/>
  <c r="W27" i="5" a="1"/>
  <c r="W27" i="5" s="1"/>
  <c r="V27" i="5" a="1"/>
  <c r="V27" i="5" s="1"/>
  <c r="U27" i="5" a="1"/>
  <c r="U27" i="5" s="1"/>
  <c r="T27" i="5" a="1"/>
  <c r="T27" i="5" s="1"/>
  <c r="S27" i="5" a="1"/>
  <c r="S27" i="5" s="1"/>
  <c r="R27" i="5" a="1"/>
  <c r="R27" i="5" s="1"/>
  <c r="P27" i="5" a="1"/>
  <c r="P27" i="5" s="1"/>
  <c r="O27" i="5" a="1"/>
  <c r="O27" i="5" s="1"/>
  <c r="N27" i="5"/>
  <c r="I27" i="5" a="1"/>
  <c r="I27" i="5" s="1"/>
  <c r="H27" i="5" a="1"/>
  <c r="H27" i="5" s="1"/>
  <c r="G27" i="5"/>
  <c r="C27" i="5" a="1"/>
  <c r="C27" i="5" s="1"/>
  <c r="B27" i="5" a="1"/>
  <c r="B27" i="5" s="1"/>
  <c r="AI26" i="5" a="1"/>
  <c r="AI26" i="5" s="1"/>
  <c r="AH26" i="5" a="1"/>
  <c r="AH26" i="5" s="1"/>
  <c r="AG26" i="5" a="1"/>
  <c r="AG26" i="5" s="1"/>
  <c r="AF26" i="5" a="1"/>
  <c r="AF26" i="5" s="1"/>
  <c r="AE26" i="5" a="1"/>
  <c r="AE26" i="5" s="1"/>
  <c r="AD26" i="5" a="1"/>
  <c r="AD26" i="5" s="1"/>
  <c r="AC26" i="5" a="1"/>
  <c r="AC26" i="5" s="1"/>
  <c r="AB26" i="5" a="1"/>
  <c r="AB26" i="5" s="1"/>
  <c r="AA26" i="5" a="1"/>
  <c r="AA26" i="5" s="1"/>
  <c r="Z26" i="5" a="1"/>
  <c r="Z26" i="5" s="1"/>
  <c r="Y26" i="5" a="1"/>
  <c r="Y26" i="5" s="1"/>
  <c r="X26" i="5" a="1"/>
  <c r="X26" i="5" s="1"/>
  <c r="W26" i="5" a="1"/>
  <c r="W26" i="5" s="1"/>
  <c r="V26" i="5" a="1"/>
  <c r="V26" i="5" s="1"/>
  <c r="U26" i="5" a="1"/>
  <c r="U26" i="5" s="1"/>
  <c r="T26" i="5" a="1"/>
  <c r="T26" i="5" s="1"/>
  <c r="S26" i="5" a="1"/>
  <c r="S26" i="5" s="1"/>
  <c r="R26" i="5" a="1"/>
  <c r="R26" i="5" s="1"/>
  <c r="P26" i="5" a="1"/>
  <c r="P26" i="5" s="1"/>
  <c r="O26" i="5" a="1"/>
  <c r="O26" i="5" s="1"/>
  <c r="N26" i="5"/>
  <c r="I26" i="5" a="1"/>
  <c r="I26" i="5" s="1"/>
  <c r="H26" i="5" a="1"/>
  <c r="H26" i="5" s="1"/>
  <c r="G26" i="5"/>
  <c r="C26" i="5" a="1"/>
  <c r="C26" i="5" s="1"/>
  <c r="B26" i="5" a="1"/>
  <c r="B26" i="5" s="1"/>
  <c r="AI25" i="5" a="1"/>
  <c r="AI25" i="5" s="1"/>
  <c r="AH25" i="5" a="1"/>
  <c r="AH25" i="5" s="1"/>
  <c r="AG25" i="5" a="1"/>
  <c r="AG25" i="5" s="1"/>
  <c r="AF25" i="5" a="1"/>
  <c r="AF25" i="5" s="1"/>
  <c r="AE25" i="5" a="1"/>
  <c r="AE25" i="5" s="1"/>
  <c r="AD25" i="5" a="1"/>
  <c r="AD25" i="5" s="1"/>
  <c r="AC25" i="5" a="1"/>
  <c r="AC25" i="5" s="1"/>
  <c r="AB25" i="5" a="1"/>
  <c r="AB25" i="5" s="1"/>
  <c r="AA25" i="5" a="1"/>
  <c r="AA25" i="5" s="1"/>
  <c r="Z25" i="5" a="1"/>
  <c r="Z25" i="5" s="1"/>
  <c r="Y25" i="5" a="1"/>
  <c r="Y25" i="5" s="1"/>
  <c r="X25" i="5" a="1"/>
  <c r="X25" i="5" s="1"/>
  <c r="W25" i="5" a="1"/>
  <c r="W25" i="5" s="1"/>
  <c r="V25" i="5" a="1"/>
  <c r="V25" i="5" s="1"/>
  <c r="U25" i="5" a="1"/>
  <c r="U25" i="5" s="1"/>
  <c r="T25" i="5" a="1"/>
  <c r="T25" i="5" s="1"/>
  <c r="S25" i="5" a="1"/>
  <c r="S25" i="5" s="1"/>
  <c r="R25" i="5" a="1"/>
  <c r="R25" i="5" s="1"/>
  <c r="P25" i="5" a="1"/>
  <c r="P25" i="5" s="1"/>
  <c r="O25" i="5" a="1"/>
  <c r="O25" i="5" s="1"/>
  <c r="N25" i="5"/>
  <c r="I25" i="5" a="1"/>
  <c r="I25" i="5" s="1"/>
  <c r="H25" i="5" a="1"/>
  <c r="H25" i="5" s="1"/>
  <c r="G25" i="5"/>
  <c r="C25" i="5" a="1"/>
  <c r="C25" i="5" s="1"/>
  <c r="B25" i="5" a="1"/>
  <c r="B25" i="5" s="1"/>
  <c r="AI24" i="5" a="1"/>
  <c r="AI24" i="5" s="1"/>
  <c r="AH24" i="5" a="1"/>
  <c r="AH24" i="5" s="1"/>
  <c r="AG24" i="5" a="1"/>
  <c r="AG24" i="5" s="1"/>
  <c r="AF24" i="5" a="1"/>
  <c r="AF24" i="5" s="1"/>
  <c r="AE24" i="5" a="1"/>
  <c r="AE24" i="5" s="1"/>
  <c r="AD24" i="5" a="1"/>
  <c r="AD24" i="5" s="1"/>
  <c r="AC24" i="5" a="1"/>
  <c r="AC24" i="5" s="1"/>
  <c r="AB24" i="5" a="1"/>
  <c r="AB24" i="5" s="1"/>
  <c r="AA24" i="5" a="1"/>
  <c r="AA24" i="5" s="1"/>
  <c r="Z24" i="5" a="1"/>
  <c r="Z24" i="5" s="1"/>
  <c r="Y24" i="5" a="1"/>
  <c r="Y24" i="5" s="1"/>
  <c r="X24" i="5" a="1"/>
  <c r="X24" i="5" s="1"/>
  <c r="W24" i="5" a="1"/>
  <c r="W24" i="5" s="1"/>
  <c r="V24" i="5" a="1"/>
  <c r="V24" i="5" s="1"/>
  <c r="U24" i="5" a="1"/>
  <c r="U24" i="5" s="1"/>
  <c r="T24" i="5" a="1"/>
  <c r="T24" i="5" s="1"/>
  <c r="S24" i="5" a="1"/>
  <c r="S24" i="5" s="1"/>
  <c r="R24" i="5" a="1"/>
  <c r="R24" i="5" s="1"/>
  <c r="P24" i="5" a="1"/>
  <c r="P24" i="5" s="1"/>
  <c r="O24" i="5" a="1"/>
  <c r="O24" i="5" s="1"/>
  <c r="N24" i="5"/>
  <c r="I24" i="5" a="1"/>
  <c r="I24" i="5" s="1"/>
  <c r="H24" i="5" a="1"/>
  <c r="H24" i="5" s="1"/>
  <c r="G24" i="5"/>
  <c r="C24" i="5" a="1"/>
  <c r="C24" i="5" s="1"/>
  <c r="B24" i="5" a="1"/>
  <c r="B24" i="5" s="1"/>
  <c r="AI23" i="5" a="1"/>
  <c r="AI23" i="5" s="1"/>
  <c r="AH23" i="5" a="1"/>
  <c r="AH23" i="5" s="1"/>
  <c r="AG23" i="5" a="1"/>
  <c r="AG23" i="5" s="1"/>
  <c r="AF23" i="5" a="1"/>
  <c r="AF23" i="5" s="1"/>
  <c r="AE23" i="5" a="1"/>
  <c r="AE23" i="5" s="1"/>
  <c r="AD23" i="5" a="1"/>
  <c r="AD23" i="5" s="1"/>
  <c r="AC23" i="5" a="1"/>
  <c r="AC23" i="5" s="1"/>
  <c r="AB23" i="5" a="1"/>
  <c r="AB23" i="5" s="1"/>
  <c r="AA23" i="5" a="1"/>
  <c r="AA23" i="5" s="1"/>
  <c r="Z23" i="5" a="1"/>
  <c r="Z23" i="5" s="1"/>
  <c r="Y23" i="5" a="1"/>
  <c r="Y23" i="5" s="1"/>
  <c r="X23" i="5" a="1"/>
  <c r="X23" i="5" s="1"/>
  <c r="W23" i="5" a="1"/>
  <c r="W23" i="5" s="1"/>
  <c r="V23" i="5" a="1"/>
  <c r="V23" i="5" s="1"/>
  <c r="U23" i="5" a="1"/>
  <c r="U23" i="5" s="1"/>
  <c r="T23" i="5" a="1"/>
  <c r="T23" i="5" s="1"/>
  <c r="S23" i="5" a="1"/>
  <c r="S23" i="5" s="1"/>
  <c r="R23" i="5" a="1"/>
  <c r="R23" i="5" s="1"/>
  <c r="P23" i="5" a="1"/>
  <c r="P23" i="5" s="1"/>
  <c r="O23" i="5" a="1"/>
  <c r="O23" i="5" s="1"/>
  <c r="N23" i="5"/>
  <c r="I23" i="5" a="1"/>
  <c r="I23" i="5" s="1"/>
  <c r="H23" i="5" a="1"/>
  <c r="H23" i="5" s="1"/>
  <c r="G23" i="5"/>
  <c r="C23" i="5" a="1"/>
  <c r="C23" i="5" s="1"/>
  <c r="B23" i="5" a="1"/>
  <c r="B23" i="5" s="1"/>
  <c r="AI22" i="5" a="1"/>
  <c r="AI22" i="5" s="1"/>
  <c r="AH22" i="5" a="1"/>
  <c r="AH22" i="5" s="1"/>
  <c r="AG22" i="5" a="1"/>
  <c r="AG22" i="5" s="1"/>
  <c r="AF22" i="5" a="1"/>
  <c r="AF22" i="5" s="1"/>
  <c r="AE22" i="5" a="1"/>
  <c r="AE22" i="5" s="1"/>
  <c r="AD22" i="5" a="1"/>
  <c r="AD22" i="5" s="1"/>
  <c r="AC22" i="5" a="1"/>
  <c r="AC22" i="5" s="1"/>
  <c r="AB22" i="5" a="1"/>
  <c r="AB22" i="5" s="1"/>
  <c r="AA22" i="5" a="1"/>
  <c r="AA22" i="5" s="1"/>
  <c r="Z22" i="5" a="1"/>
  <c r="Z22" i="5" s="1"/>
  <c r="Y22" i="5" a="1"/>
  <c r="Y22" i="5" s="1"/>
  <c r="X22" i="5" a="1"/>
  <c r="X22" i="5" s="1"/>
  <c r="W22" i="5" a="1"/>
  <c r="W22" i="5" s="1"/>
  <c r="V22" i="5" a="1"/>
  <c r="V22" i="5" s="1"/>
  <c r="U22" i="5" a="1"/>
  <c r="U22" i="5" s="1"/>
  <c r="T22" i="5" a="1"/>
  <c r="T22" i="5" s="1"/>
  <c r="S22" i="5" a="1"/>
  <c r="S22" i="5" s="1"/>
  <c r="R22" i="5" a="1"/>
  <c r="R22" i="5" s="1"/>
  <c r="P22" i="5" a="1"/>
  <c r="P22" i="5" s="1"/>
  <c r="O22" i="5" a="1"/>
  <c r="O22" i="5" s="1"/>
  <c r="N22" i="5"/>
  <c r="I22" i="5" a="1"/>
  <c r="I22" i="5" s="1"/>
  <c r="H22" i="5" a="1"/>
  <c r="H22" i="5" s="1"/>
  <c r="G22" i="5"/>
  <c r="C22" i="5" a="1"/>
  <c r="C22" i="5" s="1"/>
  <c r="B22" i="5" a="1"/>
  <c r="B22" i="5" s="1"/>
  <c r="AI21" i="5" a="1"/>
  <c r="AI21" i="5" s="1"/>
  <c r="AH21" i="5" a="1"/>
  <c r="AH21" i="5" s="1"/>
  <c r="AG21" i="5" a="1"/>
  <c r="AG21" i="5" s="1"/>
  <c r="AF21" i="5" a="1"/>
  <c r="AF21" i="5" s="1"/>
  <c r="AE21" i="5" a="1"/>
  <c r="AE21" i="5" s="1"/>
  <c r="AD21" i="5" a="1"/>
  <c r="AD21" i="5" s="1"/>
  <c r="AC21" i="5" a="1"/>
  <c r="AC21" i="5" s="1"/>
  <c r="AB21" i="5" a="1"/>
  <c r="AB21" i="5" s="1"/>
  <c r="AA21" i="5" a="1"/>
  <c r="AA21" i="5" s="1"/>
  <c r="Z21" i="5" a="1"/>
  <c r="Z21" i="5" s="1"/>
  <c r="Y21" i="5" a="1"/>
  <c r="Y21" i="5" s="1"/>
  <c r="X21" i="5" a="1"/>
  <c r="X21" i="5" s="1"/>
  <c r="W21" i="5" a="1"/>
  <c r="W21" i="5" s="1"/>
  <c r="V21" i="5" a="1"/>
  <c r="V21" i="5" s="1"/>
  <c r="U21" i="5" a="1"/>
  <c r="U21" i="5" s="1"/>
  <c r="T21" i="5" a="1"/>
  <c r="T21" i="5" s="1"/>
  <c r="S21" i="5" a="1"/>
  <c r="S21" i="5" s="1"/>
  <c r="R21" i="5" a="1"/>
  <c r="R21" i="5" s="1"/>
  <c r="P21" i="5" a="1"/>
  <c r="P21" i="5" s="1"/>
  <c r="O21" i="5" a="1"/>
  <c r="O21" i="5" s="1"/>
  <c r="N21" i="5"/>
  <c r="I21" i="5" a="1"/>
  <c r="I21" i="5" s="1"/>
  <c r="H21" i="5" a="1"/>
  <c r="H21" i="5" s="1"/>
  <c r="G21" i="5"/>
  <c r="C21" i="5" a="1"/>
  <c r="C21" i="5" s="1"/>
  <c r="B21" i="5" a="1"/>
  <c r="B21" i="5" s="1"/>
  <c r="AI20" i="5" a="1"/>
  <c r="AI20" i="5" s="1"/>
  <c r="AH20" i="5" a="1"/>
  <c r="AH20" i="5" s="1"/>
  <c r="AG20" i="5" a="1"/>
  <c r="AG20" i="5" s="1"/>
  <c r="AF20" i="5" a="1"/>
  <c r="AF20" i="5" s="1"/>
  <c r="AE20" i="5" a="1"/>
  <c r="AE20" i="5" s="1"/>
  <c r="AD20" i="5" a="1"/>
  <c r="AD20" i="5" s="1"/>
  <c r="AC20" i="5" a="1"/>
  <c r="AC20" i="5" s="1"/>
  <c r="AB20" i="5" a="1"/>
  <c r="AB20" i="5" s="1"/>
  <c r="AA20" i="5" a="1"/>
  <c r="AA20" i="5" s="1"/>
  <c r="Z20" i="5" a="1"/>
  <c r="Z20" i="5" s="1"/>
  <c r="Y20" i="5" a="1"/>
  <c r="Y20" i="5" s="1"/>
  <c r="X20" i="5" a="1"/>
  <c r="X20" i="5" s="1"/>
  <c r="W20" i="5" a="1"/>
  <c r="W20" i="5" s="1"/>
  <c r="V20" i="5" a="1"/>
  <c r="V20" i="5" s="1"/>
  <c r="U20" i="5" a="1"/>
  <c r="U20" i="5" s="1"/>
  <c r="T20" i="5" a="1"/>
  <c r="T20" i="5" s="1"/>
  <c r="S20" i="5" a="1"/>
  <c r="S20" i="5" s="1"/>
  <c r="R20" i="5" a="1"/>
  <c r="R20" i="5" s="1"/>
  <c r="P20" i="5" a="1"/>
  <c r="P20" i="5" s="1"/>
  <c r="O20" i="5" a="1"/>
  <c r="O20" i="5" s="1"/>
  <c r="N20" i="5"/>
  <c r="I20" i="5" a="1"/>
  <c r="I20" i="5" s="1"/>
  <c r="H20" i="5" a="1"/>
  <c r="H20" i="5" s="1"/>
  <c r="G20" i="5"/>
  <c r="C20" i="5" a="1"/>
  <c r="C20" i="5" s="1"/>
  <c r="B20" i="5" a="1"/>
  <c r="B20" i="5" s="1"/>
  <c r="AI19" i="5" a="1"/>
  <c r="AI19" i="5" s="1"/>
  <c r="AH19" i="5" a="1"/>
  <c r="AH19" i="5" s="1"/>
  <c r="AG19" i="5" a="1"/>
  <c r="AG19" i="5" s="1"/>
  <c r="AF19" i="5" a="1"/>
  <c r="AF19" i="5" s="1"/>
  <c r="AE19" i="5" a="1"/>
  <c r="AE19" i="5" s="1"/>
  <c r="AD19" i="5" a="1"/>
  <c r="AD19" i="5" s="1"/>
  <c r="AC19" i="5" a="1"/>
  <c r="AC19" i="5" s="1"/>
  <c r="AB19" i="5" a="1"/>
  <c r="AB19" i="5" s="1"/>
  <c r="AA19" i="5" a="1"/>
  <c r="AA19" i="5" s="1"/>
  <c r="Z19" i="5" a="1"/>
  <c r="Z19" i="5" s="1"/>
  <c r="Y19" i="5" a="1"/>
  <c r="Y19" i="5" s="1"/>
  <c r="X19" i="5" a="1"/>
  <c r="X19" i="5" s="1"/>
  <c r="W19" i="5" a="1"/>
  <c r="W19" i="5" s="1"/>
  <c r="V19" i="5" a="1"/>
  <c r="V19" i="5" s="1"/>
  <c r="U19" i="5" a="1"/>
  <c r="U19" i="5" s="1"/>
  <c r="T19" i="5" a="1"/>
  <c r="T19" i="5" s="1"/>
  <c r="S19" i="5" a="1"/>
  <c r="S19" i="5" s="1"/>
  <c r="R19" i="5" a="1"/>
  <c r="R19" i="5" s="1"/>
  <c r="P19" i="5" a="1"/>
  <c r="P19" i="5" s="1"/>
  <c r="O19" i="5" a="1"/>
  <c r="O19" i="5" s="1"/>
  <c r="N19" i="5"/>
  <c r="I19" i="5" a="1"/>
  <c r="I19" i="5" s="1"/>
  <c r="H19" i="5" a="1"/>
  <c r="H19" i="5" s="1"/>
  <c r="G19" i="5"/>
  <c r="C19" i="5" a="1"/>
  <c r="C19" i="5" s="1"/>
  <c r="B19" i="5" a="1"/>
  <c r="B19" i="5" s="1"/>
  <c r="AI18" i="5" a="1"/>
  <c r="AI18" i="5" s="1"/>
  <c r="AH18" i="5" a="1"/>
  <c r="AH18" i="5" s="1"/>
  <c r="AG18" i="5" a="1"/>
  <c r="AG18" i="5" s="1"/>
  <c r="AF18" i="5" a="1"/>
  <c r="AF18" i="5" s="1"/>
  <c r="AE18" i="5" a="1"/>
  <c r="AE18" i="5" s="1"/>
  <c r="AD18" i="5" a="1"/>
  <c r="AD18" i="5" s="1"/>
  <c r="AC18" i="5" a="1"/>
  <c r="AC18" i="5" s="1"/>
  <c r="AB18" i="5" a="1"/>
  <c r="AB18" i="5" s="1"/>
  <c r="AA18" i="5" a="1"/>
  <c r="AA18" i="5" s="1"/>
  <c r="Z18" i="5" a="1"/>
  <c r="Z18" i="5" s="1"/>
  <c r="Y18" i="5" a="1"/>
  <c r="Y18" i="5" s="1"/>
  <c r="X18" i="5" a="1"/>
  <c r="X18" i="5" s="1"/>
  <c r="W18" i="5" a="1"/>
  <c r="W18" i="5" s="1"/>
  <c r="V18" i="5" a="1"/>
  <c r="V18" i="5" s="1"/>
  <c r="U18" i="5" a="1"/>
  <c r="U18" i="5" s="1"/>
  <c r="T18" i="5" a="1"/>
  <c r="T18" i="5" s="1"/>
  <c r="S18" i="5" a="1"/>
  <c r="S18" i="5" s="1"/>
  <c r="R18" i="5" a="1"/>
  <c r="R18" i="5" s="1"/>
  <c r="P18" i="5" a="1"/>
  <c r="P18" i="5" s="1"/>
  <c r="O18" i="5" a="1"/>
  <c r="O18" i="5" s="1"/>
  <c r="N18" i="5"/>
  <c r="I18" i="5" a="1"/>
  <c r="I18" i="5" s="1"/>
  <c r="H18" i="5" a="1"/>
  <c r="H18" i="5" s="1"/>
  <c r="G18" i="5"/>
  <c r="C18" i="5" a="1"/>
  <c r="C18" i="5" s="1"/>
  <c r="B18" i="5" a="1"/>
  <c r="B18" i="5" s="1"/>
  <c r="AI17" i="5" a="1"/>
  <c r="AI17" i="5" s="1"/>
  <c r="AH17" i="5" a="1"/>
  <c r="AH17" i="5" s="1"/>
  <c r="AG17" i="5" a="1"/>
  <c r="AG17" i="5" s="1"/>
  <c r="AF17" i="5" a="1"/>
  <c r="AF17" i="5" s="1"/>
  <c r="AE17" i="5" a="1"/>
  <c r="AE17" i="5" s="1"/>
  <c r="AD17" i="5" a="1"/>
  <c r="AD17" i="5" s="1"/>
  <c r="AC17" i="5" a="1"/>
  <c r="AC17" i="5" s="1"/>
  <c r="AB17" i="5" a="1"/>
  <c r="AB17" i="5" s="1"/>
  <c r="AA17" i="5" a="1"/>
  <c r="AA17" i="5" s="1"/>
  <c r="Z17" i="5" a="1"/>
  <c r="Z17" i="5" s="1"/>
  <c r="Y17" i="5" a="1"/>
  <c r="Y17" i="5" s="1"/>
  <c r="X17" i="5" a="1"/>
  <c r="X17" i="5" s="1"/>
  <c r="W17" i="5" a="1"/>
  <c r="W17" i="5" s="1"/>
  <c r="V17" i="5" a="1"/>
  <c r="V17" i="5" s="1"/>
  <c r="U17" i="5" a="1"/>
  <c r="U17" i="5" s="1"/>
  <c r="T17" i="5" a="1"/>
  <c r="T17" i="5" s="1"/>
  <c r="S17" i="5" a="1"/>
  <c r="S17" i="5" s="1"/>
  <c r="R17" i="5" a="1"/>
  <c r="R17" i="5" s="1"/>
  <c r="P17" i="5" a="1"/>
  <c r="P17" i="5" s="1"/>
  <c r="O17" i="5" a="1"/>
  <c r="O17" i="5" s="1"/>
  <c r="N17" i="5"/>
  <c r="I17" i="5" a="1"/>
  <c r="I17" i="5" s="1"/>
  <c r="H17" i="5" a="1"/>
  <c r="H17" i="5" s="1"/>
  <c r="G17" i="5"/>
  <c r="C17" i="5" a="1"/>
  <c r="C17" i="5" s="1"/>
  <c r="B17" i="5" a="1"/>
  <c r="B17" i="5" s="1"/>
  <c r="AI16" i="5" a="1"/>
  <c r="AI16" i="5" s="1"/>
  <c r="AH16" i="5" a="1"/>
  <c r="AH16" i="5" s="1"/>
  <c r="AG16" i="5" a="1"/>
  <c r="AG16" i="5" s="1"/>
  <c r="AF16" i="5" a="1"/>
  <c r="AF16" i="5" s="1"/>
  <c r="AE16" i="5" a="1"/>
  <c r="AE16" i="5" s="1"/>
  <c r="AD16" i="5" a="1"/>
  <c r="AD16" i="5" s="1"/>
  <c r="AC16" i="5" a="1"/>
  <c r="AC16" i="5" s="1"/>
  <c r="AB16" i="5" a="1"/>
  <c r="AB16" i="5" s="1"/>
  <c r="AA16" i="5" a="1"/>
  <c r="AA16" i="5" s="1"/>
  <c r="Z16" i="5" a="1"/>
  <c r="Z16" i="5" s="1"/>
  <c r="Y16" i="5" a="1"/>
  <c r="Y16" i="5" s="1"/>
  <c r="X16" i="5" a="1"/>
  <c r="X16" i="5" s="1"/>
  <c r="W16" i="5" a="1"/>
  <c r="W16" i="5" s="1"/>
  <c r="V16" i="5" a="1"/>
  <c r="V16" i="5" s="1"/>
  <c r="U16" i="5" a="1"/>
  <c r="U16" i="5" s="1"/>
  <c r="T16" i="5" a="1"/>
  <c r="T16" i="5" s="1"/>
  <c r="S16" i="5" a="1"/>
  <c r="S16" i="5" s="1"/>
  <c r="R16" i="5" a="1"/>
  <c r="R16" i="5" s="1"/>
  <c r="P16" i="5" a="1"/>
  <c r="P16" i="5" s="1"/>
  <c r="O16" i="5" a="1"/>
  <c r="O16" i="5" s="1"/>
  <c r="N16" i="5"/>
  <c r="I16" i="5" a="1"/>
  <c r="I16" i="5" s="1"/>
  <c r="H16" i="5" a="1"/>
  <c r="H16" i="5" s="1"/>
  <c r="G16" i="5"/>
  <c r="C16" i="5" a="1"/>
  <c r="C16" i="5" s="1"/>
  <c r="B16" i="5" a="1"/>
  <c r="B16" i="5" s="1"/>
  <c r="AI15" i="5" a="1"/>
  <c r="AI15" i="5" s="1"/>
  <c r="AH15" i="5" a="1"/>
  <c r="AH15" i="5" s="1"/>
  <c r="AG15" i="5" a="1"/>
  <c r="AG15" i="5" s="1"/>
  <c r="AF15" i="5" a="1"/>
  <c r="AF15" i="5" s="1"/>
  <c r="AE15" i="5" a="1"/>
  <c r="AE15" i="5" s="1"/>
  <c r="AD15" i="5" a="1"/>
  <c r="AD15" i="5" s="1"/>
  <c r="AC15" i="5" a="1"/>
  <c r="AC15" i="5" s="1"/>
  <c r="AB15" i="5" a="1"/>
  <c r="AB15" i="5" s="1"/>
  <c r="AA15" i="5" a="1"/>
  <c r="AA15" i="5" s="1"/>
  <c r="Z15" i="5" a="1"/>
  <c r="Z15" i="5" s="1"/>
  <c r="Y15" i="5" a="1"/>
  <c r="Y15" i="5" s="1"/>
  <c r="X15" i="5" a="1"/>
  <c r="X15" i="5" s="1"/>
  <c r="W15" i="5" a="1"/>
  <c r="W15" i="5" s="1"/>
  <c r="V15" i="5" a="1"/>
  <c r="V15" i="5" s="1"/>
  <c r="U15" i="5" a="1"/>
  <c r="U15" i="5" s="1"/>
  <c r="T15" i="5" a="1"/>
  <c r="T15" i="5" s="1"/>
  <c r="S15" i="5" a="1"/>
  <c r="S15" i="5" s="1"/>
  <c r="R15" i="5" a="1"/>
  <c r="R15" i="5" s="1"/>
  <c r="P15" i="5"/>
  <c r="O15" i="5" a="1"/>
  <c r="O15" i="5" s="1"/>
  <c r="N15" i="5"/>
  <c r="I15" i="5" a="1"/>
  <c r="I15" i="5" s="1"/>
  <c r="H15" i="5" a="1"/>
  <c r="H15" i="5" s="1"/>
  <c r="G15" i="5"/>
  <c r="C15" i="5" a="1"/>
  <c r="C15" i="5" s="1"/>
  <c r="B15" i="5" a="1"/>
  <c r="B15" i="5" s="1"/>
  <c r="AI14" i="5" a="1"/>
  <c r="AI14" i="5" s="1"/>
  <c r="AH14" i="5" a="1"/>
  <c r="AH14" i="5" s="1"/>
  <c r="AG14" i="5" a="1"/>
  <c r="AG14" i="5" s="1"/>
  <c r="AF14" i="5" a="1"/>
  <c r="AF14" i="5" s="1"/>
  <c r="AE14" i="5" a="1"/>
  <c r="AE14" i="5" s="1"/>
  <c r="AD14" i="5" a="1"/>
  <c r="AD14" i="5" s="1"/>
  <c r="AC14" i="5" a="1"/>
  <c r="AC14" i="5" s="1"/>
  <c r="AB14" i="5" a="1"/>
  <c r="AB14" i="5" s="1"/>
  <c r="AA14" i="5" a="1"/>
  <c r="AA14" i="5" s="1"/>
  <c r="Z14" i="5" a="1"/>
  <c r="Z14" i="5" s="1"/>
  <c r="Y14" i="5" a="1"/>
  <c r="Y14" i="5" s="1"/>
  <c r="X14" i="5" a="1"/>
  <c r="X14" i="5" s="1"/>
  <c r="W14" i="5" a="1"/>
  <c r="W14" i="5" s="1"/>
  <c r="V14" i="5" a="1"/>
  <c r="V14" i="5" s="1"/>
  <c r="U14" i="5" a="1"/>
  <c r="U14" i="5" s="1"/>
  <c r="T14" i="5" a="1"/>
  <c r="T14" i="5" s="1"/>
  <c r="S14" i="5" a="1"/>
  <c r="S14" i="5" s="1"/>
  <c r="R14" i="5" a="1"/>
  <c r="R14" i="5" s="1"/>
  <c r="P14" i="5"/>
  <c r="O14" i="5" a="1"/>
  <c r="O14" i="5" s="1"/>
  <c r="N14" i="5"/>
  <c r="I14" i="5" a="1"/>
  <c r="I14" i="5" s="1"/>
  <c r="H14" i="5" a="1"/>
  <c r="H14" i="5" s="1"/>
  <c r="G14" i="5"/>
  <c r="C14" i="5" a="1"/>
  <c r="C14" i="5" s="1"/>
  <c r="B14" i="5" a="1"/>
  <c r="B14" i="5" s="1"/>
  <c r="AI13" i="5" a="1"/>
  <c r="AI13" i="5" s="1"/>
  <c r="AH13" i="5" a="1"/>
  <c r="AH13" i="5" s="1"/>
  <c r="AG13" i="5" a="1"/>
  <c r="AG13" i="5" s="1"/>
  <c r="AF13" i="5" a="1"/>
  <c r="AF13" i="5" s="1"/>
  <c r="AE13" i="5" a="1"/>
  <c r="AE13" i="5" s="1"/>
  <c r="AD13" i="5" a="1"/>
  <c r="AD13" i="5" s="1"/>
  <c r="AC13" i="5" a="1"/>
  <c r="AC13" i="5" s="1"/>
  <c r="AB13" i="5" a="1"/>
  <c r="AB13" i="5" s="1"/>
  <c r="AA13" i="5" a="1"/>
  <c r="AA13" i="5" s="1"/>
  <c r="Z13" i="5" a="1"/>
  <c r="Z13" i="5" s="1"/>
  <c r="Y13" i="5" a="1"/>
  <c r="Y13" i="5" s="1"/>
  <c r="X13" i="5" a="1"/>
  <c r="X13" i="5" s="1"/>
  <c r="W13" i="5" a="1"/>
  <c r="W13" i="5" s="1"/>
  <c r="V13" i="5" a="1"/>
  <c r="V13" i="5" s="1"/>
  <c r="U13" i="5" a="1"/>
  <c r="U13" i="5" s="1"/>
  <c r="T13" i="5" a="1"/>
  <c r="T13" i="5" s="1"/>
  <c r="S13" i="5" a="1"/>
  <c r="S13" i="5" s="1"/>
  <c r="R13" i="5" a="1"/>
  <c r="R13" i="5" s="1"/>
  <c r="P13" i="5"/>
  <c r="O13" i="5" a="1"/>
  <c r="O13" i="5" s="1"/>
  <c r="N13" i="5"/>
  <c r="I13" i="5" a="1"/>
  <c r="I13" i="5" s="1"/>
  <c r="H13" i="5" a="1"/>
  <c r="H13" i="5" s="1"/>
  <c r="G13" i="5"/>
  <c r="C13" i="5" a="1"/>
  <c r="C13" i="5" s="1"/>
  <c r="B13" i="5" a="1"/>
  <c r="B13" i="5" s="1"/>
  <c r="AI12" i="5" a="1"/>
  <c r="AI12" i="5" s="1"/>
  <c r="AH12" i="5" a="1"/>
  <c r="AH12" i="5" s="1"/>
  <c r="AG12" i="5" a="1"/>
  <c r="AG12" i="5" s="1"/>
  <c r="AF12" i="5" a="1"/>
  <c r="AF12" i="5" s="1"/>
  <c r="AE12" i="5" a="1"/>
  <c r="AE12" i="5" s="1"/>
  <c r="AD12" i="5" a="1"/>
  <c r="AD12" i="5" s="1"/>
  <c r="AC12" i="5" a="1"/>
  <c r="AC12" i="5" s="1"/>
  <c r="AB12" i="5" a="1"/>
  <c r="AB12" i="5" s="1"/>
  <c r="AA12" i="5" a="1"/>
  <c r="AA12" i="5" s="1"/>
  <c r="Z12" i="5" a="1"/>
  <c r="Z12" i="5" s="1"/>
  <c r="Y12" i="5" a="1"/>
  <c r="Y12" i="5" s="1"/>
  <c r="X12" i="5" a="1"/>
  <c r="X12" i="5" s="1"/>
  <c r="W12" i="5" a="1"/>
  <c r="W12" i="5" s="1"/>
  <c r="V12" i="5" a="1"/>
  <c r="V12" i="5" s="1"/>
  <c r="U12" i="5" a="1"/>
  <c r="U12" i="5" s="1"/>
  <c r="T12" i="5" a="1"/>
  <c r="T12" i="5" s="1"/>
  <c r="S12" i="5" a="1"/>
  <c r="S12" i="5" s="1"/>
  <c r="R12" i="5" a="1"/>
  <c r="R12" i="5" s="1"/>
  <c r="P12" i="5"/>
  <c r="O12" i="5" a="1"/>
  <c r="O12" i="5" s="1"/>
  <c r="N12" i="5"/>
  <c r="I12" i="5" a="1"/>
  <c r="I12" i="5" s="1"/>
  <c r="H12" i="5" a="1"/>
  <c r="H12" i="5" s="1"/>
  <c r="G12" i="5"/>
  <c r="C12" i="5" a="1"/>
  <c r="C12" i="5" s="1"/>
  <c r="B12" i="5" a="1"/>
  <c r="B12" i="5" s="1"/>
  <c r="AI11" i="5" a="1"/>
  <c r="AI11" i="5" s="1"/>
  <c r="AH11" i="5" a="1"/>
  <c r="AH11" i="5" s="1"/>
  <c r="AG11" i="5" a="1"/>
  <c r="AG11" i="5" s="1"/>
  <c r="AF11" i="5" a="1"/>
  <c r="AF11" i="5" s="1"/>
  <c r="AE11" i="5" a="1"/>
  <c r="AE11" i="5" s="1"/>
  <c r="AD11" i="5" a="1"/>
  <c r="AD11" i="5" s="1"/>
  <c r="AC11" i="5" a="1"/>
  <c r="AC11" i="5" s="1"/>
  <c r="AB11" i="5" a="1"/>
  <c r="AB11" i="5" s="1"/>
  <c r="AA11" i="5" a="1"/>
  <c r="AA11" i="5" s="1"/>
  <c r="Z11" i="5" a="1"/>
  <c r="Z11" i="5" s="1"/>
  <c r="Y11" i="5" a="1"/>
  <c r="Y11" i="5" s="1"/>
  <c r="X11" i="5" a="1"/>
  <c r="X11" i="5" s="1"/>
  <c r="W11" i="5" a="1"/>
  <c r="W11" i="5" s="1"/>
  <c r="V11" i="5" a="1"/>
  <c r="V11" i="5" s="1"/>
  <c r="U11" i="5" a="1"/>
  <c r="U11" i="5" s="1"/>
  <c r="T11" i="5" a="1"/>
  <c r="T11" i="5" s="1"/>
  <c r="S11" i="5" a="1"/>
  <c r="S11" i="5" s="1"/>
  <c r="R11" i="5" a="1"/>
  <c r="R11" i="5" s="1"/>
  <c r="P11" i="5"/>
  <c r="O11" i="5" a="1"/>
  <c r="O11" i="5" s="1"/>
  <c r="N11" i="5"/>
  <c r="I11" i="5" a="1"/>
  <c r="I11" i="5" s="1"/>
  <c r="H11" i="5" a="1"/>
  <c r="H11" i="5" s="1"/>
  <c r="G11" i="5"/>
  <c r="C11" i="5" a="1"/>
  <c r="C11" i="5" s="1"/>
  <c r="B11" i="5" a="1"/>
  <c r="B11" i="5" s="1"/>
  <c r="AI10" i="5" a="1"/>
  <c r="AI10" i="5" s="1"/>
  <c r="AH10" i="5" a="1"/>
  <c r="AH10" i="5" s="1"/>
  <c r="AG10" i="5" a="1"/>
  <c r="AG10" i="5" s="1"/>
  <c r="AF10" i="5" a="1"/>
  <c r="AF10" i="5" s="1"/>
  <c r="AE10" i="5" a="1"/>
  <c r="AE10" i="5" s="1"/>
  <c r="AD10" i="5" a="1"/>
  <c r="AD10" i="5" s="1"/>
  <c r="AC10" i="5" a="1"/>
  <c r="AC10" i="5" s="1"/>
  <c r="AB10" i="5" a="1"/>
  <c r="AB10" i="5" s="1"/>
  <c r="AA10" i="5" a="1"/>
  <c r="AA10" i="5" s="1"/>
  <c r="Z10" i="5" a="1"/>
  <c r="Z10" i="5" s="1"/>
  <c r="Y10" i="5" a="1"/>
  <c r="Y10" i="5" s="1"/>
  <c r="X10" i="5" a="1"/>
  <c r="X10" i="5" s="1"/>
  <c r="W10" i="5" a="1"/>
  <c r="W10" i="5" s="1"/>
  <c r="V10" i="5" a="1"/>
  <c r="V10" i="5" s="1"/>
  <c r="U10" i="5" a="1"/>
  <c r="U10" i="5" s="1"/>
  <c r="T10" i="5" a="1"/>
  <c r="T10" i="5" s="1"/>
  <c r="S10" i="5" a="1"/>
  <c r="S10" i="5" s="1"/>
  <c r="R10" i="5" a="1"/>
  <c r="R10" i="5" s="1"/>
  <c r="P10" i="5"/>
  <c r="O10" i="5" a="1"/>
  <c r="O10" i="5" s="1"/>
  <c r="N10" i="5"/>
  <c r="I10" i="5"/>
  <c r="H10" i="5" a="1"/>
  <c r="H10" i="5" s="1"/>
  <c r="G10" i="5"/>
  <c r="C10" i="5" a="1"/>
  <c r="C10" i="5" s="1"/>
  <c r="B10" i="5" a="1"/>
  <c r="B10" i="5" s="1"/>
  <c r="AI9" i="5" a="1"/>
  <c r="AI9" i="5" s="1"/>
  <c r="AH9" i="5" a="1"/>
  <c r="AH9" i="5" s="1"/>
  <c r="AG9" i="5" a="1"/>
  <c r="AG9" i="5" s="1"/>
  <c r="AF9" i="5" a="1"/>
  <c r="AF9" i="5" s="1"/>
  <c r="AE9" i="5" a="1"/>
  <c r="AE9" i="5" s="1"/>
  <c r="AD9" i="5" a="1"/>
  <c r="AD9" i="5" s="1"/>
  <c r="AC9" i="5" a="1"/>
  <c r="AC9" i="5" s="1"/>
  <c r="AB9" i="5" a="1"/>
  <c r="AB9" i="5" s="1"/>
  <c r="AA9" i="5" a="1"/>
  <c r="AA9" i="5" s="1"/>
  <c r="Z9" i="5" a="1"/>
  <c r="Z9" i="5" s="1"/>
  <c r="Y9" i="5" a="1"/>
  <c r="Y9" i="5" s="1"/>
  <c r="X9" i="5" a="1"/>
  <c r="X9" i="5" s="1"/>
  <c r="W9" i="5" a="1"/>
  <c r="W9" i="5" s="1"/>
  <c r="V9" i="5" a="1"/>
  <c r="V9" i="5" s="1"/>
  <c r="U9" i="5" a="1"/>
  <c r="U9" i="5" s="1"/>
  <c r="T9" i="5" a="1"/>
  <c r="T9" i="5" s="1"/>
  <c r="S9" i="5" a="1"/>
  <c r="S9" i="5" s="1"/>
  <c r="R9" i="5" a="1"/>
  <c r="R9" i="5" s="1"/>
  <c r="P9" i="5"/>
  <c r="O9" i="5" a="1"/>
  <c r="O9" i="5" s="1"/>
  <c r="N9" i="5"/>
  <c r="I9" i="5" a="1"/>
  <c r="I9" i="5" s="1"/>
  <c r="H9" i="5" a="1"/>
  <c r="H9" i="5" s="1"/>
  <c r="G9" i="5"/>
  <c r="C9" i="5"/>
  <c r="B9" i="5" a="1"/>
  <c r="B9" i="5" s="1"/>
  <c r="AI8" i="5" a="1"/>
  <c r="AI8" i="5" s="1"/>
  <c r="AH8" i="5" a="1"/>
  <c r="AH8" i="5" s="1"/>
  <c r="AG8" i="5" a="1"/>
  <c r="AG8" i="5" s="1"/>
  <c r="AF8" i="5" a="1"/>
  <c r="AF8" i="5" s="1"/>
  <c r="AE8" i="5" a="1"/>
  <c r="AE8" i="5" s="1"/>
  <c r="AD8" i="5" a="1"/>
  <c r="AD8" i="5" s="1"/>
  <c r="AC8" i="5" a="1"/>
  <c r="AC8" i="5" s="1"/>
  <c r="AB8" i="5" a="1"/>
  <c r="AB8" i="5" s="1"/>
  <c r="AA8" i="5" a="1"/>
  <c r="AA8" i="5" s="1"/>
  <c r="Z8" i="5" a="1"/>
  <c r="Z8" i="5" s="1"/>
  <c r="Y8" i="5" a="1"/>
  <c r="Y8" i="5" s="1"/>
  <c r="X8" i="5" a="1"/>
  <c r="X8" i="5" s="1"/>
  <c r="W8" i="5" a="1"/>
  <c r="W8" i="5" s="1"/>
  <c r="V8" i="5" a="1"/>
  <c r="V8" i="5" s="1"/>
  <c r="U8" i="5" a="1"/>
  <c r="U8" i="5" s="1"/>
  <c r="T8" i="5" a="1"/>
  <c r="T8" i="5" s="1"/>
  <c r="S8" i="5" a="1"/>
  <c r="S8" i="5" s="1"/>
  <c r="R8" i="5" a="1"/>
  <c r="R8" i="5" s="1"/>
  <c r="P8" i="5"/>
  <c r="O8" i="5" a="1"/>
  <c r="O8" i="5" s="1"/>
  <c r="N8" i="5"/>
  <c r="I8" i="5"/>
  <c r="H8" i="5" a="1"/>
  <c r="H8" i="5" s="1"/>
  <c r="G8" i="5"/>
  <c r="C8" i="5"/>
  <c r="B8" i="5" a="1"/>
  <c r="B8" i="5" s="1"/>
  <c r="C33" i="6" s="1"/>
  <c r="P33" i="6" s="1"/>
  <c r="AI7" i="5" a="1"/>
  <c r="AI7" i="5" s="1"/>
  <c r="AH7" i="5" a="1"/>
  <c r="AH7" i="5" s="1"/>
  <c r="AG7" i="5" a="1"/>
  <c r="AG7" i="5" s="1"/>
  <c r="AF7" i="5" a="1"/>
  <c r="AF7" i="5" s="1"/>
  <c r="AE7" i="5" a="1"/>
  <c r="AE7" i="5" s="1"/>
  <c r="AD7" i="5" a="1"/>
  <c r="AD7" i="5" s="1"/>
  <c r="AC7" i="5" a="1"/>
  <c r="AC7" i="5" s="1"/>
  <c r="AB7" i="5" a="1"/>
  <c r="AB7" i="5" s="1"/>
  <c r="AA7" i="5" a="1"/>
  <c r="AA7" i="5" s="1"/>
  <c r="Z7" i="5" a="1"/>
  <c r="Z7" i="5" s="1"/>
  <c r="Y7" i="5" a="1"/>
  <c r="Y7" i="5" s="1"/>
  <c r="X7" i="5" a="1"/>
  <c r="X7" i="5" s="1"/>
  <c r="W7" i="5" a="1"/>
  <c r="W7" i="5" s="1"/>
  <c r="V7" i="5" a="1"/>
  <c r="V7" i="5" s="1"/>
  <c r="U7" i="5" a="1"/>
  <c r="U7" i="5" s="1"/>
  <c r="T7" i="5" a="1"/>
  <c r="T7" i="5" s="1"/>
  <c r="S7" i="5" a="1"/>
  <c r="S7" i="5" s="1"/>
  <c r="R7" i="5" a="1"/>
  <c r="R7" i="5" s="1"/>
  <c r="P7" i="5"/>
  <c r="O7" i="5" a="1"/>
  <c r="O7" i="5" s="1"/>
  <c r="N7" i="5"/>
  <c r="I7" i="5"/>
  <c r="H7" i="5" a="1"/>
  <c r="H7" i="5" s="1"/>
  <c r="G7" i="5"/>
  <c r="C7" i="5"/>
  <c r="B7" i="5" a="1"/>
  <c r="B7" i="5" s="1"/>
  <c r="C23" i="6" s="1"/>
  <c r="P23" i="6" s="1"/>
  <c r="AI6" i="5" a="1"/>
  <c r="AI6" i="5" s="1"/>
  <c r="AH6" i="5" a="1"/>
  <c r="AH6" i="5" s="1"/>
  <c r="AG6" i="5" a="1"/>
  <c r="AG6" i="5" s="1"/>
  <c r="AF6" i="5" a="1"/>
  <c r="AF6" i="5" s="1"/>
  <c r="AE6" i="5" a="1"/>
  <c r="AE6" i="5" s="1"/>
  <c r="AD6" i="5" a="1"/>
  <c r="AD6" i="5" s="1"/>
  <c r="AC6" i="5" a="1"/>
  <c r="AC6" i="5" s="1"/>
  <c r="AB6" i="5" a="1"/>
  <c r="AB6" i="5" s="1"/>
  <c r="AA6" i="5" a="1"/>
  <c r="AA6" i="5" s="1"/>
  <c r="Z6" i="5" a="1"/>
  <c r="Z6" i="5" s="1"/>
  <c r="Y6" i="5" a="1"/>
  <c r="Y6" i="5" s="1"/>
  <c r="X6" i="5" a="1"/>
  <c r="X6" i="5" s="1"/>
  <c r="W6" i="5" a="1"/>
  <c r="W6" i="5" s="1"/>
  <c r="V6" i="5" a="1"/>
  <c r="V6" i="5" s="1"/>
  <c r="U6" i="5" a="1"/>
  <c r="U6" i="5" s="1"/>
  <c r="T6" i="5" a="1"/>
  <c r="T6" i="5" s="1"/>
  <c r="S6" i="5" a="1"/>
  <c r="S6" i="5" s="1"/>
  <c r="R6" i="5" a="1"/>
  <c r="R6" i="5" s="1"/>
  <c r="P6" i="5"/>
  <c r="O6" i="5" a="1"/>
  <c r="O6" i="5" s="1"/>
  <c r="N6" i="5"/>
  <c r="I6" i="5" a="1"/>
  <c r="I6" i="5" s="1"/>
  <c r="H6" i="5" a="1"/>
  <c r="H6" i="5" s="1"/>
  <c r="G6" i="5"/>
  <c r="C6" i="5"/>
  <c r="B6" i="5" a="1"/>
  <c r="B6" i="5" s="1"/>
  <c r="C13" i="6" s="1"/>
  <c r="P13" i="6" s="1"/>
  <c r="AI5" i="5" a="1"/>
  <c r="AI5" i="5" s="1"/>
  <c r="AH5" i="5" a="1"/>
  <c r="AH5" i="5" s="1"/>
  <c r="AG5" i="5" a="1"/>
  <c r="AG5" i="5" s="1"/>
  <c r="AF5" i="5" a="1"/>
  <c r="AF5" i="5" s="1"/>
  <c r="AE5" i="5" a="1"/>
  <c r="AE5" i="5" s="1"/>
  <c r="AD5" i="5" a="1"/>
  <c r="AD5" i="5" s="1"/>
  <c r="AC5" i="5" a="1"/>
  <c r="AC5" i="5" s="1"/>
  <c r="AB5" i="5" a="1"/>
  <c r="AB5" i="5" s="1"/>
  <c r="AA5" i="5" a="1"/>
  <c r="AA5" i="5" s="1"/>
  <c r="Z5" i="5" a="1"/>
  <c r="Z5" i="5" s="1"/>
  <c r="Y5" i="5" a="1"/>
  <c r="Y5" i="5" s="1"/>
  <c r="X5" i="5" a="1"/>
  <c r="X5" i="5" s="1"/>
  <c r="W5" i="5" a="1"/>
  <c r="W5" i="5" s="1"/>
  <c r="V5" i="5" a="1"/>
  <c r="V5" i="5" s="1"/>
  <c r="U5" i="5" a="1"/>
  <c r="U5" i="5" s="1"/>
  <c r="T5" i="5" a="1"/>
  <c r="T5" i="5" s="1"/>
  <c r="S5" i="5" a="1"/>
  <c r="S5" i="5" s="1"/>
  <c r="R5" i="5" a="1"/>
  <c r="R5" i="5" s="1"/>
  <c r="P5" i="5"/>
  <c r="O5" i="5" a="1"/>
  <c r="O5" i="5" s="1"/>
  <c r="N5" i="5"/>
  <c r="I5" i="5" a="1"/>
  <c r="I5" i="5" s="1"/>
  <c r="H5" i="5" a="1"/>
  <c r="H5" i="5" s="1"/>
  <c r="G5" i="5"/>
  <c r="C5" i="5" a="1"/>
  <c r="C5" i="5" s="1"/>
  <c r="B5" i="5" a="1"/>
  <c r="B5" i="5" s="1"/>
  <c r="C3" i="6" s="1"/>
  <c r="P3" i="6" s="1"/>
  <c r="R53" i="3" a="1"/>
  <c r="R53" i="3" s="1"/>
  <c r="Q53" i="3" a="1"/>
  <c r="Q53" i="3" s="1"/>
  <c r="P53" i="3" a="1"/>
  <c r="P53" i="3" s="1"/>
  <c r="O53" i="3" a="1"/>
  <c r="O53" i="3" s="1"/>
  <c r="N53" i="3" a="1"/>
  <c r="N53" i="3" s="1"/>
  <c r="M53" i="3" a="1"/>
  <c r="M53" i="3" s="1"/>
  <c r="L53" i="3" a="1"/>
  <c r="L53" i="3" s="1"/>
  <c r="K53" i="3" a="1"/>
  <c r="K53" i="3" s="1"/>
  <c r="J53" i="3" a="1"/>
  <c r="J53" i="3" s="1"/>
  <c r="I53" i="3" a="1"/>
  <c r="I53" i="3" s="1"/>
  <c r="H53" i="3" a="1"/>
  <c r="H53" i="3" s="1"/>
  <c r="G53" i="3" a="1"/>
  <c r="G53" i="3" s="1"/>
  <c r="F53" i="3" a="1"/>
  <c r="F53" i="3" s="1"/>
  <c r="E53" i="3" a="1"/>
  <c r="E53" i="3" s="1"/>
  <c r="D53" i="3" a="1"/>
  <c r="D53" i="3" s="1"/>
  <c r="C53" i="3" a="1"/>
  <c r="C53" i="3" s="1"/>
  <c r="B53" i="3" a="1"/>
  <c r="B53" i="3" s="1"/>
  <c r="A53" i="3" a="1"/>
  <c r="A53" i="3" s="1"/>
  <c r="R52" i="3" a="1"/>
  <c r="R52" i="3" s="1"/>
  <c r="Q52" i="3" a="1"/>
  <c r="Q52" i="3" s="1"/>
  <c r="P52" i="3" a="1"/>
  <c r="P52" i="3" s="1"/>
  <c r="O52" i="3" a="1"/>
  <c r="O52" i="3" s="1"/>
  <c r="N52" i="3" a="1"/>
  <c r="N52" i="3" s="1"/>
  <c r="M52" i="3" a="1"/>
  <c r="M52" i="3" s="1"/>
  <c r="L52" i="3" a="1"/>
  <c r="L52" i="3" s="1"/>
  <c r="K52" i="3" a="1"/>
  <c r="K52" i="3" s="1"/>
  <c r="J52" i="3" a="1"/>
  <c r="J52" i="3" s="1"/>
  <c r="I52" i="3" a="1"/>
  <c r="I52" i="3" s="1"/>
  <c r="H52" i="3" a="1"/>
  <c r="H52" i="3" s="1"/>
  <c r="G52" i="3" a="1"/>
  <c r="G52" i="3" s="1"/>
  <c r="F52" i="3" a="1"/>
  <c r="F52" i="3" s="1"/>
  <c r="E52" i="3" a="1"/>
  <c r="E52" i="3" s="1"/>
  <c r="D52" i="3" a="1"/>
  <c r="D52" i="3" s="1"/>
  <c r="C52" i="3" a="1"/>
  <c r="C52" i="3" s="1"/>
  <c r="B52" i="3" a="1"/>
  <c r="B52" i="3" s="1"/>
  <c r="A52" i="3" a="1"/>
  <c r="A52" i="3" s="1"/>
  <c r="R51" i="3" a="1"/>
  <c r="R51" i="3" s="1"/>
  <c r="Q51" i="3" a="1"/>
  <c r="Q51" i="3" s="1"/>
  <c r="P51" i="3" a="1"/>
  <c r="P51" i="3" s="1"/>
  <c r="O51" i="3" a="1"/>
  <c r="O51" i="3" s="1"/>
  <c r="N51" i="3" a="1"/>
  <c r="N51" i="3" s="1"/>
  <c r="M51" i="3" a="1"/>
  <c r="M51" i="3" s="1"/>
  <c r="L51" i="3" a="1"/>
  <c r="L51" i="3" s="1"/>
  <c r="K51" i="3" a="1"/>
  <c r="K51" i="3" s="1"/>
  <c r="J51" i="3" a="1"/>
  <c r="J51" i="3" s="1"/>
  <c r="I51" i="3" a="1"/>
  <c r="I51" i="3" s="1"/>
  <c r="H51" i="3" a="1"/>
  <c r="H51" i="3" s="1"/>
  <c r="G51" i="3" a="1"/>
  <c r="G51" i="3" s="1"/>
  <c r="F51" i="3" a="1"/>
  <c r="F51" i="3" s="1"/>
  <c r="E51" i="3" a="1"/>
  <c r="E51" i="3" s="1"/>
  <c r="D51" i="3" a="1"/>
  <c r="D51" i="3" s="1"/>
  <c r="C51" i="3" a="1"/>
  <c r="C51" i="3" s="1"/>
  <c r="B51" i="3" a="1"/>
  <c r="B51" i="3" s="1"/>
  <c r="A51" i="3" a="1"/>
  <c r="A51" i="3" s="1"/>
  <c r="R50" i="3" a="1"/>
  <c r="R50" i="3" s="1"/>
  <c r="Q50" i="3" a="1"/>
  <c r="Q50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J50" i="3" a="1"/>
  <c r="J50" i="3" s="1"/>
  <c r="I50" i="3" a="1"/>
  <c r="I50" i="3" s="1"/>
  <c r="H50" i="3" a="1"/>
  <c r="H50" i="3" s="1"/>
  <c r="G50" i="3" a="1"/>
  <c r="G50" i="3" s="1"/>
  <c r="F50" i="3" a="1"/>
  <c r="F50" i="3" s="1"/>
  <c r="E50" i="3" a="1"/>
  <c r="E50" i="3" s="1"/>
  <c r="D50" i="3" a="1"/>
  <c r="D50" i="3" s="1"/>
  <c r="C50" i="3" a="1"/>
  <c r="C50" i="3" s="1"/>
  <c r="B50" i="3" a="1"/>
  <c r="B50" i="3" s="1"/>
  <c r="A50" i="3" a="1"/>
  <c r="A50" i="3" s="1"/>
  <c r="R49" i="3" a="1"/>
  <c r="R49" i="3" s="1"/>
  <c r="Q49" i="3" a="1"/>
  <c r="Q49" i="3" s="1"/>
  <c r="P49" i="3" a="1"/>
  <c r="P49" i="3" s="1"/>
  <c r="O49" i="3" a="1"/>
  <c r="O49" i="3" s="1"/>
  <c r="N49" i="3" a="1"/>
  <c r="N49" i="3" s="1"/>
  <c r="M49" i="3" a="1"/>
  <c r="M49" i="3" s="1"/>
  <c r="L49" i="3" a="1"/>
  <c r="L49" i="3" s="1"/>
  <c r="K49" i="3" a="1"/>
  <c r="K49" i="3" s="1"/>
  <c r="J49" i="3" a="1"/>
  <c r="J49" i="3" s="1"/>
  <c r="I49" i="3" a="1"/>
  <c r="I49" i="3" s="1"/>
  <c r="H49" i="3" a="1"/>
  <c r="H49" i="3" s="1"/>
  <c r="G49" i="3" a="1"/>
  <c r="G49" i="3" s="1"/>
  <c r="F49" i="3" a="1"/>
  <c r="F49" i="3" s="1"/>
  <c r="E49" i="3" a="1"/>
  <c r="E49" i="3" s="1"/>
  <c r="D49" i="3" a="1"/>
  <c r="D49" i="3" s="1"/>
  <c r="C49" i="3" a="1"/>
  <c r="C49" i="3" s="1"/>
  <c r="B49" i="3" a="1"/>
  <c r="B49" i="3" s="1"/>
  <c r="A49" i="3" a="1"/>
  <c r="A49" i="3" s="1"/>
  <c r="R48" i="3" a="1"/>
  <c r="R48" i="3" s="1"/>
  <c r="Q48" i="3" a="1"/>
  <c r="Q48" i="3" s="1"/>
  <c r="P48" i="3" a="1"/>
  <c r="P48" i="3" s="1"/>
  <c r="O48" i="3" a="1"/>
  <c r="O48" i="3" s="1"/>
  <c r="N48" i="3" a="1"/>
  <c r="N48" i="3" s="1"/>
  <c r="M48" i="3" a="1"/>
  <c r="M48" i="3" s="1"/>
  <c r="L48" i="3" a="1"/>
  <c r="L48" i="3" s="1"/>
  <c r="K48" i="3" a="1"/>
  <c r="K48" i="3" s="1"/>
  <c r="J48" i="3" a="1"/>
  <c r="J48" i="3" s="1"/>
  <c r="I48" i="3" a="1"/>
  <c r="I48" i="3" s="1"/>
  <c r="H48" i="3" a="1"/>
  <c r="H48" i="3" s="1"/>
  <c r="G48" i="3" a="1"/>
  <c r="G48" i="3" s="1"/>
  <c r="F48" i="3" a="1"/>
  <c r="F48" i="3" s="1"/>
  <c r="E48" i="3" a="1"/>
  <c r="E48" i="3" s="1"/>
  <c r="D48" i="3" a="1"/>
  <c r="D48" i="3" s="1"/>
  <c r="C48" i="3" a="1"/>
  <c r="C48" i="3" s="1"/>
  <c r="B48" i="3" a="1"/>
  <c r="B48" i="3" s="1"/>
  <c r="A48" i="3" a="1"/>
  <c r="A48" i="3" s="1"/>
  <c r="R47" i="3" a="1"/>
  <c r="R47" i="3" s="1"/>
  <c r="Q47" i="3" a="1"/>
  <c r="Q47" i="3" s="1"/>
  <c r="P47" i="3" a="1"/>
  <c r="P47" i="3" s="1"/>
  <c r="O47" i="3" a="1"/>
  <c r="O47" i="3" s="1"/>
  <c r="N47" i="3" a="1"/>
  <c r="N47" i="3" s="1"/>
  <c r="M47" i="3" a="1"/>
  <c r="M47" i="3" s="1"/>
  <c r="L47" i="3" a="1"/>
  <c r="L47" i="3" s="1"/>
  <c r="K47" i="3" a="1"/>
  <c r="K47" i="3" s="1"/>
  <c r="J47" i="3" a="1"/>
  <c r="J47" i="3" s="1"/>
  <c r="I47" i="3" a="1"/>
  <c r="I47" i="3" s="1"/>
  <c r="H47" i="3" a="1"/>
  <c r="H47" i="3" s="1"/>
  <c r="G47" i="3" a="1"/>
  <c r="G47" i="3" s="1"/>
  <c r="F47" i="3" a="1"/>
  <c r="F47" i="3" s="1"/>
  <c r="E47" i="3" a="1"/>
  <c r="E47" i="3" s="1"/>
  <c r="D47" i="3" a="1"/>
  <c r="D47" i="3" s="1"/>
  <c r="C47" i="3" a="1"/>
  <c r="C47" i="3" s="1"/>
  <c r="B47" i="3" a="1"/>
  <c r="B47" i="3" s="1"/>
  <c r="A47" i="3" a="1"/>
  <c r="A47" i="3" s="1"/>
  <c r="R46" i="3" a="1"/>
  <c r="R46" i="3" s="1"/>
  <c r="Q46" i="3" a="1"/>
  <c r="Q46" i="3" s="1"/>
  <c r="P46" i="3" a="1"/>
  <c r="P46" i="3" s="1"/>
  <c r="O46" i="3" a="1"/>
  <c r="O46" i="3" s="1"/>
  <c r="N46" i="3" a="1"/>
  <c r="N46" i="3" s="1"/>
  <c r="M46" i="3" a="1"/>
  <c r="M46" i="3" s="1"/>
  <c r="L46" i="3" a="1"/>
  <c r="L46" i="3" s="1"/>
  <c r="K46" i="3" a="1"/>
  <c r="K46" i="3" s="1"/>
  <c r="J46" i="3" a="1"/>
  <c r="J46" i="3" s="1"/>
  <c r="I46" i="3" a="1"/>
  <c r="I46" i="3" s="1"/>
  <c r="H46" i="3" a="1"/>
  <c r="H46" i="3" s="1"/>
  <c r="G46" i="3" a="1"/>
  <c r="G46" i="3" s="1"/>
  <c r="F46" i="3" a="1"/>
  <c r="F46" i="3" s="1"/>
  <c r="E46" i="3" a="1"/>
  <c r="E46" i="3" s="1"/>
  <c r="D46" i="3" a="1"/>
  <c r="D46" i="3"/>
  <c r="C46" i="3" a="1"/>
  <c r="C46" i="3"/>
  <c r="B46" i="3" a="1"/>
  <c r="B46" i="3"/>
  <c r="A46" i="3" a="1"/>
  <c r="A46" i="3"/>
  <c r="R45" i="3" a="1"/>
  <c r="R45" i="3"/>
  <c r="Q45" i="3" a="1"/>
  <c r="Q45" i="3"/>
  <c r="P45" i="3" a="1"/>
  <c r="P45" i="3"/>
  <c r="O45" i="3" a="1"/>
  <c r="O45" i="3"/>
  <c r="N45" i="3" a="1"/>
  <c r="N45" i="3"/>
  <c r="M45" i="3" a="1"/>
  <c r="M45" i="3"/>
  <c r="L45" i="3" a="1"/>
  <c r="L45" i="3"/>
  <c r="K45" i="3" a="1"/>
  <c r="K45" i="3"/>
  <c r="J45" i="3" a="1"/>
  <c r="J45" i="3"/>
  <c r="I45" i="3" a="1"/>
  <c r="I45" i="3"/>
  <c r="H45" i="3" a="1"/>
  <c r="H45" i="3"/>
  <c r="G45" i="3" a="1"/>
  <c r="G45" i="3"/>
  <c r="F45" i="3" a="1"/>
  <c r="F45" i="3"/>
  <c r="E45" i="3" a="1"/>
  <c r="E45" i="3"/>
  <c r="D45" i="3" a="1"/>
  <c r="D45" i="3"/>
  <c r="C45" i="3" a="1"/>
  <c r="C45" i="3"/>
  <c r="B45" i="3" a="1"/>
  <c r="B45" i="3"/>
  <c r="A45" i="3" a="1"/>
  <c r="A45" i="3"/>
  <c r="R44" i="3" a="1"/>
  <c r="R44" i="3"/>
  <c r="Q44" i="3" a="1"/>
  <c r="Q44" i="3"/>
  <c r="P44" i="3" a="1"/>
  <c r="P44" i="3"/>
  <c r="O44" i="3" a="1"/>
  <c r="O44" i="3"/>
  <c r="N44" i="3" a="1"/>
  <c r="N44" i="3"/>
  <c r="M44" i="3" a="1"/>
  <c r="M44" i="3"/>
  <c r="L44" i="3" a="1"/>
  <c r="L44" i="3"/>
  <c r="K44" i="3" a="1"/>
  <c r="K44" i="3"/>
  <c r="J44" i="3" a="1"/>
  <c r="J44" i="3"/>
  <c r="I44" i="3" a="1"/>
  <c r="I44" i="3"/>
  <c r="H44" i="3" a="1"/>
  <c r="H44" i="3"/>
  <c r="G44" i="3" a="1"/>
  <c r="G44" i="3"/>
  <c r="F44" i="3" a="1"/>
  <c r="F44" i="3"/>
  <c r="E44" i="3" a="1"/>
  <c r="E44" i="3"/>
  <c r="D44" i="3" a="1"/>
  <c r="D44" i="3"/>
  <c r="C44" i="3" a="1"/>
  <c r="C44" i="3"/>
  <c r="B44" i="3" a="1"/>
  <c r="B44" i="3"/>
  <c r="A44" i="3" a="1"/>
  <c r="A44" i="3"/>
  <c r="R43" i="3" a="1"/>
  <c r="R43" i="3"/>
  <c r="Q43" i="3" a="1"/>
  <c r="Q43" i="3"/>
  <c r="P43" i="3" a="1"/>
  <c r="P43" i="3"/>
  <c r="O43" i="3" a="1"/>
  <c r="O43" i="3"/>
  <c r="N43" i="3" a="1"/>
  <c r="N43" i="3"/>
  <c r="M43" i="3" a="1"/>
  <c r="M43" i="3"/>
  <c r="L43" i="3" a="1"/>
  <c r="L43" i="3"/>
  <c r="K43" i="3" a="1"/>
  <c r="K43" i="3"/>
  <c r="J43" i="3" a="1"/>
  <c r="J43" i="3"/>
  <c r="I43" i="3" a="1"/>
  <c r="I43" i="3"/>
  <c r="H43" i="3" a="1"/>
  <c r="H43" i="3"/>
  <c r="G43" i="3" a="1"/>
  <c r="G43" i="3"/>
  <c r="F43" i="3" a="1"/>
  <c r="F43" i="3"/>
  <c r="E43" i="3" a="1"/>
  <c r="E43" i="3"/>
  <c r="D43" i="3" a="1"/>
  <c r="D43" i="3"/>
  <c r="C43" i="3" a="1"/>
  <c r="C43" i="3"/>
  <c r="B43" i="3" a="1"/>
  <c r="B43" i="3"/>
  <c r="A43" i="3" a="1"/>
  <c r="A43" i="3"/>
  <c r="R42" i="3" a="1"/>
  <c r="R42" i="3"/>
  <c r="Q42" i="3" a="1"/>
  <c r="Q42" i="3"/>
  <c r="P42" i="3" a="1"/>
  <c r="P42" i="3"/>
  <c r="O42" i="3" a="1"/>
  <c r="O42" i="3"/>
  <c r="N42" i="3" a="1"/>
  <c r="N42" i="3"/>
  <c r="M42" i="3" a="1"/>
  <c r="M42" i="3"/>
  <c r="L42" i="3" a="1"/>
  <c r="L42" i="3"/>
  <c r="K42" i="3" a="1"/>
  <c r="K42" i="3"/>
  <c r="J42" i="3" a="1"/>
  <c r="J42" i="3"/>
  <c r="I42" i="3" a="1"/>
  <c r="I42" i="3"/>
  <c r="H42" i="3" a="1"/>
  <c r="H42" i="3"/>
  <c r="G42" i="3" a="1"/>
  <c r="G42" i="3"/>
  <c r="F42" i="3" a="1"/>
  <c r="F42" i="3"/>
  <c r="E42" i="3" a="1"/>
  <c r="E42" i="3"/>
  <c r="D42" i="3" a="1"/>
  <c r="D42" i="3"/>
  <c r="C42" i="3" a="1"/>
  <c r="C42" i="3"/>
  <c r="B42" i="3" a="1"/>
  <c r="B42" i="3"/>
  <c r="A42" i="3" a="1"/>
  <c r="A42" i="3"/>
  <c r="R41" i="3" a="1"/>
  <c r="R41" i="3"/>
  <c r="Q41" i="3" a="1"/>
  <c r="Q41" i="3"/>
  <c r="P41" i="3" a="1"/>
  <c r="P41" i="3"/>
  <c r="O41" i="3" a="1"/>
  <c r="O41" i="3"/>
  <c r="N41" i="3" a="1"/>
  <c r="N41" i="3"/>
  <c r="M41" i="3" a="1"/>
  <c r="M41" i="3"/>
  <c r="L41" i="3" a="1"/>
  <c r="L41" i="3"/>
  <c r="K41" i="3" a="1"/>
  <c r="K41" i="3"/>
  <c r="J41" i="3" a="1"/>
  <c r="J41" i="3"/>
  <c r="I41" i="3" a="1"/>
  <c r="I41" i="3"/>
  <c r="H41" i="3" a="1"/>
  <c r="H41" i="3"/>
  <c r="G41" i="3" a="1"/>
  <c r="G41" i="3"/>
  <c r="F41" i="3" a="1"/>
  <c r="F41" i="3"/>
  <c r="E41" i="3" a="1"/>
  <c r="E41" i="3"/>
  <c r="D41" i="3" a="1"/>
  <c r="D41" i="3"/>
  <c r="C41" i="3" a="1"/>
  <c r="C41" i="3"/>
  <c r="B41" i="3" a="1"/>
  <c r="B41" i="3"/>
  <c r="A41" i="3" a="1"/>
  <c r="A41" i="3"/>
  <c r="R40" i="3" a="1"/>
  <c r="R40" i="3"/>
  <c r="Q40" i="3" a="1"/>
  <c r="Q40" i="3"/>
  <c r="P40" i="3" a="1"/>
  <c r="P40" i="3"/>
  <c r="O40" i="3" a="1"/>
  <c r="O40" i="3"/>
  <c r="N40" i="3" a="1"/>
  <c r="N40" i="3"/>
  <c r="M40" i="3" a="1"/>
  <c r="M40" i="3"/>
  <c r="L40" i="3" a="1"/>
  <c r="L40" i="3"/>
  <c r="K40" i="3" a="1"/>
  <c r="K40" i="3"/>
  <c r="J40" i="3" a="1"/>
  <c r="J40" i="3"/>
  <c r="I40" i="3" a="1"/>
  <c r="I40" i="3"/>
  <c r="H40" i="3" a="1"/>
  <c r="H40" i="3"/>
  <c r="G40" i="3" a="1"/>
  <c r="G40" i="3"/>
  <c r="F40" i="3" a="1"/>
  <c r="F40" i="3"/>
  <c r="E40" i="3" a="1"/>
  <c r="E40" i="3"/>
  <c r="D40" i="3" a="1"/>
  <c r="D40" i="3"/>
  <c r="C40" i="3" a="1"/>
  <c r="C40" i="3"/>
  <c r="B40" i="3" a="1"/>
  <c r="B40" i="3"/>
  <c r="A40" i="3" a="1"/>
  <c r="A40" i="3"/>
  <c r="R39" i="3" a="1"/>
  <c r="R39" i="3"/>
  <c r="Q39" i="3" a="1"/>
  <c r="Q39" i="3"/>
  <c r="P39" i="3" a="1"/>
  <c r="P39" i="3"/>
  <c r="O39" i="3" a="1"/>
  <c r="O39" i="3"/>
  <c r="N39" i="3" a="1"/>
  <c r="N39" i="3"/>
  <c r="M39" i="3" a="1"/>
  <c r="M39" i="3"/>
  <c r="L39" i="3" a="1"/>
  <c r="L39" i="3"/>
  <c r="K39" i="3" a="1"/>
  <c r="K39" i="3"/>
  <c r="J39" i="3" a="1"/>
  <c r="J39" i="3"/>
  <c r="I39" i="3" a="1"/>
  <c r="I39" i="3"/>
  <c r="H39" i="3" a="1"/>
  <c r="H39" i="3"/>
  <c r="G39" i="3" a="1"/>
  <c r="G39" i="3"/>
  <c r="F39" i="3" a="1"/>
  <c r="F39" i="3"/>
  <c r="E39" i="3" a="1"/>
  <c r="E39" i="3"/>
  <c r="D39" i="3" a="1"/>
  <c r="D39" i="3"/>
  <c r="C39" i="3" a="1"/>
  <c r="C39" i="3"/>
  <c r="B39" i="3" a="1"/>
  <c r="B39" i="3"/>
  <c r="A39" i="3" a="1"/>
  <c r="A39" i="3"/>
  <c r="R38" i="3" a="1"/>
  <c r="R38" i="3"/>
  <c r="Q38" i="3" a="1"/>
  <c r="Q38" i="3"/>
  <c r="P38" i="3" a="1"/>
  <c r="P38" i="3"/>
  <c r="O38" i="3" a="1"/>
  <c r="O38" i="3"/>
  <c r="N38" i="3" a="1"/>
  <c r="N38" i="3"/>
  <c r="M38" i="3" a="1"/>
  <c r="M38" i="3"/>
  <c r="L38" i="3" a="1"/>
  <c r="L38" i="3"/>
  <c r="K38" i="3" a="1"/>
  <c r="K38" i="3"/>
  <c r="J38" i="3" a="1"/>
  <c r="J38" i="3"/>
  <c r="I38" i="3" a="1"/>
  <c r="I38" i="3"/>
  <c r="H38" i="3" a="1"/>
  <c r="H38" i="3"/>
  <c r="G38" i="3" a="1"/>
  <c r="G38" i="3"/>
  <c r="F38" i="3" a="1"/>
  <c r="F38" i="3"/>
  <c r="E38" i="3" a="1"/>
  <c r="E38" i="3"/>
  <c r="D38" i="3" a="1"/>
  <c r="D38" i="3"/>
  <c r="C38" i="3" a="1"/>
  <c r="C38" i="3"/>
  <c r="B38" i="3" a="1"/>
  <c r="B38" i="3"/>
  <c r="A38" i="3" a="1"/>
  <c r="A38" i="3"/>
  <c r="R37" i="3" a="1"/>
  <c r="R37" i="3"/>
  <c r="Q37" i="3" a="1"/>
  <c r="Q37" i="3"/>
  <c r="P37" i="3" a="1"/>
  <c r="P37" i="3"/>
  <c r="O37" i="3" a="1"/>
  <c r="O37" i="3"/>
  <c r="N37" i="3" a="1"/>
  <c r="N37" i="3"/>
  <c r="M37" i="3" a="1"/>
  <c r="M37" i="3"/>
  <c r="L37" i="3" a="1"/>
  <c r="L37" i="3"/>
  <c r="K37" i="3" a="1"/>
  <c r="K37" i="3"/>
  <c r="J37" i="3" a="1"/>
  <c r="J37" i="3"/>
  <c r="I37" i="3" a="1"/>
  <c r="I37" i="3"/>
  <c r="H37" i="3" a="1"/>
  <c r="H37" i="3"/>
  <c r="G37" i="3" a="1"/>
  <c r="G37" i="3"/>
  <c r="F37" i="3" a="1"/>
  <c r="F37" i="3"/>
  <c r="E37" i="3" a="1"/>
  <c r="E37" i="3"/>
  <c r="D37" i="3" a="1"/>
  <c r="D37" i="3"/>
  <c r="C37" i="3" a="1"/>
  <c r="C37" i="3"/>
  <c r="B37" i="3" a="1"/>
  <c r="B37" i="3"/>
  <c r="A37" i="3" a="1"/>
  <c r="A37" i="3"/>
  <c r="R36" i="3" a="1"/>
  <c r="R36" i="3"/>
  <c r="Q36" i="3" a="1"/>
  <c r="Q36" i="3"/>
  <c r="P36" i="3" a="1"/>
  <c r="P36" i="3"/>
  <c r="O36" i="3" a="1"/>
  <c r="O36" i="3"/>
  <c r="N36" i="3" a="1"/>
  <c r="N36" i="3"/>
  <c r="M36" i="3" a="1"/>
  <c r="M36" i="3"/>
  <c r="L36" i="3" a="1"/>
  <c r="L36" i="3"/>
  <c r="K36" i="3" a="1"/>
  <c r="K36" i="3"/>
  <c r="J36" i="3" a="1"/>
  <c r="J36" i="3"/>
  <c r="I36" i="3" a="1"/>
  <c r="I36" i="3"/>
  <c r="H36" i="3" a="1"/>
  <c r="H36" i="3"/>
  <c r="G36" i="3" a="1"/>
  <c r="G36" i="3"/>
  <c r="F36" i="3" a="1"/>
  <c r="F36" i="3"/>
  <c r="E36" i="3" a="1"/>
  <c r="E36" i="3"/>
  <c r="D36" i="3" a="1"/>
  <c r="D36" i="3"/>
  <c r="C36" i="3" a="1"/>
  <c r="C36" i="3"/>
  <c r="B36" i="3" a="1"/>
  <c r="B36" i="3"/>
  <c r="A36" i="3" a="1"/>
  <c r="A36" i="3"/>
  <c r="R35" i="3" a="1"/>
  <c r="R35" i="3"/>
  <c r="Q35" i="3" a="1"/>
  <c r="Q35" i="3"/>
  <c r="P35" i="3" a="1"/>
  <c r="P35" i="3"/>
  <c r="O35" i="3" a="1"/>
  <c r="O35" i="3"/>
  <c r="N35" i="3" a="1"/>
  <c r="N35" i="3"/>
  <c r="M35" i="3" a="1"/>
  <c r="M35" i="3"/>
  <c r="L35" i="3" a="1"/>
  <c r="L35" i="3"/>
  <c r="K35" i="3" a="1"/>
  <c r="K35" i="3"/>
  <c r="J35" i="3" a="1"/>
  <c r="J35" i="3"/>
  <c r="I35" i="3" a="1"/>
  <c r="I35" i="3"/>
  <c r="H35" i="3" a="1"/>
  <c r="H35" i="3"/>
  <c r="G35" i="3" a="1"/>
  <c r="G35" i="3"/>
  <c r="F35" i="3" a="1"/>
  <c r="F35" i="3"/>
  <c r="E35" i="3" a="1"/>
  <c r="E35" i="3"/>
  <c r="D35" i="3" a="1"/>
  <c r="D35" i="3"/>
  <c r="C35" i="3" a="1"/>
  <c r="C35" i="3"/>
  <c r="B35" i="3" a="1"/>
  <c r="B35" i="3"/>
  <c r="A35" i="3" a="1"/>
  <c r="A35" i="3"/>
  <c r="R34" i="3" a="1"/>
  <c r="R34" i="3"/>
  <c r="Q34" i="3" a="1"/>
  <c r="Q34" i="3"/>
  <c r="P34" i="3" a="1"/>
  <c r="P34" i="3"/>
  <c r="O34" i="3" a="1"/>
  <c r="O34" i="3"/>
  <c r="N34" i="3" a="1"/>
  <c r="N34" i="3"/>
  <c r="M34" i="3" a="1"/>
  <c r="M34" i="3"/>
  <c r="L34" i="3" a="1"/>
  <c r="L34" i="3"/>
  <c r="K34" i="3" a="1"/>
  <c r="K34" i="3"/>
  <c r="J34" i="3" a="1"/>
  <c r="J34" i="3"/>
  <c r="I34" i="3" a="1"/>
  <c r="I34" i="3"/>
  <c r="H34" i="3" a="1"/>
  <c r="H34" i="3"/>
  <c r="G34" i="3" a="1"/>
  <c r="G34" i="3"/>
  <c r="F34" i="3" a="1"/>
  <c r="F34" i="3"/>
  <c r="E34" i="3" a="1"/>
  <c r="E34" i="3"/>
  <c r="D34" i="3" a="1"/>
  <c r="D34" i="3"/>
  <c r="C34" i="3" a="1"/>
  <c r="C34" i="3"/>
  <c r="B34" i="3" a="1"/>
  <c r="B34" i="3"/>
  <c r="A34" i="3" a="1"/>
  <c r="A34" i="3"/>
  <c r="R33" i="3" a="1"/>
  <c r="R33" i="3"/>
  <c r="Q33" i="3" a="1"/>
  <c r="Q33" i="3"/>
  <c r="P33" i="3" a="1"/>
  <c r="P33" i="3"/>
  <c r="O33" i="3" a="1"/>
  <c r="O33" i="3"/>
  <c r="N33" i="3" a="1"/>
  <c r="N33" i="3"/>
  <c r="M33" i="3" a="1"/>
  <c r="M33" i="3"/>
  <c r="L33" i="3" a="1"/>
  <c r="L33" i="3"/>
  <c r="K33" i="3" a="1"/>
  <c r="K33" i="3"/>
  <c r="J33" i="3" a="1"/>
  <c r="J33" i="3"/>
  <c r="I33" i="3" a="1"/>
  <c r="I33" i="3"/>
  <c r="H33" i="3" a="1"/>
  <c r="H33" i="3"/>
  <c r="G33" i="3" a="1"/>
  <c r="G33" i="3"/>
  <c r="F33" i="3" a="1"/>
  <c r="F33" i="3"/>
  <c r="E33" i="3" a="1"/>
  <c r="E33" i="3"/>
  <c r="D33" i="3" a="1"/>
  <c r="D33" i="3"/>
  <c r="C33" i="3" a="1"/>
  <c r="C33" i="3"/>
  <c r="B33" i="3" a="1"/>
  <c r="B33" i="3"/>
  <c r="A33" i="3" a="1"/>
  <c r="A33" i="3"/>
  <c r="R32" i="3" a="1"/>
  <c r="R32" i="3"/>
  <c r="Q32" i="3" a="1"/>
  <c r="Q32" i="3"/>
  <c r="P32" i="3" a="1"/>
  <c r="P32" i="3"/>
  <c r="O32" i="3" a="1"/>
  <c r="O32" i="3"/>
  <c r="N32" i="3" a="1"/>
  <c r="N32" i="3"/>
  <c r="M32" i="3" a="1"/>
  <c r="M32" i="3"/>
  <c r="L32" i="3" a="1"/>
  <c r="L32" i="3"/>
  <c r="K32" i="3" a="1"/>
  <c r="K32" i="3"/>
  <c r="J32" i="3" a="1"/>
  <c r="J32" i="3"/>
  <c r="I32" i="3" a="1"/>
  <c r="I32" i="3"/>
  <c r="H32" i="3" a="1"/>
  <c r="H32" i="3"/>
  <c r="G32" i="3" a="1"/>
  <c r="G32" i="3"/>
  <c r="F32" i="3" a="1"/>
  <c r="F32" i="3"/>
  <c r="E32" i="3" a="1"/>
  <c r="E32" i="3"/>
  <c r="D32" i="3" a="1"/>
  <c r="D32" i="3"/>
  <c r="C32" i="3" a="1"/>
  <c r="C32" i="3"/>
  <c r="B32" i="3" a="1"/>
  <c r="B32" i="3"/>
  <c r="A32" i="3" a="1"/>
  <c r="A32" i="3"/>
  <c r="R31" i="3" a="1"/>
  <c r="R31" i="3"/>
  <c r="Q31" i="3" a="1"/>
  <c r="Q31" i="3"/>
  <c r="P31" i="3" a="1"/>
  <c r="P31" i="3"/>
  <c r="O31" i="3" a="1"/>
  <c r="O31" i="3"/>
  <c r="N31" i="3" a="1"/>
  <c r="N31" i="3"/>
  <c r="M31" i="3" a="1"/>
  <c r="M31" i="3"/>
  <c r="L31" i="3" a="1"/>
  <c r="L31" i="3"/>
  <c r="K31" i="3" a="1"/>
  <c r="K31" i="3"/>
  <c r="J31" i="3" a="1"/>
  <c r="J31" i="3"/>
  <c r="I31" i="3" a="1"/>
  <c r="I31" i="3"/>
  <c r="H31" i="3" a="1"/>
  <c r="H31" i="3"/>
  <c r="G31" i="3" a="1"/>
  <c r="G31" i="3"/>
  <c r="F31" i="3" a="1"/>
  <c r="F31" i="3"/>
  <c r="E31" i="3" a="1"/>
  <c r="E31" i="3"/>
  <c r="D31" i="3" a="1"/>
  <c r="D31" i="3"/>
  <c r="C31" i="3" a="1"/>
  <c r="C31" i="3"/>
  <c r="B31" i="3" a="1"/>
  <c r="B31" i="3"/>
  <c r="A31" i="3" a="1"/>
  <c r="A31" i="3"/>
  <c r="R30" i="3" a="1"/>
  <c r="R30" i="3"/>
  <c r="Q30" i="3" a="1"/>
  <c r="Q30" i="3"/>
  <c r="P30" i="3" a="1"/>
  <c r="P30" i="3"/>
  <c r="O30" i="3" a="1"/>
  <c r="O30" i="3"/>
  <c r="N30" i="3" a="1"/>
  <c r="N30" i="3"/>
  <c r="M30" i="3" a="1"/>
  <c r="M30" i="3"/>
  <c r="L30" i="3" a="1"/>
  <c r="L30" i="3"/>
  <c r="K30" i="3" a="1"/>
  <c r="K30" i="3"/>
  <c r="J30" i="3" a="1"/>
  <c r="J30" i="3"/>
  <c r="I30" i="3" a="1"/>
  <c r="I30" i="3"/>
  <c r="H30" i="3" a="1"/>
  <c r="H30" i="3"/>
  <c r="G30" i="3" a="1"/>
  <c r="G30" i="3"/>
  <c r="F30" i="3" a="1"/>
  <c r="F30" i="3"/>
  <c r="E30" i="3" a="1"/>
  <c r="E30" i="3"/>
  <c r="D30" i="3" a="1"/>
  <c r="D30" i="3"/>
  <c r="C30" i="3" a="1"/>
  <c r="C30" i="3"/>
  <c r="B30" i="3" a="1"/>
  <c r="B30" i="3"/>
  <c r="A30" i="3" a="1"/>
  <c r="A30" i="3"/>
  <c r="R29" i="3" a="1"/>
  <c r="R29" i="3"/>
  <c r="Q29" i="3" a="1"/>
  <c r="Q29" i="3"/>
  <c r="P29" i="3" a="1"/>
  <c r="P29" i="3"/>
  <c r="O29" i="3" a="1"/>
  <c r="O29" i="3"/>
  <c r="N29" i="3" a="1"/>
  <c r="N29" i="3"/>
  <c r="M29" i="3" a="1"/>
  <c r="M29" i="3"/>
  <c r="L29" i="3" a="1"/>
  <c r="L29" i="3"/>
  <c r="K29" i="3" a="1"/>
  <c r="K29" i="3"/>
  <c r="J29" i="3" a="1"/>
  <c r="J29" i="3"/>
  <c r="I29" i="3" a="1"/>
  <c r="I29" i="3"/>
  <c r="H29" i="3" a="1"/>
  <c r="H29" i="3"/>
  <c r="G29" i="3" a="1"/>
  <c r="G29" i="3"/>
  <c r="F29" i="3" a="1"/>
  <c r="F29" i="3"/>
  <c r="E29" i="3" a="1"/>
  <c r="E29" i="3"/>
  <c r="D29" i="3" a="1"/>
  <c r="D29" i="3"/>
  <c r="C29" i="3" a="1"/>
  <c r="C29" i="3"/>
  <c r="B29" i="3" a="1"/>
  <c r="B29" i="3"/>
  <c r="A29" i="3" a="1"/>
  <c r="A29" i="3"/>
  <c r="R28" i="3" a="1"/>
  <c r="R28" i="3"/>
  <c r="Q28" i="3" a="1"/>
  <c r="Q28" i="3"/>
  <c r="P28" i="3" a="1"/>
  <c r="P28" i="3"/>
  <c r="O28" i="3" a="1"/>
  <c r="O28" i="3"/>
  <c r="N28" i="3" a="1"/>
  <c r="N28" i="3"/>
  <c r="M28" i="3" a="1"/>
  <c r="M28" i="3"/>
  <c r="L28" i="3" a="1"/>
  <c r="L28" i="3"/>
  <c r="K28" i="3" a="1"/>
  <c r="K28" i="3"/>
  <c r="J28" i="3" a="1"/>
  <c r="J28" i="3"/>
  <c r="I28" i="3" a="1"/>
  <c r="I28" i="3"/>
  <c r="H28" i="3" a="1"/>
  <c r="H28" i="3"/>
  <c r="G28" i="3" a="1"/>
  <c r="G28" i="3"/>
  <c r="F28" i="3" a="1"/>
  <c r="F28" i="3"/>
  <c r="E28" i="3" a="1"/>
  <c r="E28" i="3"/>
  <c r="D28" i="3" a="1"/>
  <c r="D28" i="3"/>
  <c r="C28" i="3" a="1"/>
  <c r="C28" i="3"/>
  <c r="B28" i="3" a="1"/>
  <c r="B28" i="3"/>
  <c r="A28" i="3" a="1"/>
  <c r="A28" i="3"/>
  <c r="R27" i="3" a="1"/>
  <c r="R27" i="3"/>
  <c r="Q27" i="3" a="1"/>
  <c r="Q27" i="3"/>
  <c r="P27" i="3" a="1"/>
  <c r="P27" i="3"/>
  <c r="O27" i="3" a="1"/>
  <c r="O27" i="3"/>
  <c r="N27" i="3" a="1"/>
  <c r="N27" i="3"/>
  <c r="M27" i="3" a="1"/>
  <c r="M27" i="3"/>
  <c r="L27" i="3" a="1"/>
  <c r="L27" i="3"/>
  <c r="K27" i="3" a="1"/>
  <c r="K27" i="3"/>
  <c r="J27" i="3" a="1"/>
  <c r="J27" i="3" s="1"/>
  <c r="I27" i="3" a="1"/>
  <c r="I27" i="3" s="1"/>
  <c r="H27" i="3" a="1"/>
  <c r="H27" i="3" s="1"/>
  <c r="G27" i="3" a="1"/>
  <c r="G27" i="3" s="1"/>
  <c r="F27" i="3" a="1"/>
  <c r="F27" i="3" s="1"/>
  <c r="E27" i="3" a="1"/>
  <c r="E27" i="3" s="1"/>
  <c r="D27" i="3" a="1"/>
  <c r="D27" i="3" s="1"/>
  <c r="C27" i="3" a="1"/>
  <c r="C27" i="3" s="1"/>
  <c r="B27" i="3" a="1"/>
  <c r="B27" i="3" s="1"/>
  <c r="A27" i="3" a="1"/>
  <c r="A27" i="3" s="1"/>
  <c r="R26" i="3" a="1"/>
  <c r="R26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G26" i="3" a="1"/>
  <c r="G26" i="3" s="1"/>
  <c r="F26" i="3" a="1"/>
  <c r="F26" i="3" s="1"/>
  <c r="E26" i="3" a="1"/>
  <c r="E26" i="3" s="1"/>
  <c r="D26" i="3" a="1"/>
  <c r="D26" i="3" s="1"/>
  <c r="C26" i="3" a="1"/>
  <c r="C26" i="3" s="1"/>
  <c r="B26" i="3" a="1"/>
  <c r="B26" i="3" s="1"/>
  <c r="A26" i="3" a="1"/>
  <c r="A26" i="3" s="1"/>
  <c r="R25" i="3" a="1"/>
  <c r="R25" i="3" s="1"/>
  <c r="Q25" i="3" a="1"/>
  <c r="Q25" i="3" s="1"/>
  <c r="P25" i="3" a="1"/>
  <c r="P25" i="3" s="1"/>
  <c r="O25" i="3" a="1"/>
  <c r="O25" i="3" s="1"/>
  <c r="N25" i="3" a="1"/>
  <c r="N25" i="3" s="1"/>
  <c r="M25" i="3" a="1"/>
  <c r="M25" i="3" s="1"/>
  <c r="L25" i="3" a="1"/>
  <c r="L25" i="3" s="1"/>
  <c r="K25" i="3" a="1"/>
  <c r="K25" i="3" s="1"/>
  <c r="J25" i="3" a="1"/>
  <c r="J25" i="3" s="1"/>
  <c r="I25" i="3" a="1"/>
  <c r="I25" i="3" s="1"/>
  <c r="H25" i="3" a="1"/>
  <c r="H25" i="3" s="1"/>
  <c r="G25" i="3" a="1"/>
  <c r="G25" i="3" s="1"/>
  <c r="F25" i="3" a="1"/>
  <c r="F25" i="3" s="1"/>
  <c r="E25" i="3" a="1"/>
  <c r="E25" i="3" s="1"/>
  <c r="D25" i="3" a="1"/>
  <c r="D25" i="3" s="1"/>
  <c r="C25" i="3" a="1"/>
  <c r="C25" i="3" s="1"/>
  <c r="B25" i="3" a="1"/>
  <c r="B25" i="3" s="1"/>
  <c r="A25" i="3" a="1"/>
  <c r="A25" i="3" s="1"/>
  <c r="R24" i="3" a="1"/>
  <c r="R24" i="3" s="1"/>
  <c r="Q24" i="3" a="1"/>
  <c r="Q24" i="3" s="1"/>
  <c r="P24" i="3" a="1"/>
  <c r="P24" i="3" s="1"/>
  <c r="O24" i="3" a="1"/>
  <c r="O24" i="3" s="1"/>
  <c r="N24" i="3" a="1"/>
  <c r="N24" i="3" s="1"/>
  <c r="M24" i="3" a="1"/>
  <c r="M24" i="3" s="1"/>
  <c r="L24" i="3" a="1"/>
  <c r="L24" i="3" s="1"/>
  <c r="K24" i="3" a="1"/>
  <c r="K24" i="3" s="1"/>
  <c r="J24" i="3" a="1"/>
  <c r="J24" i="3" s="1"/>
  <c r="I24" i="3" a="1"/>
  <c r="I24" i="3" s="1"/>
  <c r="H24" i="3" a="1"/>
  <c r="H24" i="3" s="1"/>
  <c r="G24" i="3" a="1"/>
  <c r="G24" i="3" s="1"/>
  <c r="F24" i="3" a="1"/>
  <c r="F24" i="3" s="1"/>
  <c r="E24" i="3" a="1"/>
  <c r="E24" i="3" s="1"/>
  <c r="D24" i="3" a="1"/>
  <c r="D24" i="3" s="1"/>
  <c r="C24" i="3" a="1"/>
  <c r="C24" i="3" s="1"/>
  <c r="B24" i="3" a="1"/>
  <c r="B24" i="3" s="1"/>
  <c r="A24" i="3" a="1"/>
  <c r="A24" i="3" s="1"/>
  <c r="R23" i="3" a="1"/>
  <c r="R23" i="3" s="1"/>
  <c r="Q23" i="3" a="1"/>
  <c r="Q23" i="3" s="1"/>
  <c r="P23" i="3" a="1"/>
  <c r="P23" i="3" s="1"/>
  <c r="O23" i="3" a="1"/>
  <c r="O23" i="3" s="1"/>
  <c r="N23" i="3" a="1"/>
  <c r="N23" i="3" s="1"/>
  <c r="M23" i="3" a="1"/>
  <c r="M23" i="3" s="1"/>
  <c r="L23" i="3" a="1"/>
  <c r="L23" i="3" s="1"/>
  <c r="K23" i="3" a="1"/>
  <c r="K23" i="3" s="1"/>
  <c r="J23" i="3" a="1"/>
  <c r="J23" i="3" s="1"/>
  <c r="I23" i="3" a="1"/>
  <c r="I23" i="3" s="1"/>
  <c r="H23" i="3" a="1"/>
  <c r="H23" i="3" s="1"/>
  <c r="G23" i="3" a="1"/>
  <c r="G23" i="3" s="1"/>
  <c r="F23" i="3" a="1"/>
  <c r="F23" i="3" s="1"/>
  <c r="E23" i="3" a="1"/>
  <c r="E23" i="3" s="1"/>
  <c r="D23" i="3" a="1"/>
  <c r="D23" i="3" s="1"/>
  <c r="C23" i="3" a="1"/>
  <c r="C23" i="3" s="1"/>
  <c r="B23" i="3" a="1"/>
  <c r="B23" i="3" s="1"/>
  <c r="A23" i="3" a="1"/>
  <c r="A23" i="3" s="1"/>
  <c r="R22" i="3" a="1"/>
  <c r="R22" i="3" s="1"/>
  <c r="Q22" i="3" a="1"/>
  <c r="Q22" i="3" s="1"/>
  <c r="P22" i="3" a="1"/>
  <c r="P22" i="3" s="1"/>
  <c r="O22" i="3" a="1"/>
  <c r="O22" i="3" s="1"/>
  <c r="N22" i="3" a="1"/>
  <c r="N22" i="3" s="1"/>
  <c r="M22" i="3" a="1"/>
  <c r="M22" i="3" s="1"/>
  <c r="L22" i="3" a="1"/>
  <c r="L22" i="3" s="1"/>
  <c r="K22" i="3" a="1"/>
  <c r="K22" i="3" s="1"/>
  <c r="J22" i="3" a="1"/>
  <c r="J22" i="3" s="1"/>
  <c r="I22" i="3" a="1"/>
  <c r="I22" i="3" s="1"/>
  <c r="H22" i="3" a="1"/>
  <c r="H22" i="3" s="1"/>
  <c r="G22" i="3" a="1"/>
  <c r="G22" i="3" s="1"/>
  <c r="F22" i="3" a="1"/>
  <c r="F22" i="3" s="1"/>
  <c r="E22" i="3" a="1"/>
  <c r="E22" i="3" s="1"/>
  <c r="D22" i="3" a="1"/>
  <c r="D22" i="3" s="1"/>
  <c r="C22" i="3" a="1"/>
  <c r="C22" i="3" s="1"/>
  <c r="B22" i="3" a="1"/>
  <c r="B22" i="3" s="1"/>
  <c r="A22" i="3" a="1"/>
  <c r="A22" i="3" s="1"/>
  <c r="R21" i="3" a="1"/>
  <c r="R21" i="3" s="1"/>
  <c r="Q21" i="3" a="1"/>
  <c r="Q21" i="3" s="1"/>
  <c r="P21" i="3" a="1"/>
  <c r="P21" i="3" s="1"/>
  <c r="O21" i="3" a="1"/>
  <c r="O21" i="3" s="1"/>
  <c r="N21" i="3" a="1"/>
  <c r="N21" i="3" s="1"/>
  <c r="M21" i="3" a="1"/>
  <c r="M21" i="3" s="1"/>
  <c r="L21" i="3" a="1"/>
  <c r="L21" i="3" s="1"/>
  <c r="K21" i="3" a="1"/>
  <c r="K21" i="3" s="1"/>
  <c r="J21" i="3" a="1"/>
  <c r="J21" i="3" s="1"/>
  <c r="I21" i="3" a="1"/>
  <c r="I21" i="3" s="1"/>
  <c r="H21" i="3" a="1"/>
  <c r="H21" i="3" s="1"/>
  <c r="G21" i="3" a="1"/>
  <c r="G21" i="3" s="1"/>
  <c r="F21" i="3" a="1"/>
  <c r="F21" i="3" s="1"/>
  <c r="E21" i="3" a="1"/>
  <c r="E21" i="3" s="1"/>
  <c r="D21" i="3" a="1"/>
  <c r="D21" i="3" s="1"/>
  <c r="C21" i="3" a="1"/>
  <c r="C21" i="3" s="1"/>
  <c r="B21" i="3" a="1"/>
  <c r="B21" i="3" s="1"/>
  <c r="A21" i="3" a="1"/>
  <c r="A21" i="3" s="1"/>
  <c r="R20" i="3" a="1"/>
  <c r="R20" i="3" s="1"/>
  <c r="Q20" i="3" a="1"/>
  <c r="Q20" i="3" s="1"/>
  <c r="P20" i="3" a="1"/>
  <c r="P20" i="3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J20" i="3" a="1"/>
  <c r="J20" i="3" s="1"/>
  <c r="I20" i="3" a="1"/>
  <c r="I20" i="3" s="1"/>
  <c r="H20" i="3" a="1"/>
  <c r="H20" i="3" s="1"/>
  <c r="G20" i="3" a="1"/>
  <c r="G20" i="3" s="1"/>
  <c r="F20" i="3" a="1"/>
  <c r="F20" i="3" s="1"/>
  <c r="E20" i="3" a="1"/>
  <c r="E20" i="3" s="1"/>
  <c r="D20" i="3" a="1"/>
  <c r="D20" i="3" s="1"/>
  <c r="C20" i="3" a="1"/>
  <c r="C20" i="3" s="1"/>
  <c r="B20" i="3" a="1"/>
  <c r="B20" i="3" s="1"/>
  <c r="A20" i="3" a="1"/>
  <c r="A20" i="3" s="1"/>
  <c r="R19" i="3" a="1"/>
  <c r="R19" i="3" s="1"/>
  <c r="Q19" i="3" a="1"/>
  <c r="Q19" i="3" s="1"/>
  <c r="P19" i="3" a="1"/>
  <c r="P19" i="3" s="1"/>
  <c r="O19" i="3" a="1"/>
  <c r="O19" i="3" s="1"/>
  <c r="N19" i="3" a="1"/>
  <c r="N19" i="3" s="1"/>
  <c r="M19" i="3" a="1"/>
  <c r="M19" i="3" s="1"/>
  <c r="L19" i="3" a="1"/>
  <c r="L19" i="3" s="1"/>
  <c r="K19" i="3" a="1"/>
  <c r="K19" i="3" s="1"/>
  <c r="J19" i="3" a="1"/>
  <c r="J19" i="3" s="1"/>
  <c r="I19" i="3" a="1"/>
  <c r="I19" i="3" s="1"/>
  <c r="H19" i="3" a="1"/>
  <c r="H19" i="3" s="1"/>
  <c r="G19" i="3" a="1"/>
  <c r="G19" i="3" s="1"/>
  <c r="F19" i="3" a="1"/>
  <c r="F19" i="3" s="1"/>
  <c r="E19" i="3" a="1"/>
  <c r="E19" i="3" s="1"/>
  <c r="D19" i="3" a="1"/>
  <c r="D19" i="3" s="1"/>
  <c r="C19" i="3" a="1"/>
  <c r="C19" i="3" s="1"/>
  <c r="B19" i="3" a="1"/>
  <c r="B19" i="3" s="1"/>
  <c r="A19" i="3" a="1"/>
  <c r="A19" i="3" s="1"/>
  <c r="R18" i="3" a="1"/>
  <c r="R18" i="3" s="1"/>
  <c r="Q18" i="3" a="1"/>
  <c r="Q18" i="3" s="1"/>
  <c r="P18" i="3" a="1"/>
  <c r="P18" i="3" s="1"/>
  <c r="O18" i="3" a="1"/>
  <c r="O18" i="3" s="1"/>
  <c r="N18" i="3" a="1"/>
  <c r="N18" i="3" s="1"/>
  <c r="M18" i="3" a="1"/>
  <c r="M18" i="3" s="1"/>
  <c r="L18" i="3" a="1"/>
  <c r="L18" i="3" s="1"/>
  <c r="K18" i="3" a="1"/>
  <c r="K18" i="3" s="1"/>
  <c r="J18" i="3" a="1"/>
  <c r="J18" i="3" s="1"/>
  <c r="I18" i="3" a="1"/>
  <c r="I18" i="3" s="1"/>
  <c r="H18" i="3" a="1"/>
  <c r="H18" i="3" s="1"/>
  <c r="G18" i="3" a="1"/>
  <c r="G18" i="3" s="1"/>
  <c r="F18" i="3" a="1"/>
  <c r="F18" i="3" s="1"/>
  <c r="E18" i="3" a="1"/>
  <c r="E18" i="3" s="1"/>
  <c r="D18" i="3" a="1"/>
  <c r="D18" i="3" s="1"/>
  <c r="C18" i="3" a="1"/>
  <c r="C18" i="3" s="1"/>
  <c r="B18" i="3" a="1"/>
  <c r="B18" i="3" s="1"/>
  <c r="A18" i="3" a="1"/>
  <c r="A18" i="3" s="1"/>
  <c r="R17" i="3" a="1"/>
  <c r="R17" i="3" s="1"/>
  <c r="Q17" i="3" a="1"/>
  <c r="Q17" i="3" s="1"/>
  <c r="P17" i="3" a="1"/>
  <c r="P17" i="3" s="1"/>
  <c r="O17" i="3" a="1"/>
  <c r="O17" i="3" s="1"/>
  <c r="N17" i="3" a="1"/>
  <c r="N17" i="3" s="1"/>
  <c r="M17" i="3" a="1"/>
  <c r="M17" i="3" s="1"/>
  <c r="L17" i="3" a="1"/>
  <c r="L17" i="3" s="1"/>
  <c r="K17" i="3" a="1"/>
  <c r="K17" i="3" s="1"/>
  <c r="J17" i="3" a="1"/>
  <c r="J17" i="3" s="1"/>
  <c r="I17" i="3" a="1"/>
  <c r="I17" i="3" s="1"/>
  <c r="H17" i="3" a="1"/>
  <c r="H17" i="3" s="1"/>
  <c r="G17" i="3" a="1"/>
  <c r="G17" i="3" s="1"/>
  <c r="F17" i="3" a="1"/>
  <c r="F17" i="3" s="1"/>
  <c r="E17" i="3" a="1"/>
  <c r="E17" i="3" s="1"/>
  <c r="D17" i="3" a="1"/>
  <c r="D17" i="3" s="1"/>
  <c r="C17" i="3" a="1"/>
  <c r="C17" i="3" s="1"/>
  <c r="B17" i="3" a="1"/>
  <c r="B17" i="3" s="1"/>
  <c r="A17" i="3" a="1"/>
  <c r="A17" i="3" s="1"/>
  <c r="R16" i="3" a="1"/>
  <c r="R16" i="3" s="1"/>
  <c r="Q16" i="3" a="1"/>
  <c r="Q16" i="3" s="1"/>
  <c r="P16" i="3" a="1"/>
  <c r="P16" i="3" s="1"/>
  <c r="O16" i="3" a="1"/>
  <c r="O16" i="3" s="1"/>
  <c r="N16" i="3" a="1"/>
  <c r="N16" i="3" s="1"/>
  <c r="M16" i="3" a="1"/>
  <c r="M16" i="3" s="1"/>
  <c r="L16" i="3" a="1"/>
  <c r="L16" i="3" s="1"/>
  <c r="K16" i="3" a="1"/>
  <c r="K16" i="3" s="1"/>
  <c r="J16" i="3" a="1"/>
  <c r="J16" i="3" s="1"/>
  <c r="I16" i="3" a="1"/>
  <c r="I16" i="3" s="1"/>
  <c r="H16" i="3" a="1"/>
  <c r="H16" i="3" s="1"/>
  <c r="G16" i="3" a="1"/>
  <c r="G16" i="3" s="1"/>
  <c r="F16" i="3" a="1"/>
  <c r="F16" i="3" s="1"/>
  <c r="E16" i="3" a="1"/>
  <c r="E16" i="3" s="1"/>
  <c r="D16" i="3" a="1"/>
  <c r="D16" i="3" s="1"/>
  <c r="C16" i="3" a="1"/>
  <c r="C16" i="3" s="1"/>
  <c r="B16" i="3" a="1"/>
  <c r="B16" i="3" s="1"/>
  <c r="A16" i="3" a="1"/>
  <c r="A16" i="3" s="1"/>
  <c r="R15" i="3" a="1"/>
  <c r="R15" i="3" s="1"/>
  <c r="Q15" i="3" a="1"/>
  <c r="Q15" i="3" s="1"/>
  <c r="P15" i="3" a="1"/>
  <c r="P15" i="3" s="1"/>
  <c r="O15" i="3" a="1"/>
  <c r="O15" i="3" s="1"/>
  <c r="N15" i="3" a="1"/>
  <c r="N15" i="3" s="1"/>
  <c r="M15" i="3" a="1"/>
  <c r="M15" i="3" s="1"/>
  <c r="L15" i="3" a="1"/>
  <c r="L15" i="3" s="1"/>
  <c r="K15" i="3" a="1"/>
  <c r="K15" i="3" s="1"/>
  <c r="J15" i="3" a="1"/>
  <c r="J15" i="3" s="1"/>
  <c r="I15" i="3" a="1"/>
  <c r="I15" i="3" s="1"/>
  <c r="H15" i="3" a="1"/>
  <c r="H15" i="3" s="1"/>
  <c r="G15" i="3" a="1"/>
  <c r="G15" i="3" s="1"/>
  <c r="F15" i="3" a="1"/>
  <c r="F15" i="3" s="1"/>
  <c r="E15" i="3" a="1"/>
  <c r="E15" i="3" s="1"/>
  <c r="D15" i="3" a="1"/>
  <c r="D15" i="3" s="1"/>
  <c r="C15" i="3" a="1"/>
  <c r="C15" i="3" s="1"/>
  <c r="B15" i="3" a="1"/>
  <c r="B15" i="3" s="1"/>
  <c r="A15" i="3" a="1"/>
  <c r="A15" i="3" s="1"/>
  <c r="R14" i="3" a="1"/>
  <c r="R14" i="3" s="1"/>
  <c r="Q14" i="3" a="1"/>
  <c r="Q14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J14" i="3" a="1"/>
  <c r="J14" i="3" s="1"/>
  <c r="I14" i="3" a="1"/>
  <c r="I14" i="3" s="1"/>
  <c r="H14" i="3" a="1"/>
  <c r="H14" i="3" s="1"/>
  <c r="G14" i="3" a="1"/>
  <c r="G14" i="3" s="1"/>
  <c r="F14" i="3" a="1"/>
  <c r="F14" i="3" s="1"/>
  <c r="E14" i="3" a="1"/>
  <c r="E14" i="3" s="1"/>
  <c r="D14" i="3" a="1"/>
  <c r="D14" i="3" s="1"/>
  <c r="C14" i="3" a="1"/>
  <c r="C14" i="3" s="1"/>
  <c r="B14" i="3" a="1"/>
  <c r="B14" i="3" s="1"/>
  <c r="A14" i="3" a="1"/>
  <c r="A14" i="3" s="1"/>
  <c r="R13" i="3" a="1"/>
  <c r="R13" i="3" s="1"/>
  <c r="Q13" i="3" a="1"/>
  <c r="Q13" i="3" s="1"/>
  <c r="P13" i="3" a="1"/>
  <c r="P13" i="3" s="1"/>
  <c r="O13" i="3" a="1"/>
  <c r="O13" i="3" s="1"/>
  <c r="N13" i="3" a="1"/>
  <c r="N13" i="3" s="1"/>
  <c r="M13" i="3" a="1"/>
  <c r="M13" i="3" s="1"/>
  <c r="L13" i="3" a="1"/>
  <c r="L13" i="3" s="1"/>
  <c r="K13" i="3" a="1"/>
  <c r="K13" i="3"/>
  <c r="J13" i="3" a="1"/>
  <c r="J13" i="3" s="1"/>
  <c r="I13" i="3" a="1"/>
  <c r="I13" i="3" s="1"/>
  <c r="H13" i="3" a="1"/>
  <c r="H13" i="3" s="1"/>
  <c r="G13" i="3" a="1"/>
  <c r="G13" i="3" s="1"/>
  <c r="F13" i="3" a="1"/>
  <c r="F13" i="3" s="1"/>
  <c r="E13" i="3" a="1"/>
  <c r="E13" i="3" s="1"/>
  <c r="D13" i="3" a="1"/>
  <c r="D13" i="3"/>
  <c r="C13" i="3" a="1"/>
  <c r="C13" i="3" s="1"/>
  <c r="B13" i="3" a="1"/>
  <c r="B13" i="3" s="1"/>
  <c r="A13" i="3" a="1"/>
  <c r="A13" i="3" s="1"/>
  <c r="R12" i="3" a="1"/>
  <c r="R12" i="3" s="1"/>
  <c r="Q12" i="3" a="1"/>
  <c r="Q12" i="3" s="1"/>
  <c r="P12" i="3" a="1"/>
  <c r="P12" i="3" s="1"/>
  <c r="O12" i="3" a="1"/>
  <c r="O12" i="3" s="1"/>
  <c r="N12" i="3" a="1"/>
  <c r="N12" i="3" s="1"/>
  <c r="M12" i="3" a="1"/>
  <c r="M12" i="3" s="1"/>
  <c r="L12" i="3" a="1"/>
  <c r="L12" i="3" s="1"/>
  <c r="K12" i="3" a="1"/>
  <c r="K12" i="3" s="1"/>
  <c r="J12" i="3" a="1"/>
  <c r="J12" i="3" s="1"/>
  <c r="I12" i="3" a="1"/>
  <c r="I12" i="3" s="1"/>
  <c r="H12" i="3" a="1"/>
  <c r="H12" i="3" s="1"/>
  <c r="G12" i="3" a="1"/>
  <c r="G12" i="3" s="1"/>
  <c r="F12" i="3" a="1"/>
  <c r="F12" i="3" s="1"/>
  <c r="E12" i="3" a="1"/>
  <c r="E12" i="3" s="1"/>
  <c r="D12" i="3" a="1"/>
  <c r="D12" i="3" s="1"/>
  <c r="C12" i="3" a="1"/>
  <c r="C12" i="3" s="1"/>
  <c r="B12" i="3" a="1"/>
  <c r="B12" i="3" s="1"/>
  <c r="A12" i="3" a="1"/>
  <c r="A12" i="3" s="1"/>
  <c r="R11" i="3" a="1"/>
  <c r="R11" i="3" s="1"/>
  <c r="Q11" i="3" a="1"/>
  <c r="Q11" i="3" s="1"/>
  <c r="P11" i="3" a="1"/>
  <c r="P11" i="3" s="1"/>
  <c r="O11" i="3" a="1"/>
  <c r="O11" i="3" s="1"/>
  <c r="N11" i="3" a="1"/>
  <c r="N11" i="3" s="1"/>
  <c r="M11" i="3" a="1"/>
  <c r="M11" i="3" s="1"/>
  <c r="L11" i="3" a="1"/>
  <c r="L11" i="3" s="1"/>
  <c r="K11" i="3" a="1"/>
  <c r="K11" i="3" s="1"/>
  <c r="J11" i="3" a="1"/>
  <c r="J11" i="3" s="1"/>
  <c r="I11" i="3" a="1"/>
  <c r="I11" i="3" s="1"/>
  <c r="H11" i="3" a="1"/>
  <c r="H11" i="3" s="1"/>
  <c r="G11" i="3" a="1"/>
  <c r="G11" i="3" s="1"/>
  <c r="F11" i="3" a="1"/>
  <c r="F11" i="3" s="1"/>
  <c r="E11" i="3" a="1"/>
  <c r="E11" i="3" s="1"/>
  <c r="D11" i="3" a="1"/>
  <c r="D11" i="3" s="1"/>
  <c r="C11" i="3" a="1"/>
  <c r="C11" i="3" s="1"/>
  <c r="B11" i="3" a="1"/>
  <c r="B11" i="3" s="1"/>
  <c r="A11" i="3" a="1"/>
  <c r="A11" i="3" s="1"/>
  <c r="R10" i="3" a="1"/>
  <c r="R10" i="3" s="1"/>
  <c r="Q10" i="3" a="1"/>
  <c r="Q10" i="3" s="1"/>
  <c r="P10" i="3" a="1"/>
  <c r="P10" i="3" s="1"/>
  <c r="O10" i="3" a="1"/>
  <c r="O10" i="3" s="1"/>
  <c r="N10" i="3" a="1"/>
  <c r="N10" i="3" s="1"/>
  <c r="M10" i="3" a="1"/>
  <c r="M10" i="3" s="1"/>
  <c r="L10" i="3" a="1"/>
  <c r="L10" i="3" s="1"/>
  <c r="K10" i="3" a="1"/>
  <c r="K10" i="3" s="1"/>
  <c r="J10" i="3" a="1"/>
  <c r="J10" i="3" s="1"/>
  <c r="I10" i="3" a="1"/>
  <c r="I10" i="3" s="1"/>
  <c r="H10" i="3" a="1"/>
  <c r="H10" i="3" s="1"/>
  <c r="G10" i="3" a="1"/>
  <c r="G10" i="3" s="1"/>
  <c r="F10" i="3" a="1"/>
  <c r="F10" i="3" s="1"/>
  <c r="E10" i="3" a="1"/>
  <c r="E10" i="3" s="1"/>
  <c r="D10" i="3" a="1"/>
  <c r="D10" i="3" s="1"/>
  <c r="C10" i="3" a="1"/>
  <c r="C10" i="3" s="1"/>
  <c r="B10" i="3" a="1"/>
  <c r="B10" i="3" s="1"/>
  <c r="A10" i="3" a="1"/>
  <c r="A10" i="3" s="1"/>
  <c r="R9" i="3" a="1"/>
  <c r="R9" i="3" s="1"/>
  <c r="Q9" i="3" a="1"/>
  <c r="Q9" i="3" s="1"/>
  <c r="P9" i="3" a="1"/>
  <c r="P9" i="3" s="1"/>
  <c r="O9" i="3" a="1"/>
  <c r="O9" i="3" s="1"/>
  <c r="N9" i="3" a="1"/>
  <c r="N9" i="3" s="1"/>
  <c r="M9" i="3" a="1"/>
  <c r="M9" i="3" s="1"/>
  <c r="L9" i="3" a="1"/>
  <c r="L9" i="3" s="1"/>
  <c r="K9" i="3" a="1"/>
  <c r="K9" i="3" s="1"/>
  <c r="J9" i="3" a="1"/>
  <c r="J9" i="3" s="1"/>
  <c r="I9" i="3" a="1"/>
  <c r="I9" i="3" s="1"/>
  <c r="H9" i="3" a="1"/>
  <c r="H9" i="3" s="1"/>
  <c r="G9" i="3" a="1"/>
  <c r="G9" i="3" s="1"/>
  <c r="F9" i="3" a="1"/>
  <c r="F9" i="3" s="1"/>
  <c r="E9" i="3" a="1"/>
  <c r="E9" i="3" s="1"/>
  <c r="D9" i="3" a="1"/>
  <c r="D9" i="3" s="1"/>
  <c r="C9" i="3" a="1"/>
  <c r="C9" i="3" s="1"/>
  <c r="B9" i="3" a="1"/>
  <c r="B9" i="3" s="1"/>
  <c r="A9" i="3" a="1"/>
  <c r="A9" i="3" s="1"/>
  <c r="R8" i="3" a="1"/>
  <c r="R8" i="3" s="1"/>
  <c r="Q8" i="3" a="1"/>
  <c r="Q8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J8" i="3" a="1"/>
  <c r="J8" i="3" s="1"/>
  <c r="I8" i="3" a="1"/>
  <c r="I8" i="3" s="1"/>
  <c r="H8" i="3" a="1"/>
  <c r="H8" i="3" s="1"/>
  <c r="G8" i="3" a="1"/>
  <c r="G8" i="3" s="1"/>
  <c r="F8" i="3" a="1"/>
  <c r="F8" i="3" s="1"/>
  <c r="E8" i="3" a="1"/>
  <c r="E8" i="3" s="1"/>
  <c r="D8" i="3" a="1"/>
  <c r="D8" i="3" s="1"/>
  <c r="C8" i="3" a="1"/>
  <c r="C8" i="3" s="1"/>
  <c r="B8" i="3" a="1"/>
  <c r="B8" i="3" s="1"/>
  <c r="A8" i="3" a="1"/>
  <c r="A8" i="3" s="1"/>
  <c r="R7" i="3" a="1"/>
  <c r="R7" i="3" s="1"/>
  <c r="Q7" i="3" a="1"/>
  <c r="Q7" i="3" s="1"/>
  <c r="P7" i="3" a="1"/>
  <c r="P7" i="3" s="1"/>
  <c r="O7" i="3" a="1"/>
  <c r="O7" i="3" s="1"/>
  <c r="N7" i="3" a="1"/>
  <c r="N7" i="3" s="1"/>
  <c r="M7" i="3" a="1"/>
  <c r="M7" i="3" s="1"/>
  <c r="L7" i="3" a="1"/>
  <c r="L7" i="3" s="1"/>
  <c r="K7" i="3" a="1"/>
  <c r="K7" i="3" s="1"/>
  <c r="J7" i="3" a="1"/>
  <c r="J7" i="3" s="1"/>
  <c r="I7" i="3" a="1"/>
  <c r="I7" i="3" s="1"/>
  <c r="H7" i="3" a="1"/>
  <c r="H7" i="3" s="1"/>
  <c r="G7" i="3" a="1"/>
  <c r="G7" i="3" s="1"/>
  <c r="F7" i="3" a="1"/>
  <c r="F7" i="3" s="1"/>
  <c r="E7" i="3" a="1"/>
  <c r="E7" i="3" s="1"/>
  <c r="D7" i="3" a="1"/>
  <c r="D7" i="3" s="1"/>
  <c r="C7" i="3" a="1"/>
  <c r="C7" i="3" s="1"/>
  <c r="B7" i="3" a="1"/>
  <c r="B7" i="3" s="1"/>
  <c r="A7" i="3" a="1"/>
  <c r="A7" i="3" s="1"/>
  <c r="R6" i="3" a="1"/>
  <c r="R6" i="3" s="1"/>
  <c r="Q6" i="3" a="1"/>
  <c r="Q6" i="3" s="1"/>
  <c r="P6" i="3" a="1"/>
  <c r="P6" i="3" s="1"/>
  <c r="O6" i="3" a="1"/>
  <c r="O6" i="3" s="1"/>
  <c r="N6" i="3" a="1"/>
  <c r="N6" i="3" s="1"/>
  <c r="M6" i="3" a="1"/>
  <c r="M6" i="3" s="1"/>
  <c r="L6" i="3" a="1"/>
  <c r="L6" i="3" s="1"/>
  <c r="K6" i="3" a="1"/>
  <c r="K6" i="3" s="1"/>
  <c r="J6" i="3" a="1"/>
  <c r="J6" i="3" s="1"/>
  <c r="I6" i="3" a="1"/>
  <c r="I6" i="3" s="1"/>
  <c r="H6" i="3" a="1"/>
  <c r="H6" i="3" s="1"/>
  <c r="G6" i="3" a="1"/>
  <c r="G6" i="3" s="1"/>
  <c r="F6" i="3" a="1"/>
  <c r="F6" i="3" s="1"/>
  <c r="E6" i="3" a="1"/>
  <c r="E6" i="3" s="1"/>
  <c r="D6" i="3" a="1"/>
  <c r="D6" i="3" s="1"/>
  <c r="C6" i="3" a="1"/>
  <c r="C6" i="3" s="1"/>
  <c r="B6" i="3" a="1"/>
  <c r="B6" i="3" s="1"/>
  <c r="A6" i="3" a="1"/>
  <c r="A6" i="3" s="1"/>
  <c r="R5" i="3" a="1"/>
  <c r="R5" i="3" s="1"/>
  <c r="Q5" i="3" a="1"/>
  <c r="Q5" i="3" s="1"/>
  <c r="P5" i="3" a="1"/>
  <c r="P5" i="3" s="1"/>
  <c r="O5" i="3" a="1"/>
  <c r="O5" i="3" s="1"/>
  <c r="N5" i="3" a="1"/>
  <c r="N5" i="3" s="1"/>
  <c r="M5" i="3" a="1"/>
  <c r="M5" i="3" s="1"/>
  <c r="L5" i="3" a="1"/>
  <c r="L5" i="3" s="1"/>
  <c r="K5" i="3" a="1"/>
  <c r="K5" i="3" s="1"/>
  <c r="J5" i="3" a="1"/>
  <c r="J5" i="3" s="1"/>
  <c r="I5" i="3" a="1"/>
  <c r="I5" i="3" s="1"/>
  <c r="H5" i="3" a="1"/>
  <c r="H5" i="3" s="1"/>
  <c r="G5" i="3" a="1"/>
  <c r="G5" i="3" s="1"/>
  <c r="F5" i="3" a="1"/>
  <c r="F5" i="3" s="1"/>
  <c r="E5" i="3" a="1"/>
  <c r="E5" i="3" s="1"/>
  <c r="D5" i="3" a="1"/>
  <c r="D5" i="3" s="1"/>
  <c r="C5" i="3" a="1"/>
  <c r="C5" i="3" s="1"/>
  <c r="B5" i="3" a="1"/>
  <c r="B5" i="3" s="1"/>
  <c r="A5" i="3" a="1"/>
  <c r="A5" i="3" s="1"/>
  <c r="R4" i="3" a="1"/>
  <c r="R4" i="3" s="1"/>
  <c r="Q4" i="3" a="1"/>
  <c r="Q4" i="3" s="1"/>
  <c r="P4" i="3" a="1"/>
  <c r="P4" i="3" s="1"/>
  <c r="O4" i="3" a="1"/>
  <c r="O4" i="3" s="1"/>
  <c r="N4" i="3" a="1"/>
  <c r="N4" i="3" s="1"/>
  <c r="M4" i="3" a="1"/>
  <c r="M4" i="3" s="1"/>
  <c r="L4" i="3" a="1"/>
  <c r="L4" i="3" s="1"/>
  <c r="K4" i="3" a="1"/>
  <c r="K4" i="3" s="1"/>
  <c r="J4" i="3" a="1"/>
  <c r="J4" i="3" s="1"/>
  <c r="I4" i="3" a="1"/>
  <c r="I4" i="3" s="1"/>
  <c r="H4" i="3" a="1"/>
  <c r="H4" i="3" s="1"/>
  <c r="G4" i="3" a="1"/>
  <c r="G4" i="3" s="1"/>
  <c r="F4" i="3" a="1"/>
  <c r="F4" i="3" s="1"/>
  <c r="E4" i="3" a="1"/>
  <c r="E4" i="3" s="1"/>
  <c r="D4" i="3" a="1"/>
  <c r="D4" i="3" s="1"/>
  <c r="C4" i="3" a="1"/>
  <c r="C4" i="3" s="1"/>
  <c r="B4" i="3" a="1"/>
  <c r="B4" i="3" s="1"/>
  <c r="A4" i="3" a="1"/>
  <c r="A4" i="3" s="1"/>
  <c r="G32" i="6" l="1"/>
  <c r="P32" i="6" s="1"/>
  <c r="G51" i="6"/>
  <c r="P51" i="6" s="1"/>
  <c r="G42" i="6"/>
  <c r="P42" i="6" s="1"/>
  <c r="G25" i="6"/>
  <c r="P25" i="6" s="1"/>
  <c r="G26" i="6"/>
  <c r="P26" i="6" s="1"/>
  <c r="G46" i="6"/>
  <c r="P46" i="6" s="1"/>
  <c r="G28" i="6"/>
  <c r="P28" i="6" s="1"/>
  <c r="G31" i="6"/>
  <c r="P31" i="6" s="1"/>
  <c r="G22" i="6"/>
  <c r="P22" i="6" s="1"/>
  <c r="G29" i="6"/>
  <c r="P29" i="6" s="1"/>
  <c r="G52" i="6"/>
  <c r="P52" i="6" s="1"/>
  <c r="G38" i="6"/>
  <c r="P38" i="6" s="1"/>
  <c r="G48" i="6"/>
  <c r="P48" i="6" s="1"/>
  <c r="G21" i="6"/>
  <c r="P21" i="6" s="1"/>
  <c r="G19" i="6"/>
  <c r="P19" i="6" s="1"/>
  <c r="G18" i="6"/>
  <c r="P18" i="6" s="1"/>
  <c r="G16" i="6"/>
  <c r="P16" i="6" s="1"/>
  <c r="G15" i="6"/>
  <c r="P15" i="6" s="1"/>
  <c r="G12" i="6"/>
  <c r="P12" i="6" s="1"/>
  <c r="G11" i="6"/>
  <c r="P11" i="6" s="1"/>
  <c r="G39" i="6"/>
  <c r="P39" i="6" s="1"/>
  <c r="G41" i="6"/>
  <c r="P41" i="6" s="1"/>
  <c r="G49" i="6"/>
  <c r="P49" i="6" s="1"/>
  <c r="G9" i="6"/>
  <c r="P9" i="6" s="1"/>
  <c r="G8" i="6"/>
  <c r="P8" i="6" s="1"/>
  <c r="G6" i="6"/>
  <c r="P6" i="6" s="1"/>
  <c r="G5" i="6"/>
  <c r="P5" i="6" s="1"/>
  <c r="G45" i="6"/>
  <c r="P45" i="6" s="1"/>
  <c r="G36" i="6"/>
  <c r="P36" i="6" s="1"/>
  <c r="G35" i="6"/>
  <c r="P35" i="6" s="1"/>
  <c r="E24" i="6"/>
  <c r="P24" i="6" s="1"/>
  <c r="E4" i="6"/>
  <c r="P4" i="6" s="1"/>
  <c r="E47" i="6"/>
  <c r="P47" i="6" s="1"/>
  <c r="E50" i="6"/>
  <c r="P50" i="6" s="1"/>
  <c r="E14" i="6"/>
  <c r="P14" i="6" s="1"/>
  <c r="E44" i="6"/>
  <c r="P44" i="6" s="1"/>
  <c r="E7" i="6"/>
  <c r="P7" i="6" s="1"/>
  <c r="E10" i="6"/>
  <c r="P10" i="6" s="1"/>
  <c r="E17" i="6"/>
  <c r="P17" i="6" s="1"/>
  <c r="E20" i="6"/>
  <c r="P20" i="6" s="1"/>
  <c r="E34" i="6"/>
  <c r="P34" i="6" s="1"/>
  <c r="E40" i="6"/>
  <c r="P40" i="6" s="1"/>
  <c r="E37" i="6"/>
  <c r="P37" i="6" s="1"/>
  <c r="E27" i="6"/>
  <c r="P27" i="6" s="1"/>
  <c r="E30" i="6"/>
  <c r="P30" i="6" s="1"/>
  <c r="M8" i="6" l="1" a="1"/>
  <c r="M8" i="6" s="1"/>
  <c r="O8" i="6" a="1"/>
  <c r="O8" i="6" s="1"/>
  <c r="K8" i="6" a="1"/>
  <c r="K8" i="6" s="1"/>
  <c r="I9" i="6" a="1"/>
  <c r="I9" i="6" s="1"/>
  <c r="K9" i="6" a="1"/>
  <c r="K9" i="6" s="1"/>
  <c r="M9" i="6" a="1"/>
  <c r="M9" i="6" s="1"/>
  <c r="I27" i="6" a="1"/>
  <c r="I27" i="6" s="1"/>
  <c r="K27" i="6" a="1"/>
  <c r="K27" i="6" s="1"/>
  <c r="I4" i="6" a="1"/>
  <c r="I4" i="6" s="1"/>
  <c r="M7" i="6" a="1"/>
  <c r="M7" i="6" s="1"/>
  <c r="O7" i="6" a="1"/>
  <c r="O7" i="6" s="1"/>
  <c r="I8" i="6" a="1"/>
  <c r="I8" i="6" s="1"/>
  <c r="M26" i="6" a="1"/>
  <c r="M26" i="6" s="1"/>
  <c r="O26" i="6" a="1"/>
  <c r="O26" i="6" s="1"/>
  <c r="K6" i="6" a="1"/>
  <c r="K6" i="6" s="1"/>
  <c r="M6" i="6" a="1"/>
  <c r="M6" i="6" s="1"/>
  <c r="O6" i="6" a="1"/>
  <c r="O6" i="6" s="1"/>
  <c r="I7" i="6" a="1"/>
  <c r="I7" i="6" s="1"/>
  <c r="M29" i="6" a="1"/>
  <c r="M29" i="6" s="1"/>
  <c r="O29" i="6" a="1"/>
  <c r="O29" i="6" s="1"/>
  <c r="I30" i="6" a="1"/>
  <c r="I30" i="6" s="1"/>
  <c r="K30" i="6" a="1"/>
  <c r="K30" i="6" s="1"/>
  <c r="K4" i="6" a="1"/>
  <c r="K4" i="6" s="1"/>
  <c r="M4" i="6" a="1"/>
  <c r="M4" i="6" s="1"/>
  <c r="O4" i="6" a="1"/>
  <c r="O4" i="6" s="1"/>
  <c r="I5" i="6" a="1"/>
  <c r="I5" i="6" s="1"/>
  <c r="K5" i="6" a="1"/>
  <c r="K5" i="6" s="1"/>
  <c r="M27" i="6" a="1"/>
  <c r="M27" i="6" s="1"/>
  <c r="O27" i="6" a="1"/>
  <c r="O27" i="6" s="1"/>
  <c r="I28" i="6" a="1"/>
  <c r="I28" i="6" s="1"/>
  <c r="K28" i="6" a="1"/>
  <c r="K28" i="6" s="1"/>
  <c r="M28" i="6" a="1"/>
  <c r="M28" i="6" s="1"/>
  <c r="M5" i="6" a="1"/>
  <c r="M5" i="6" s="1"/>
  <c r="O5" i="6" a="1"/>
  <c r="O5" i="6" s="1"/>
  <c r="I6" i="6" a="1"/>
  <c r="I6" i="6" s="1"/>
  <c r="O28" i="6" a="1"/>
  <c r="O28" i="6" s="1"/>
  <c r="I29" i="6" a="1"/>
  <c r="I29" i="6" s="1"/>
  <c r="K29" i="6" a="1"/>
  <c r="K29" i="6" s="1"/>
  <c r="K7" i="6" a="1"/>
  <c r="K7" i="6" s="1"/>
  <c r="M30" i="6" a="1"/>
  <c r="M30" i="6" s="1"/>
  <c r="O9" i="6" a="1"/>
  <c r="O9" i="6" s="1"/>
  <c r="I10" i="6" a="1"/>
  <c r="I10" i="6" s="1"/>
  <c r="K10" i="6" a="1"/>
  <c r="K10" i="6" s="1"/>
  <c r="M10" i="6" a="1"/>
  <c r="M10" i="6" s="1"/>
  <c r="O10" i="6" a="1"/>
  <c r="O10" i="6" s="1"/>
  <c r="I11" i="6" a="1"/>
  <c r="I11" i="6" s="1"/>
  <c r="K11" i="6" a="1"/>
  <c r="K11" i="6" s="1"/>
  <c r="M11" i="6" a="1"/>
  <c r="M11" i="6" s="1"/>
  <c r="O11" i="6" a="1"/>
  <c r="O11" i="6" s="1"/>
  <c r="I12" i="6" a="1"/>
  <c r="I12" i="6" s="1"/>
  <c r="K12" i="6" a="1"/>
  <c r="K12" i="6" s="1"/>
  <c r="M12" i="6" a="1"/>
  <c r="M12" i="6" s="1"/>
  <c r="O12" i="6" a="1"/>
  <c r="O12" i="6" s="1"/>
  <c r="I13" i="6" a="1"/>
  <c r="I13" i="6" s="1"/>
  <c r="K13" i="6" a="1"/>
  <c r="K13" i="6" s="1"/>
  <c r="M13" i="6" a="1"/>
  <c r="M13" i="6" s="1"/>
  <c r="O13" i="6" a="1"/>
  <c r="O13" i="6" s="1"/>
  <c r="I14" i="6" a="1"/>
  <c r="I14" i="6" s="1"/>
  <c r="K14" i="6" a="1"/>
  <c r="K14" i="6" s="1"/>
  <c r="M14" i="6" a="1"/>
  <c r="M14" i="6" s="1"/>
  <c r="O14" i="6" a="1"/>
  <c r="O14" i="6" s="1"/>
  <c r="I15" i="6" a="1"/>
  <c r="I15" i="6" s="1"/>
  <c r="K15" i="6" a="1"/>
  <c r="K15" i="6" s="1"/>
  <c r="M15" i="6" a="1"/>
  <c r="M15" i="6" s="1"/>
  <c r="O15" i="6" a="1"/>
  <c r="O15" i="6" s="1"/>
  <c r="I16" i="6" a="1"/>
  <c r="I16" i="6" s="1"/>
  <c r="K16" i="6" a="1"/>
  <c r="K16" i="6" s="1"/>
  <c r="M16" i="6" a="1"/>
  <c r="M16" i="6" s="1"/>
  <c r="O16" i="6" a="1"/>
  <c r="O16" i="6" s="1"/>
  <c r="I17" i="6" a="1"/>
  <c r="I17" i="6" s="1"/>
  <c r="K17" i="6" a="1"/>
  <c r="K17" i="6" s="1"/>
  <c r="M17" i="6" a="1"/>
  <c r="M17" i="6" s="1"/>
  <c r="O17" i="6" a="1"/>
  <c r="O17" i="6" s="1"/>
  <c r="I18" i="6" a="1"/>
  <c r="I18" i="6" s="1"/>
  <c r="K18" i="6" a="1"/>
  <c r="K18" i="6" s="1"/>
  <c r="M18" i="6" a="1"/>
  <c r="M18" i="6" s="1"/>
  <c r="O18" i="6" a="1"/>
  <c r="O18" i="6" s="1"/>
  <c r="I19" i="6" a="1"/>
  <c r="I19" i="6" s="1"/>
  <c r="K23" i="6" a="1"/>
  <c r="K23" i="6" s="1"/>
  <c r="M23" i="6" a="1"/>
  <c r="M23" i="6" s="1"/>
  <c r="O23" i="6" a="1"/>
  <c r="O23" i="6" s="1"/>
  <c r="K24" i="6" a="1"/>
  <c r="K24" i="6" s="1"/>
  <c r="M24" i="6" a="1"/>
  <c r="M24" i="6" s="1"/>
  <c r="I25" i="6" a="1"/>
  <c r="I25" i="6" s="1"/>
  <c r="M25" i="6" a="1"/>
  <c r="M25" i="6" s="1"/>
  <c r="I26" i="6" a="1"/>
  <c r="I26" i="6" s="1"/>
  <c r="C25" i="7" a="1"/>
  <c r="C25" i="7" s="1"/>
  <c r="I24" i="6" a="1"/>
  <c r="I24" i="6" s="1"/>
  <c r="O24" i="6" a="1"/>
  <c r="O24" i="6" s="1"/>
  <c r="K25" i="6" a="1"/>
  <c r="K25" i="6" s="1"/>
  <c r="O25" i="6" a="1"/>
  <c r="O25" i="6" s="1"/>
  <c r="K26" i="6" a="1"/>
  <c r="K26" i="6" s="1"/>
  <c r="C26" i="7" a="1"/>
  <c r="C26" i="7" s="1"/>
  <c r="O30" i="6" a="1"/>
  <c r="O30" i="6" s="1"/>
  <c r="I31" i="6" a="1"/>
  <c r="I31" i="6" s="1"/>
  <c r="K31" i="6" a="1"/>
  <c r="K31" i="6" s="1"/>
  <c r="M31" i="6" a="1"/>
  <c r="M31" i="6" s="1"/>
  <c r="O31" i="6" a="1"/>
  <c r="O31" i="6" s="1"/>
  <c r="I32" i="6" a="1"/>
  <c r="I32" i="6" s="1"/>
  <c r="K32" i="6" a="1"/>
  <c r="K32" i="6" s="1"/>
  <c r="I37" i="6" a="1"/>
  <c r="I37" i="6" s="1"/>
  <c r="K37" i="6" a="1"/>
  <c r="K37" i="6" s="1"/>
  <c r="M37" i="6" a="1"/>
  <c r="M37" i="6" s="1"/>
  <c r="O37" i="6" a="1"/>
  <c r="O37" i="6" s="1"/>
  <c r="I38" i="6" a="1"/>
  <c r="I38" i="6" s="1"/>
  <c r="K38" i="6" a="1"/>
  <c r="K38" i="6" s="1"/>
  <c r="M38" i="6" a="1"/>
  <c r="M38" i="6" s="1"/>
  <c r="O38" i="6" a="1"/>
  <c r="O38" i="6" s="1"/>
  <c r="I39" i="6" a="1"/>
  <c r="I39" i="6" s="1"/>
  <c r="K39" i="6" a="1"/>
  <c r="K39" i="6" s="1"/>
  <c r="M39" i="6" a="1"/>
  <c r="M39" i="6" s="1"/>
  <c r="O39" i="6" a="1"/>
  <c r="O39" i="6" s="1"/>
  <c r="I40" i="6" a="1"/>
  <c r="I40" i="6" s="1"/>
  <c r="K40" i="6" a="1"/>
  <c r="K40" i="6" s="1"/>
  <c r="M40" i="6" a="1"/>
  <c r="M40" i="6" s="1"/>
  <c r="O40" i="6" a="1"/>
  <c r="O40" i="6" s="1"/>
  <c r="I41" i="6" a="1"/>
  <c r="I41" i="6" s="1"/>
  <c r="K41" i="6" a="1"/>
  <c r="K41" i="6" s="1"/>
  <c r="M41" i="6" a="1"/>
  <c r="M41" i="6" s="1"/>
  <c r="O41" i="6" a="1"/>
  <c r="O41" i="6" s="1"/>
  <c r="I42" i="6" a="1"/>
  <c r="I42" i="6" s="1"/>
  <c r="K42" i="6" a="1"/>
  <c r="K42" i="6" s="1"/>
  <c r="M42" i="6" a="1"/>
  <c r="M42" i="6" s="1"/>
  <c r="O42" i="6" a="1"/>
  <c r="O42" i="6" s="1"/>
  <c r="I43" i="6" a="1"/>
  <c r="I43" i="6" s="1"/>
  <c r="K43" i="6" a="1"/>
  <c r="K43" i="6" s="1"/>
  <c r="M43" i="6" a="1"/>
  <c r="M43" i="6" s="1"/>
  <c r="C21" i="7" a="1"/>
  <c r="C21" i="7" s="1"/>
  <c r="C22" i="7" a="1"/>
  <c r="C22" i="7" s="1"/>
  <c r="A23" i="7" a="1"/>
  <c r="A23" i="7" s="1"/>
  <c r="G23" i="7" a="1"/>
  <c r="G23" i="7" s="1"/>
  <c r="E24" i="7" a="1"/>
  <c r="E24" i="7" s="1"/>
  <c r="E25" i="7" a="1"/>
  <c r="E25" i="7" s="1"/>
  <c r="O43" i="6" a="1"/>
  <c r="O43" i="6" s="1"/>
  <c r="I44" i="6" a="1"/>
  <c r="I44" i="6" s="1"/>
  <c r="K44" i="6" a="1"/>
  <c r="K44" i="6" s="1"/>
  <c r="M44" i="6" a="1"/>
  <c r="M44" i="6" s="1"/>
  <c r="O44" i="6" a="1"/>
  <c r="O44" i="6" s="1"/>
  <c r="I45" i="6" a="1"/>
  <c r="I45" i="6" s="1"/>
  <c r="K45" i="6" a="1"/>
  <c r="K45" i="6" s="1"/>
  <c r="M45" i="6" a="1"/>
  <c r="M45" i="6" s="1"/>
  <c r="I50" i="6" a="1"/>
  <c r="I50" i="6" s="1"/>
  <c r="K50" i="6" a="1"/>
  <c r="K50" i="6" s="1"/>
  <c r="M50" i="6" a="1"/>
  <c r="M50" i="6" s="1"/>
  <c r="O50" i="6" a="1"/>
  <c r="O50" i="6" s="1"/>
  <c r="I51" i="6" a="1"/>
  <c r="I51" i="6" s="1"/>
  <c r="K51" i="6" a="1"/>
  <c r="K51" i="6" s="1"/>
  <c r="M51" i="6" a="1"/>
  <c r="M51" i="6" s="1"/>
  <c r="O51" i="6" a="1"/>
  <c r="O51" i="6" s="1"/>
  <c r="I52" i="6" a="1"/>
  <c r="I52" i="6" s="1"/>
  <c r="K52" i="6" a="1"/>
  <c r="K52" i="6" s="1"/>
  <c r="M52" i="6" a="1"/>
  <c r="M52" i="6" s="1"/>
  <c r="O52" i="6" a="1"/>
  <c r="O52" i="6" s="1"/>
  <c r="A2" i="7" a="1"/>
  <c r="A2" i="7" s="1"/>
  <c r="C2" i="7" a="1"/>
  <c r="C2" i="7" s="1"/>
  <c r="E2" i="7" a="1"/>
  <c r="E2" i="7" s="1"/>
  <c r="G2" i="7" a="1"/>
  <c r="G2" i="7" s="1"/>
  <c r="C3" i="7" a="1"/>
  <c r="C3" i="7" s="1"/>
  <c r="E3" i="7" a="1"/>
  <c r="E3" i="7" s="1"/>
  <c r="G3" i="7" a="1"/>
  <c r="G3" i="7" s="1"/>
  <c r="C4" i="7" a="1"/>
  <c r="C4" i="7" s="1"/>
  <c r="E4" i="7" a="1"/>
  <c r="E4" i="7" s="1"/>
  <c r="G4" i="7" a="1"/>
  <c r="G4" i="7" s="1"/>
  <c r="C5" i="7" a="1"/>
  <c r="C5" i="7" s="1"/>
  <c r="E5" i="7" a="1"/>
  <c r="E5" i="7" s="1"/>
  <c r="G5" i="7" a="1"/>
  <c r="G5" i="7" s="1"/>
  <c r="C6" i="7" a="1"/>
  <c r="C6" i="7" s="1"/>
  <c r="G20" i="7" a="1"/>
  <c r="G20" i="7" s="1"/>
  <c r="G21" i="7" a="1"/>
  <c r="G21" i="7" s="1"/>
  <c r="E22" i="7" a="1"/>
  <c r="E22" i="7" s="1"/>
  <c r="C23" i="7" a="1"/>
  <c r="C23" i="7" s="1"/>
  <c r="C24" i="7" a="1"/>
  <c r="C24" i="7" s="1"/>
  <c r="G24" i="7" a="1"/>
  <c r="G24" i="7" s="1"/>
  <c r="G25" i="7" a="1"/>
  <c r="G25" i="7" s="1"/>
  <c r="E6" i="7" a="1"/>
  <c r="E6" i="7" s="1"/>
  <c r="G6" i="7" a="1"/>
  <c r="G6" i="7" s="1"/>
  <c r="C7" i="7" a="1"/>
  <c r="C7" i="7" s="1"/>
  <c r="E7" i="7" a="1"/>
  <c r="E7" i="7" s="1"/>
  <c r="G7" i="7" a="1"/>
  <c r="G7" i="7" s="1"/>
  <c r="A8" i="7" a="1"/>
  <c r="A8" i="7" s="1"/>
  <c r="C8" i="7" a="1"/>
  <c r="C8" i="7" s="1"/>
  <c r="E8" i="7" a="1"/>
  <c r="E8" i="7" s="1"/>
  <c r="G8" i="7" a="1"/>
  <c r="G8" i="7" s="1"/>
  <c r="C9" i="7" a="1"/>
  <c r="C9" i="7" s="1"/>
  <c r="E14" i="7" a="1"/>
  <c r="E14" i="7" s="1"/>
  <c r="G14" i="7" a="1"/>
  <c r="G14" i="7" s="1"/>
  <c r="C15" i="7" a="1"/>
  <c r="C15" i="7" s="1"/>
  <c r="E15" i="7" a="1"/>
  <c r="E15" i="7" s="1"/>
  <c r="G15" i="7" a="1"/>
  <c r="G15" i="7" s="1"/>
  <c r="C16" i="7" a="1"/>
  <c r="C16" i="7" s="1"/>
  <c r="E16" i="7" a="1"/>
  <c r="E16" i="7" s="1"/>
  <c r="G16" i="7" a="1"/>
  <c r="G16" i="7" s="1"/>
  <c r="C17" i="7" a="1"/>
  <c r="C17" i="7" s="1"/>
  <c r="E17" i="7" a="1"/>
  <c r="E17" i="7" s="1"/>
  <c r="G17" i="7" a="1"/>
  <c r="G17" i="7" s="1"/>
  <c r="C18" i="7" a="1"/>
  <c r="C18" i="7" s="1"/>
  <c r="E18" i="7" a="1"/>
  <c r="E18" i="7" s="1"/>
  <c r="G18" i="7" a="1"/>
  <c r="G18" i="7" s="1"/>
  <c r="C19" i="7" a="1"/>
  <c r="C19" i="7" s="1"/>
  <c r="E19" i="7" a="1"/>
  <c r="E19" i="7" s="1"/>
  <c r="G19" i="7" a="1"/>
  <c r="G19" i="7" s="1"/>
  <c r="C20" i="7" a="1"/>
  <c r="C20" i="7" s="1"/>
  <c r="E20" i="7" a="1"/>
  <c r="E20" i="7" s="1"/>
  <c r="E21" i="7" a="1"/>
  <c r="E21" i="7" s="1"/>
  <c r="G22" i="7" a="1"/>
  <c r="G22" i="7" s="1"/>
  <c r="E23" i="7" a="1"/>
  <c r="E23" i="7" s="1"/>
  <c r="K19" i="6" a="1"/>
  <c r="K19" i="6" s="1"/>
  <c r="M19" i="6" a="1"/>
  <c r="M19" i="6" s="1"/>
  <c r="O19" i="6" a="1"/>
  <c r="O19" i="6" s="1"/>
  <c r="I20" i="6" a="1"/>
  <c r="I20" i="6" s="1"/>
  <c r="K20" i="6" a="1"/>
  <c r="K20" i="6" s="1"/>
  <c r="M20" i="6" a="1"/>
  <c r="M20" i="6" s="1"/>
  <c r="O20" i="6" a="1"/>
  <c r="O20" i="6" s="1"/>
  <c r="I21" i="6" a="1"/>
  <c r="I21" i="6" s="1"/>
  <c r="K21" i="6" a="1"/>
  <c r="K21" i="6" s="1"/>
  <c r="M21" i="6" a="1"/>
  <c r="M21" i="6" s="1"/>
  <c r="O21" i="6" a="1"/>
  <c r="O21" i="6" s="1"/>
  <c r="I22" i="6" a="1"/>
  <c r="I22" i="6" s="1"/>
  <c r="C11" i="7" a="1"/>
  <c r="C11" i="7" s="1"/>
  <c r="I35" i="6" a="1"/>
  <c r="I35" i="6" s="1"/>
  <c r="E11" i="7" a="1"/>
  <c r="E11" i="7" s="1"/>
  <c r="G11" i="7" a="1"/>
  <c r="G11" i="7" s="1"/>
  <c r="M32" i="6" a="1"/>
  <c r="M32" i="6" s="1"/>
  <c r="O32" i="6" a="1"/>
  <c r="O32" i="6" s="1"/>
  <c r="I33" i="6" a="1"/>
  <c r="I33" i="6" s="1"/>
  <c r="K33" i="6" a="1"/>
  <c r="K33" i="6" s="1"/>
  <c r="M33" i="6" a="1"/>
  <c r="M33" i="6" s="1"/>
  <c r="O33" i="6" a="1"/>
  <c r="O33" i="6" s="1"/>
  <c r="I34" i="6" a="1"/>
  <c r="I34" i="6" s="1"/>
  <c r="K34" i="6" a="1"/>
  <c r="K34" i="6" s="1"/>
  <c r="M34" i="6" a="1"/>
  <c r="M34" i="6" s="1"/>
  <c r="O34" i="6" a="1"/>
  <c r="O34" i="6" s="1"/>
  <c r="C12" i="7" a="1"/>
  <c r="C12" i="7" s="1"/>
  <c r="K35" i="6" a="1"/>
  <c r="K35" i="6" s="1"/>
  <c r="M35" i="6" a="1"/>
  <c r="M35" i="6" s="1"/>
  <c r="E12" i="7" a="1"/>
  <c r="E12" i="7" s="1"/>
  <c r="G12" i="7" a="1"/>
  <c r="G12" i="7" s="1"/>
  <c r="A13" i="7" a="1"/>
  <c r="A13" i="7" s="1"/>
  <c r="E26" i="7" a="1"/>
  <c r="E26" i="7" s="1"/>
  <c r="G26" i="7" a="1"/>
  <c r="G26" i="7" s="1"/>
  <c r="O45" i="6" a="1"/>
  <c r="O45" i="6" s="1"/>
  <c r="I46" i="6" a="1"/>
  <c r="I46" i="6" s="1"/>
  <c r="K46" i="6" a="1"/>
  <c r="K46" i="6" s="1"/>
  <c r="M46" i="6" a="1"/>
  <c r="M46" i="6" s="1"/>
  <c r="O46" i="6" a="1"/>
  <c r="O46" i="6" s="1"/>
  <c r="I47" i="6" a="1"/>
  <c r="I47" i="6" s="1"/>
  <c r="K47" i="6" a="1"/>
  <c r="K47" i="6" s="1"/>
  <c r="M47" i="6" a="1"/>
  <c r="M47" i="6" s="1"/>
  <c r="O47" i="6" a="1"/>
  <c r="O47" i="6" s="1"/>
  <c r="I48" i="6" a="1"/>
  <c r="I48" i="6" s="1"/>
  <c r="K48" i="6" a="1"/>
  <c r="K48" i="6" s="1"/>
  <c r="M48" i="6" a="1"/>
  <c r="M48" i="6" s="1"/>
  <c r="O48" i="6" a="1"/>
  <c r="O48" i="6" s="1"/>
  <c r="I3" i="6" a="1"/>
  <c r="I3" i="6" s="1"/>
  <c r="K3" i="6" a="1"/>
  <c r="K3" i="6" s="1"/>
  <c r="M3" i="6" a="1"/>
  <c r="M3" i="6" s="1"/>
  <c r="O3" i="6" a="1"/>
  <c r="O3" i="6" s="1"/>
  <c r="E9" i="7" a="1"/>
  <c r="E9" i="7" s="1"/>
  <c r="G9" i="7" a="1"/>
  <c r="G9" i="7" s="1"/>
  <c r="C10" i="7" a="1"/>
  <c r="C10" i="7" s="1"/>
  <c r="E10" i="7" a="1"/>
  <c r="E10" i="7" s="1"/>
  <c r="G10" i="7" a="1"/>
  <c r="G10" i="7" s="1"/>
  <c r="K22" i="6" a="1"/>
  <c r="K22" i="6" s="1"/>
  <c r="M22" i="6" a="1"/>
  <c r="M22" i="6" s="1"/>
  <c r="O35" i="6" a="1"/>
  <c r="O35" i="6" s="1"/>
  <c r="I36" i="6" a="1"/>
  <c r="I36" i="6" s="1"/>
  <c r="K36" i="6" a="1"/>
  <c r="K36" i="6" s="1"/>
  <c r="I49" i="6" a="1"/>
  <c r="I49" i="6" s="1"/>
  <c r="K49" i="6" a="1"/>
  <c r="K49" i="6" s="1"/>
  <c r="C13" i="7" a="1"/>
  <c r="C13" i="7" s="1"/>
  <c r="E13" i="7" a="1"/>
  <c r="E13" i="7" s="1"/>
  <c r="O22" i="6" a="1"/>
  <c r="O22" i="6" s="1"/>
  <c r="M36" i="6" a="1"/>
  <c r="M36" i="6" s="1"/>
  <c r="I23" i="6" a="1"/>
  <c r="I23" i="6" s="1"/>
  <c r="O36" i="6" a="1"/>
  <c r="O36" i="6" s="1"/>
  <c r="M49" i="6" a="1"/>
  <c r="M49" i="6" s="1"/>
  <c r="G13" i="7" a="1"/>
  <c r="G13" i="7" s="1"/>
  <c r="O49" i="6" a="1"/>
  <c r="O49" i="6" s="1"/>
  <c r="C14" i="7" a="1"/>
  <c r="C14" i="7" s="1"/>
</calcChain>
</file>

<file path=xl/sharedStrings.xml><?xml version="1.0" encoding="utf-8"?>
<sst xmlns="http://schemas.openxmlformats.org/spreadsheetml/2006/main" count="2134" uniqueCount="1320">
  <si>
    <t>FACTOR ANALYSIS</t>
  </si>
  <si>
    <t>15 factors x 5 deductions x 5 conclusions. Con # (col E) is the VLOOKUP key. Col F: select label from dropdown (col R). Col G: conclusion text only.</t>
  </si>
  <si>
    <t>Factor #</t>
  </si>
  <si>
    <t>Factor</t>
  </si>
  <si>
    <t>Ded #</t>
  </si>
  <si>
    <t>Deduction</t>
  </si>
  <si>
    <t>Con #</t>
  </si>
  <si>
    <t>Output / Label</t>
  </si>
  <si>
    <t>Conclusion</t>
  </si>
  <si>
    <t>Label Options</t>
  </si>
  <si>
    <t>1</t>
  </si>
  <si>
    <t>The Strait of Malacca is a critical global choke point for regional energy imports/exports. IRS controls the northern approach and has layered A2AD for coercion</t>
  </si>
  <si>
    <t>1.1</t>
  </si>
  <si>
    <t xml:space="preserve">Small maritime threats can create strategic effect </t>
  </si>
  <si>
    <t>1.1.1</t>
  </si>
  <si>
    <t>OO</t>
  </si>
  <si>
    <t>XLOCs SECURED</t>
  </si>
  <si>
    <t>MSO</t>
  </si>
  <si>
    <t>1.1.2</t>
  </si>
  <si>
    <t>DC</t>
  </si>
  <si>
    <t>IRS integrated A2/AD system INTERDICTED</t>
  </si>
  <si>
    <t>1.1.3</t>
  </si>
  <si>
    <t>Rebel A2/AD PREVENTED</t>
  </si>
  <si>
    <t>1.1.4</t>
  </si>
  <si>
    <t>IRS expansion BLOCKED</t>
  </si>
  <si>
    <t>OE</t>
  </si>
  <si>
    <t>1.1.5</t>
  </si>
  <si>
    <t>RISK</t>
  </si>
  <si>
    <t>OA</t>
  </si>
  <si>
    <t>1.2</t>
  </si>
  <si>
    <t>Layered IRS A2AD</t>
  </si>
  <si>
    <t>1.2.1</t>
  </si>
  <si>
    <t>KCD-CANNOT</t>
  </si>
  <si>
    <t>1.2.2</t>
  </si>
  <si>
    <t>Casualties via adversary drones can constitute a strategic risk</t>
  </si>
  <si>
    <t>CV</t>
  </si>
  <si>
    <t>1.2.3</t>
  </si>
  <si>
    <t>ATTACK mines, CDCMs, submarines, radar and air-defence nodes</t>
  </si>
  <si>
    <t>COR</t>
  </si>
  <si>
    <t>1.2.4</t>
  </si>
  <si>
    <t>MCM, SEAD, EW, ISR, SOF synchronised</t>
  </si>
  <si>
    <t>REQT</t>
  </si>
  <si>
    <t>1.2.5</t>
  </si>
  <si>
    <t>REST</t>
  </si>
  <si>
    <t>1.3</t>
  </si>
  <si>
    <t>IRS revenue is maritime-dependent</t>
  </si>
  <si>
    <t>1.3.1</t>
  </si>
  <si>
    <t>SPODs SECURED</t>
  </si>
  <si>
    <t>KCD-MUST</t>
  </si>
  <si>
    <t>1.3.2</t>
  </si>
  <si>
    <t>KCD-SHOULD</t>
  </si>
  <si>
    <t>1.3.3</t>
  </si>
  <si>
    <t>MEDAN-BELAWAN ISOLATED</t>
  </si>
  <si>
    <t>KCD-SHOULD NOT</t>
  </si>
  <si>
    <t>1.3.4</t>
  </si>
  <si>
    <t>APODs SECURED</t>
  </si>
  <si>
    <t>1.3.5</t>
  </si>
  <si>
    <t>Priority governance / infrastructure nodes SECURED</t>
  </si>
  <si>
    <t>DECISION</t>
  </si>
  <si>
    <t>1.4</t>
  </si>
  <si>
    <t>Malaysia, Singapore and regional partners control access, staging, maritime coordination</t>
  </si>
  <si>
    <t>1.4.1</t>
  </si>
  <si>
    <t>ASSUMPTION</t>
  </si>
  <si>
    <t>1.4.2</t>
  </si>
  <si>
    <t>RSOI areas are SECURED</t>
  </si>
  <si>
    <t>CONSTRAINT</t>
  </si>
  <si>
    <t>1.4.3</t>
  </si>
  <si>
    <t>IRS DENIED</t>
  </si>
  <si>
    <t>LIMITATION</t>
  </si>
  <si>
    <t>1.4.4</t>
  </si>
  <si>
    <t>CC</t>
  </si>
  <si>
    <t>1.4.5</t>
  </si>
  <si>
    <t>CR</t>
  </si>
  <si>
    <t>1.5</t>
  </si>
  <si>
    <t>Shipping behaviour reacts faster than clearance operations</t>
  </si>
  <si>
    <t>1.5.1</t>
  </si>
  <si>
    <t>PCS</t>
  </si>
  <si>
    <t>1.5.2</t>
  </si>
  <si>
    <t>1.5.3</t>
  </si>
  <si>
    <t>1.5.4</t>
  </si>
  <si>
    <t>Sea CONTROLLED</t>
  </si>
  <si>
    <t>1.5.5</t>
  </si>
  <si>
    <t>SECURE XLOCs before wider GoIND entry</t>
  </si>
  <si>
    <t>2</t>
  </si>
  <si>
    <t>HASAN binds KODAM 1, nationalist, Islamist, leftist and liberal-democratic IRS factions. IRS cohesion is leadership-dependent</t>
  </si>
  <si>
    <t>2.1</t>
  </si>
  <si>
    <t>HASAN converts KODAM 1 power and Sumatran unrest into one independence project</t>
  </si>
  <si>
    <t>2.1.1</t>
  </si>
  <si>
    <t>IRS cohesion and ISOLATE MEDAN-BELAWAN DISCREDITED</t>
  </si>
  <si>
    <t>2.1.2</t>
  </si>
  <si>
    <t>2.1.3</t>
  </si>
  <si>
    <t>HASAN is DISCREDITED</t>
  </si>
  <si>
    <t>2.1.4</t>
  </si>
  <si>
    <t>MANIPULATE IRS coalition</t>
  </si>
  <si>
    <t>2.1.5</t>
  </si>
  <si>
    <t>Adversary networks UNDERSTOOD</t>
  </si>
  <si>
    <t>2.2</t>
  </si>
  <si>
    <t>Succession risk cuts both ways: Razil weakens, Ahmad may stabilise</t>
  </si>
  <si>
    <t>2.2.1</t>
  </si>
  <si>
    <t>2.2.2</t>
  </si>
  <si>
    <t>2.2.3</t>
  </si>
  <si>
    <t>2.2.4</t>
  </si>
  <si>
    <t>Dead HASAN may unify factions</t>
  </si>
  <si>
    <t>2.2.5</t>
  </si>
  <si>
    <t>EXPLOIT Razil corruption before direct action</t>
  </si>
  <si>
    <t>2.3</t>
  </si>
  <si>
    <t>IRS factions have incompatible end states</t>
  </si>
  <si>
    <t>2.3.1</t>
  </si>
  <si>
    <t>2.3.2</t>
  </si>
  <si>
    <t>2.3.3</t>
  </si>
  <si>
    <t>2.3.4</t>
  </si>
  <si>
    <t>Separate nationalist grievance from terrorist exploitation</t>
  </si>
  <si>
    <t>2.3.5</t>
  </si>
  <si>
    <t>Crude messaging drives factions together</t>
  </si>
  <si>
    <t>2.4</t>
  </si>
  <si>
    <t>Criminal, NK/CHIN-linked and ISIL/JI networks strengthen IRS  but weaken its legitimacy</t>
  </si>
  <si>
    <t>2.4.1</t>
  </si>
  <si>
    <t>Terror and external actor networks INTERDICTED</t>
  </si>
  <si>
    <t>2.4.2</t>
  </si>
  <si>
    <t>External support is legitimacy vulnerability and supply vulnerability</t>
  </si>
  <si>
    <t>2.4.3</t>
  </si>
  <si>
    <t>ISIL/JI operating capacity DISRUPTED</t>
  </si>
  <si>
    <t>2.4.4</t>
  </si>
  <si>
    <t>External actor networks DISRUPTED</t>
  </si>
  <si>
    <t>2.4.5</t>
  </si>
  <si>
    <t>2.5</t>
  </si>
  <si>
    <t>Real Sumatran grievanances means anti-IRS action can strengthen HASAN if NATO is framed as anti-Sumatran</t>
  </si>
  <si>
    <t>2.5.1</t>
  </si>
  <si>
    <t>GoIND SECURING of SUMATRA SUPPORTED</t>
  </si>
  <si>
    <t>2.5.2</t>
  </si>
  <si>
    <t>NATO must not conflate grievance, terrorism and secession</t>
  </si>
  <si>
    <t>2.5.3</t>
  </si>
  <si>
    <t>GoIND authority is STABILISED</t>
  </si>
  <si>
    <t>2.5.4</t>
  </si>
  <si>
    <t>GoIND entry force is in SUMATRA is PROTECTED</t>
  </si>
  <si>
    <t>2.5.5</t>
  </si>
  <si>
    <t>3</t>
  </si>
  <si>
    <t>At least 4,500 foreign nationals, including approximately 2,860 NATO-member citizens, remain in SUMATRA. IRS and ISIL/JI can use them as hostages</t>
  </si>
  <si>
    <t>3.1</t>
  </si>
  <si>
    <t>Foreign nationals constrain offensive freedom and create hostage leverage</t>
  </si>
  <si>
    <t>3.1.1</t>
  </si>
  <si>
    <t>Adversary influence on NATO CIVPOP DENIED</t>
  </si>
  <si>
    <t>3.1.2</t>
  </si>
  <si>
    <t>3.1.3</t>
  </si>
  <si>
    <t>NATO and foreign nationals are SECURED</t>
  </si>
  <si>
    <t>3.1.4</t>
  </si>
  <si>
    <t>Key locations in SUMATRA SECURED</t>
  </si>
  <si>
    <t>3.1.5</t>
  </si>
  <si>
    <t>NATO CIVPOP disposition UNDERSTOOD</t>
  </si>
  <si>
    <t>3.2</t>
  </si>
  <si>
    <t>NEO is an escalation precondition</t>
  </si>
  <si>
    <t>3.2.1</t>
  </si>
  <si>
    <t>3.2.2</t>
  </si>
  <si>
    <t>3.2.3</t>
  </si>
  <si>
    <t>NATO and foreign nationals are PROTECTED</t>
  </si>
  <si>
    <t>3.2.4</t>
  </si>
  <si>
    <t>3.2.5</t>
  </si>
  <si>
    <t>NEO force GUARDED</t>
  </si>
  <si>
    <t>3.3</t>
  </si>
  <si>
    <t>Nationals are dispersed across cities, ports, energy sites and remote areas</t>
  </si>
  <si>
    <t>3.3.1</t>
  </si>
  <si>
    <t>3.3.2</t>
  </si>
  <si>
    <t>3.3.3</t>
  </si>
  <si>
    <t>Adversary and NATO CIVPOP networks UNDERRSTOOD</t>
  </si>
  <si>
    <t>3.3.4</t>
  </si>
  <si>
    <t>3.3.5</t>
  </si>
  <si>
    <t>3.4</t>
  </si>
  <si>
    <t xml:space="preserve">NEO movement is predictiable </t>
  </si>
  <si>
    <t>3.4.1</t>
  </si>
  <si>
    <t>Assembly points become hostage, IED or propaganda targets</t>
  </si>
  <si>
    <t>3.4.2</t>
  </si>
  <si>
    <t>3.4.3</t>
  </si>
  <si>
    <t>3.4.4</t>
  </si>
  <si>
    <t>Force protection, EOD, medical, air defence and QRF attached to NEO</t>
  </si>
  <si>
    <t>3.4.5</t>
  </si>
  <si>
    <t>3.5</t>
  </si>
  <si>
    <t>NATO publics judge success with law and politics in mind</t>
  </si>
  <si>
    <t>3.5.1</t>
  </si>
  <si>
    <t>3.5.2</t>
  </si>
  <si>
    <t>3.5.3</t>
  </si>
  <si>
    <t>3.5.4</t>
  </si>
  <si>
    <t>3.5.5</t>
  </si>
  <si>
    <t>4</t>
  </si>
  <si>
    <t>MSOs</t>
  </si>
  <si>
    <t>4.1</t>
  </si>
  <si>
    <t>List of MSOs</t>
  </si>
  <si>
    <t>4.1.1</t>
  </si>
  <si>
    <t>DISRUPT IRS maritime coercion</t>
  </si>
  <si>
    <t>4.1.2</t>
  </si>
  <si>
    <t>PROTECT NATO citizens</t>
  </si>
  <si>
    <t>4.1.3</t>
  </si>
  <si>
    <t>RESTORE GoIND territorial integrity in SUMATRA</t>
  </si>
  <si>
    <t>4.1.4</t>
  </si>
  <si>
    <t>CONTAIN terror and DETER external influence to widen the conflict</t>
  </si>
  <si>
    <t>4.1.5</t>
  </si>
  <si>
    <t>4.2</t>
  </si>
  <si>
    <t>4.2.1</t>
  </si>
  <si>
    <t>4.2.2</t>
  </si>
  <si>
    <t>4.2.3</t>
  </si>
  <si>
    <t>4.2.4</t>
  </si>
  <si>
    <t>4.2.5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</si>
  <si>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</si>
  <si>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</si>
  <si>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</si>
  <si>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</si>
  <si>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</si>
  <si>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</si>
  <si>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</si>
  <si>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</si>
  <si>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</si>
  <si>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</si>
  <si>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4.4.4</t>
  </si>
  <si>
    <t>4.4.5</t>
  </si>
  <si>
    <t>4.5</t>
  </si>
  <si>
    <t>4.5.1</t>
  </si>
  <si>
    <t>4.5.2</t>
  </si>
  <si>
    <t>4.5.3</t>
  </si>
  <si>
    <t>4.5.4</t>
  </si>
  <si>
    <t>4.5.5</t>
  </si>
  <si>
    <t>5</t>
  </si>
  <si>
    <t>GoIND sovereignty depends on re-establishing authority in Sumatra without making NATO the visible governing actor</t>
  </si>
  <si>
    <t>5.1</t>
  </si>
  <si>
    <t>GoIND legal legitimacy is strong but local governing reach in rebel-held Sumatra is weak</t>
  </si>
  <si>
    <t>5.1.1</t>
  </si>
  <si>
    <t>GoIND legitimacy is legal internationally but contested locally</t>
  </si>
  <si>
    <t>5.1.2</t>
  </si>
  <si>
    <t>NATO support must be visibly GoIND-led where possible</t>
  </si>
  <si>
    <t>5.1.3</t>
  </si>
  <si>
    <t>Without local governance presence, military clearance creates a vacuum IRS exploits</t>
  </si>
  <si>
    <t>5.1.4</t>
  </si>
  <si>
    <t>ESCORT police, civil administration, port and energy authorities</t>
  </si>
  <si>
    <t>5.1.5</t>
  </si>
  <si>
    <t>GoIND must front restored governance; NATO enables only</t>
  </si>
  <si>
    <t>5.2</t>
  </si>
  <si>
    <t>Restoring sovereignty requires secure governance nodes, not just defeated rebel units</t>
  </si>
  <si>
    <t>5.2.1</t>
  </si>
  <si>
    <t>5.2.2</t>
  </si>
  <si>
    <t>5.2.3</t>
  </si>
  <si>
    <t>HOLD key terrain</t>
  </si>
  <si>
    <t>5.2.4</t>
  </si>
  <si>
    <t>GoIND administrators, police, CIMIC and force protection required</t>
  </si>
  <si>
    <t>5.2.5</t>
  </si>
  <si>
    <t>Cleared nodes without governance become rebel propaganda wins</t>
  </si>
  <si>
    <t>5.3</t>
  </si>
  <si>
    <t>A Java-dominated restoration narrative will alienate Sumatran audiences</t>
  </si>
  <si>
    <t>5.3.1</t>
  </si>
  <si>
    <t>Anti-Javanese grievance is a real political vulnerability</t>
  </si>
  <si>
    <t>5.3.2</t>
  </si>
  <si>
    <t>Frame operation as lawful restoration with local protections</t>
  </si>
  <si>
    <t>5.3.3</t>
  </si>
  <si>
    <t>NATO must not present GoIND restoration as Java punishment</t>
  </si>
  <si>
    <t>5.3.4</t>
  </si>
  <si>
    <t>Use Sumatran intermediaries and local-language messaging</t>
  </si>
  <si>
    <t>5.3.5</t>
  </si>
  <si>
    <t>Insensitive messaging drives passive support to IRS</t>
  </si>
  <si>
    <t>5.4</t>
  </si>
  <si>
    <t>GoIND forces need protected entry before they can restore authority</t>
  </si>
  <si>
    <t>5.4.1</t>
  </si>
  <si>
    <t>XPOD security, route clearance, QRF, medical and air cover required for GoIND entry</t>
  </si>
  <si>
    <t>5.4.2</t>
  </si>
  <si>
    <t>IRS expansion is BLOCKED</t>
  </si>
  <si>
    <t>5.4.3</t>
  </si>
  <si>
    <t>ENABLE Kostrad-led entry force through secured XPOD</t>
  </si>
  <si>
    <t>5.4.4</t>
  </si>
  <si>
    <t>XPOD security, route clearance, QRF, med and air cover required</t>
  </si>
  <si>
    <t>5.4.5</t>
  </si>
  <si>
    <t>GoIND cannot regain authority from Java-based posture alone</t>
  </si>
  <si>
    <t>5.5</t>
  </si>
  <si>
    <t>Internal Indonesian cohesion is a strategic risk if Sumatra secession appears successful</t>
  </si>
  <si>
    <t>5.5.1</t>
  </si>
  <si>
    <t>Successful IRS secession may trigger further separatism</t>
  </si>
  <si>
    <t>5.5.2</t>
  </si>
  <si>
    <t>Any declared support for IRS by other provinces</t>
  </si>
  <si>
    <t>5.5.3</t>
  </si>
  <si>
    <t>Demonstrate early reversal of IRS political momentum</t>
  </si>
  <si>
    <t>5.5.4</t>
  </si>
  <si>
    <t>Prevent IRS recognition becoming a model for other regions</t>
  </si>
  <si>
    <t>5.5.5</t>
  </si>
  <si>
    <t>COM needs priority between speed, restraint and GoIND visibility</t>
  </si>
  <si>
    <t>6</t>
  </si>
  <si>
    <t>IRS expansion into Aceh and southern Sumatra would improve depth, energy access and bargaining power</t>
  </si>
  <si>
    <t>6.1</t>
  </si>
  <si>
    <t>Aceh offensive likely aims to capture energy infrastructure and extend Malacca disruption</t>
  </si>
  <si>
    <t>6.1.1</t>
  </si>
  <si>
    <t>Aceh attack strengthens IRS strategic depth and revenue</t>
  </si>
  <si>
    <t>6.1.2</t>
  </si>
  <si>
    <t>6.1.3</t>
  </si>
  <si>
    <t>BLOCK IRS offensive momentum</t>
  </si>
  <si>
    <t>6.1.4</t>
  </si>
  <si>
    <t>INTERDICT staging, artillery, amphibious fixing forces and MSRs</t>
  </si>
  <si>
    <t>6.1.5</t>
  </si>
  <si>
    <t>Block Aceh before IRS reaches decisive infrastructure</t>
  </si>
  <si>
    <t>6.2</t>
  </si>
  <si>
    <t>Langsa and northern Aceh approaches provide warning indicators before main attack</t>
  </si>
  <si>
    <t>6.2.1</t>
  </si>
  <si>
    <t>IRS artillery movement, naval staging or amphibious loading near Aceh</t>
  </si>
  <si>
    <t>6.2.2</t>
  </si>
  <si>
    <t>Tie ISR collection to phase-change indicators</t>
  </si>
  <si>
    <t>6.2.3</t>
  </si>
  <si>
    <t>Persistent ISR, MPA, UAV, HUMINT and partner reporting required</t>
  </si>
  <si>
    <t>6.2.4</t>
  </si>
  <si>
    <t>Trigger pre-emptive shaping on verified staging</t>
  </si>
  <si>
    <t>6.2.5</t>
  </si>
  <si>
    <t>Late warning forces costly defensive reaction</t>
  </si>
  <si>
    <t>6.3</t>
  </si>
  <si>
    <t>Restricted LOCs and bridge vulnerability constrain IRS reinforcement and sustainment</t>
  </si>
  <si>
    <t>6.3.1</t>
  </si>
  <si>
    <t>IRS offensive depends on few road/rail corridors</t>
  </si>
  <si>
    <t>6.3.2</t>
  </si>
  <si>
    <t>CANALISE rebel movement</t>
  </si>
  <si>
    <t>6.3.3</t>
  </si>
  <si>
    <t>INTERDICT bridges, choke points and sustainment columns</t>
  </si>
  <si>
    <t>6.3.4</t>
  </si>
  <si>
    <t>Use terrain to fix and fragment IRS</t>
  </si>
  <si>
    <t>6.3.5</t>
  </si>
  <si>
    <t>Bridge destruction also slows GoIND follow-through</t>
  </si>
  <si>
    <t>6.4</t>
  </si>
  <si>
    <t>Southern Sumatra unrest would stretch GoIND and dilute NATO operational focus</t>
  </si>
  <si>
    <t>6.4.1</t>
  </si>
  <si>
    <t>Multiple unrest fronts exceed available NATO force density</t>
  </si>
  <si>
    <t>6.4.2</t>
  </si>
  <si>
    <t>Prioritise decisive nodes over province-wide control</t>
  </si>
  <si>
    <t>6.4.3</t>
  </si>
  <si>
    <t>Cannot secure all Sumatra concurrently with NRF only</t>
  </si>
  <si>
    <t>6.4.4</t>
  </si>
  <si>
    <t>Main force follow-on needed if unrest expands</t>
  </si>
  <si>
    <t>6.4.5</t>
  </si>
  <si>
    <t>COM needs acceptable risk on unscreened provinces</t>
  </si>
  <si>
    <t>6.5</t>
  </si>
  <si>
    <t>IRS momentum matters more than tactical losses in early phase</t>
  </si>
  <si>
    <t>6.5.1</t>
  </si>
  <si>
    <t>IRS morale and civilian compliance are momentum-sensitive</t>
  </si>
  <si>
    <t>6.5.2</t>
  </si>
  <si>
    <t>DISRUPT IRS tempo</t>
  </si>
  <si>
    <t>6.5.3</t>
  </si>
  <si>
    <t>DELAY and BLOCK advances while exposing failed promises</t>
  </si>
  <si>
    <t>6.5.4</t>
  </si>
  <si>
    <t>Break the impression of unstoppable IRS expansion</t>
  </si>
  <si>
    <t>6.5.5</t>
  </si>
  <si>
    <t>Tactical delay without narrative effect still looks like rebel success</t>
  </si>
  <si>
    <t>7</t>
  </si>
  <si>
    <t>IRS political viability rests on POL/LNG revenue, ports, tariffs and the ability to trade coercion for recognition</t>
  </si>
  <si>
    <t>7.1</t>
  </si>
  <si>
    <t>POL/LNG export is the core IRS revenue engine and strategic leverage</t>
  </si>
  <si>
    <t>7.1.1</t>
  </si>
  <si>
    <t>IRS economy is dependent on maritime POL/LNG exports</t>
  </si>
  <si>
    <t>7.1.2</t>
  </si>
  <si>
    <t>Deny Belawan and Dumai export revenue without destroying GoIND economic base</t>
  </si>
  <si>
    <t>7.1.3</t>
  </si>
  <si>
    <t>UNDERMINE IRS in MEDAN-BELAWAN</t>
  </si>
  <si>
    <t>7.1.4</t>
  </si>
  <si>
    <t>Deny revenue before IRS can normalise tariff collection as state authority</t>
  </si>
  <si>
    <t>7.1.5</t>
  </si>
  <si>
    <t>Deny revenue without destroying GoIND's future economy</t>
  </si>
  <si>
    <t>7.2</t>
  </si>
  <si>
    <t>Belawan, Dumai and energy infrastructure are dual-use strategic nodes</t>
  </si>
  <si>
    <t>7.2.1</t>
  </si>
  <si>
    <t>Ports and energy nodes are military, economic and political</t>
  </si>
  <si>
    <t>7.2.2</t>
  </si>
  <si>
    <t>Seize/control nodes with engineer and energy specialists attached</t>
  </si>
  <si>
    <t>7.2.3</t>
  </si>
  <si>
    <t>Port ops, EOD, cyber, POL safety and environmental teams required</t>
  </si>
  <si>
    <t>7.2.4</t>
  </si>
  <si>
    <t>Infrastructure damage creates long-term strategic failure</t>
  </si>
  <si>
    <t>7.2.5</t>
  </si>
  <si>
    <t>Capture operating systems and records intact</t>
  </si>
  <si>
    <t>7.3</t>
  </si>
  <si>
    <t>IRS tariff demands convert maritime coercion into apparent state authority</t>
  </si>
  <si>
    <t>7.3.1</t>
  </si>
  <si>
    <t>Tariff collection is recognition activity, not just revenue</t>
  </si>
  <si>
    <t>7.3.2</t>
  </si>
  <si>
    <t>DISCREDIT IRS taxation authority</t>
  </si>
  <si>
    <t>7.3.3</t>
  </si>
  <si>
    <t>EXPOSE coercive tariffs and protect compliant shipping</t>
  </si>
  <si>
    <t>7.3.4</t>
  </si>
  <si>
    <t>Legal and STRATCOM line must define tariffs as extortion</t>
  </si>
  <si>
    <t>7.3.5</t>
  </si>
  <si>
    <t>Shipping pays if NATO cannot provide credible protection</t>
  </si>
  <si>
    <t>7.4</t>
  </si>
  <si>
    <t>Economic pressure can backfire if civilians bear the visible cost</t>
  </si>
  <si>
    <t>7.4.1</t>
  </si>
  <si>
    <t>NATO must not create collective economic punishment</t>
  </si>
  <si>
    <t>7.4.2</t>
  </si>
  <si>
    <t>Separate regime revenue from civilian fuel, food and wages</t>
  </si>
  <si>
    <t>7.4.3</t>
  </si>
  <si>
    <t>Pair interdiction with humanitarian and service continuity measures</t>
  </si>
  <si>
    <t>7.4.4</t>
  </si>
  <si>
    <t>Shortages become IRS proof of NATO hostility</t>
  </si>
  <si>
    <t>7.4.5</t>
  </si>
  <si>
    <t>COM needs target discrimination thresholds for POL/LNG nodes</t>
  </si>
  <si>
    <t>7.5</t>
  </si>
  <si>
    <t>External customers, brokers and insurers provide non-kinetic pressure points</t>
  </si>
  <si>
    <t>7.5.1</t>
  </si>
  <si>
    <t>IRS trade depends on external commercial enablers</t>
  </si>
  <si>
    <t>7.5.2</t>
  </si>
  <si>
    <t>MONITOR and divert coercive trade networks</t>
  </si>
  <si>
    <t>7.5.3</t>
  </si>
  <si>
    <t>Finance, legal, maritime and partner liaison required</t>
  </si>
  <si>
    <t>7.5.4</t>
  </si>
  <si>
    <t>Use sanctions and insurance pressure before kinetic options</t>
  </si>
  <si>
    <t>7.5.5</t>
  </si>
  <si>
    <t>Cannot defeat IRS revenue solely inside Sumatra</t>
  </si>
  <si>
    <t>8</t>
  </si>
  <si>
    <t>NATO operational reach depends on regional access, staging, HNS, shipping confidence and JLSG capacity</t>
  </si>
  <si>
    <t>8.1</t>
  </si>
  <si>
    <t>Malaysia and Singapore are access enablers for staging, maritime coordination and political cover</t>
  </si>
  <si>
    <t>8.1.1</t>
  </si>
  <si>
    <t>Secure regional access before visible force expansion into Sumatra</t>
  </si>
  <si>
    <t>8.1.2</t>
  </si>
  <si>
    <t>HNS, overflight, port access, customs and liaison officer network required</t>
  </si>
  <si>
    <t>8.1.3</t>
  </si>
  <si>
    <t>HNS, overflight, port access, customs and liaison required</t>
  </si>
  <si>
    <t>8.1.4</t>
  </si>
  <si>
    <t>Secure regional access before visible force expansion</t>
  </si>
  <si>
    <t>8.1.5</t>
  </si>
  <si>
    <t>Access denial turns operational design into aspiration</t>
  </si>
  <si>
    <t>8.2</t>
  </si>
  <si>
    <t>NRF timeline creates an early capability gap between crisis speed and force closure</t>
  </si>
  <si>
    <t>8.2.1</t>
  </si>
  <si>
    <t>NRF immediate force available 5-45 days; main force 45+ days</t>
  </si>
  <si>
    <t>8.2.2</t>
  </si>
  <si>
    <t>Initial COA must be achievable with immediate force package</t>
  </si>
  <si>
    <t>8.2.3</t>
  </si>
  <si>
    <t>Cannot promise simultaneous Malacca, Aceh and Sumatra-wide control early</t>
  </si>
  <si>
    <t>8.2.4</t>
  </si>
  <si>
    <t>Phased CJSOR and prioritised force-flow required</t>
  </si>
  <si>
    <t>8.2.5</t>
  </si>
  <si>
    <t>Over-ambitious early objectives create failure narrative</t>
  </si>
  <si>
    <t>8.3</t>
  </si>
  <si>
    <t>JLSG and RSOI capacity are mission-enabling but not unlimited</t>
  </si>
  <si>
    <t>8.3.1</t>
  </si>
  <si>
    <t>JLSG must integrate national sustainment, HNS and movement control</t>
  </si>
  <si>
    <t>8.3.2</t>
  </si>
  <si>
    <t>Build RSOI around ports, APODs and secure onward routes</t>
  </si>
  <si>
    <t>8.3.3</t>
  </si>
  <si>
    <t>Protect logistics nodes as operational objectives</t>
  </si>
  <si>
    <t>8.3.4</t>
  </si>
  <si>
    <t>Logistics congestion creates predictable target sets</t>
  </si>
  <si>
    <t>8.3.5</t>
  </si>
  <si>
    <t>COM needs movement priority: NEO, entry force, MCM, or sustainment</t>
  </si>
  <si>
    <t>8.4</t>
  </si>
  <si>
    <t>Commercial shipping confidence can collapse even if NATO retains tactical control</t>
  </si>
  <si>
    <t>8.4.1</t>
  </si>
  <si>
    <t>Maritime market perception reacts faster than military clearance</t>
  </si>
  <si>
    <t>8.4.2</t>
  </si>
  <si>
    <t>Issue credible shipping advisories with evidence and timelines</t>
  </si>
  <si>
    <t>8.4.3</t>
  </si>
  <si>
    <t>Shipping liaison, insurers, port operators and legal cell required</t>
  </si>
  <si>
    <t>8.4.4</t>
  </si>
  <si>
    <t>Publish risk reductions as they become real</t>
  </si>
  <si>
    <t>8.4.5</t>
  </si>
  <si>
    <t>Insurance shock achieves IRS aim without further attacks</t>
  </si>
  <si>
    <t>8.5</t>
  </si>
  <si>
    <t>Regional partners and ongoing US/UK/French activity create deconfliction burden</t>
  </si>
  <si>
    <t>8.5.1</t>
  </si>
  <si>
    <t>Parallel operations risk fratricide, duplication and confused messaging</t>
  </si>
  <si>
    <t>8.5.2</t>
  </si>
  <si>
    <t>Establish combined maritime and air coordination mechanisms</t>
  </si>
  <si>
    <t>8.5.3</t>
  </si>
  <si>
    <t>Integrate coalition, partner and GoIND activity under one scheme</t>
  </si>
  <si>
    <t>8.5.4</t>
  </si>
  <si>
    <t>Uncoordinated actors create incidents IRS can exploit</t>
  </si>
  <si>
    <t>8.5.5</t>
  </si>
  <si>
    <t>Partner action that changes ROE, access or escalation risk</t>
  </si>
  <si>
    <t>9</t>
  </si>
  <si>
    <t>Sumatra's terrain, weather, disease and infrastructure convert movement into the dominant operational constraint</t>
  </si>
  <si>
    <t>9.1</t>
  </si>
  <si>
    <t>Most terrain restricts wheeled and tracked movement, especially inland and during rains</t>
  </si>
  <si>
    <t>9.1.1</t>
  </si>
  <si>
    <t>Ground manoeuvre is route-bound over most of Sumatra</t>
  </si>
  <si>
    <t>9.1.2</t>
  </si>
  <si>
    <t>Plan short, secured movement pulses from entry nodes</t>
  </si>
  <si>
    <t>9.1.3</t>
  </si>
  <si>
    <t>Engineers, route clearance, bridging and recovery assets required</t>
  </si>
  <si>
    <t>9.1.4</t>
  </si>
  <si>
    <t>Cannot design mechanised sweep as main early approach</t>
  </si>
  <si>
    <t>9.1.5</t>
  </si>
  <si>
    <t>Route-bound force is vulnerable to ambush and delay</t>
  </si>
  <si>
    <t>9.2</t>
  </si>
  <si>
    <t>Dry season offers a temporary movement advantage; monsoon reverses it</t>
  </si>
  <si>
    <t>9.2.1</t>
  </si>
  <si>
    <t>April-September is best movement window</t>
  </si>
  <si>
    <t>9.2.2</t>
  </si>
  <si>
    <t>Exploit dry-season window for access and critical nodes</t>
  </si>
  <si>
    <t>9.2.3</t>
  </si>
  <si>
    <t>Achieve key DCs before weather shifts advantage to IRS</t>
  </si>
  <si>
    <t>9.2.4</t>
  </si>
  <si>
    <t>Protraction makes MSR sustainment the enemy's ally</t>
  </si>
  <si>
    <t>9.2.5</t>
  </si>
  <si>
    <t>Weather/route degradation below sustainment thresholds</t>
  </si>
  <si>
    <t>9.3</t>
  </si>
  <si>
    <t>Water quality and tropical disease threaten force health and civilian stability</t>
  </si>
  <si>
    <t>9.3.1</t>
  </si>
  <si>
    <t>Poor water and disease degrade force and population resilience</t>
  </si>
  <si>
    <t>9.3.2</t>
  </si>
  <si>
    <t>Water purification, preventive medicine and health surveillance required</t>
  </si>
  <si>
    <t>9.3.3</t>
  </si>
  <si>
    <t>Include health risk in force protection and HA planning</t>
  </si>
  <si>
    <t>9.3.4</t>
  </si>
  <si>
    <t>Disease casualties reduce tempo without enemy contact</t>
  </si>
  <si>
    <t>9.3.5</t>
  </si>
  <si>
    <t>Deploy med/public-health capability with first entry force</t>
  </si>
  <si>
    <t>9.4</t>
  </si>
  <si>
    <t>Bridges, roads and rail are critical but vulnerable to sabotage and interdiction</t>
  </si>
  <si>
    <t>9.4.1</t>
  </si>
  <si>
    <t>Operational reach depends on limited transport infrastructure</t>
  </si>
  <si>
    <t>9.4.2</t>
  </si>
  <si>
    <t>SECURE MSRs</t>
  </si>
  <si>
    <t>9.4.3</t>
  </si>
  <si>
    <t>CLEAR and PROTECT bridges, roads and rail choke points</t>
  </si>
  <si>
    <t>9.4.4</t>
  </si>
  <si>
    <t>EOD, engineers, route clearance and QRF required</t>
  </si>
  <si>
    <t>9.4.5</t>
  </si>
  <si>
    <t>Treat MSR protection as manoeuvre, not rear-area work</t>
  </si>
  <si>
    <t>9.5</t>
  </si>
  <si>
    <t>Terrain favours IRS guerrilla doctrine and limits decisive battle opportunities</t>
  </si>
  <si>
    <t>9.5.1</t>
  </si>
  <si>
    <t>IRS doctrine is protracted war in place</t>
  </si>
  <si>
    <t>9.5.2</t>
  </si>
  <si>
    <t>IRS sustainment and command are corridor-dependent despite terrain</t>
  </si>
  <si>
    <t>9.5.3</t>
  </si>
  <si>
    <t>Target C2, logistics and influence rather than chase militia</t>
  </si>
  <si>
    <t>9.5.4</t>
  </si>
  <si>
    <t>Force IRS to defend fixed assets it needs</t>
  </si>
  <si>
    <t>9.5.5</t>
  </si>
  <si>
    <t>Pursuit into terrain dissipates combat power</t>
  </si>
  <si>
    <t>10</t>
  </si>
  <si>
    <t>IRS A2/AD, mines, CDCMs, submarines, SAMs, radar and air patrols can impose strategic cost in confined waters</t>
  </si>
  <si>
    <t>10.1</t>
  </si>
  <si>
    <t>Mines and CDCMs create denial effect disproportionate to force size</t>
  </si>
  <si>
    <t>10.1.1</t>
  </si>
  <si>
    <t>Small maritime threats can close strategic sea space</t>
  </si>
  <si>
    <t>10.1.2</t>
  </si>
  <si>
    <t>Suppress the integrated kill chain, not just individual platform categories</t>
  </si>
  <si>
    <t>10.1.3</t>
  </si>
  <si>
    <t>MCM, ASW, SEAD, EW and ISR required before entry</t>
  </si>
  <si>
    <t>10.1.4</t>
  </si>
  <si>
    <t>Cannot assume presence equals sea control</t>
  </si>
  <si>
    <t>10.1.5</t>
  </si>
  <si>
    <t>One successful strike generates strategic failure pressure</t>
  </si>
  <si>
    <t>10.2</t>
  </si>
  <si>
    <t>CDCM launchers are mobile and can fire from unsurveyed locations</t>
  </si>
  <si>
    <t>10.2.1</t>
  </si>
  <si>
    <t>IRS CDCM system depends on sensors, C2 and targeting inputs</t>
  </si>
  <si>
    <t>10.2.2</t>
  </si>
  <si>
    <t>DEGRADE kill chain</t>
  </si>
  <si>
    <t>10.2.3</t>
  </si>
  <si>
    <t>ATTACK coastal radars, observers, MPA and comms links</t>
  </si>
  <si>
    <t>10.2.4</t>
  </si>
  <si>
    <t>Attack sensors before launchers where uncertainty is high</t>
  </si>
  <si>
    <t>10.2.5</t>
  </si>
  <si>
    <t>Launcher hunting alone produces false confidence</t>
  </si>
  <si>
    <t>10.3</t>
  </si>
  <si>
    <t>Submarines and covert minelaying threaten ports and choke points</t>
  </si>
  <si>
    <t>10.3.1</t>
  </si>
  <si>
    <t>IRS submarines have strategic effect if undetected</t>
  </si>
  <si>
    <t>10.3.2</t>
  </si>
  <si>
    <t>Establish ASW barriers and port approach clearance</t>
  </si>
  <si>
    <t>10.3.3</t>
  </si>
  <si>
    <t>MPA, ASW, MCM, EOD, harbour protection required</t>
  </si>
  <si>
    <t>10.3.4</t>
  </si>
  <si>
    <t>Protect SPOD/APOD approaches before force flow</t>
  </si>
  <si>
    <t>10.3.5</t>
  </si>
  <si>
    <t>IRS submarine sails or merchant/fishing vessels alter patterns</t>
  </si>
  <si>
    <t>10.4</t>
  </si>
  <si>
    <t>IRS air defence is limited but sufficient to shape NATO risk</t>
  </si>
  <si>
    <t>10.4.1</t>
  </si>
  <si>
    <t>IRS SAMs and AD radars protect bases, not whole theatre</t>
  </si>
  <si>
    <t>10.4.2</t>
  </si>
  <si>
    <t>SUPPRESS air defence</t>
  </si>
  <si>
    <t>10.4.3</t>
  </si>
  <si>
    <t>CONDUCT SEAD against radars, SAMs and C2</t>
  </si>
  <si>
    <t>10.4.4</t>
  </si>
  <si>
    <t>Use stand-off, EW and night advantage</t>
  </si>
  <si>
    <t>10.4.5</t>
  </si>
  <si>
    <t>Aircraft loss shifts political risk tolerance</t>
  </si>
  <si>
    <t>10.5</t>
  </si>
  <si>
    <t>Confined waters compress decision time and increase misidentification risk</t>
  </si>
  <si>
    <t>10.5.1</t>
  </si>
  <si>
    <t>Civilian shipping proximity increases collateral and legal risk</t>
  </si>
  <si>
    <t>10.5.2</t>
  </si>
  <si>
    <t>Integrate ROE, identification and maritime traffic control</t>
  </si>
  <si>
    <t>10.5.3</t>
  </si>
  <si>
    <t>Recognised maritime picture and legal adviser embedded</t>
  </si>
  <si>
    <t>10.5.4</t>
  </si>
  <si>
    <t>Deconflict fires with commercial traffic continuously</t>
  </si>
  <si>
    <t>10.5.5</t>
  </si>
  <si>
    <t>COM needs ROE authority for hostile intent in congested waters</t>
  </si>
  <si>
    <t>11</t>
  </si>
  <si>
    <t>ISIL/JI presence allows IRS to outsource deniable violence while creating a legitimacy vulnerability</t>
  </si>
  <si>
    <t>11.1</t>
  </si>
  <si>
    <t>ISIL/JI camps in central mountains provide terrorist capacity and training depth</t>
  </si>
  <si>
    <t>11.1.1</t>
  </si>
  <si>
    <t>Terror camps are operational and legitimacy vulnerabilities</t>
  </si>
  <si>
    <t>11.1.2</t>
  </si>
  <si>
    <t>Contain terrorist capacity without making CT the operational main effort</t>
  </si>
  <si>
    <t>11.1.3</t>
  </si>
  <si>
    <t>SOF, HUMINT, ISR, CT legal authorities and GoIND partner liaison required</t>
  </si>
  <si>
    <t>11.1.4</t>
  </si>
  <si>
    <t>SOF, HUMINT, ISR, CT legal authorities and GoIND liaison required</t>
  </si>
  <si>
    <t>11.1.5</t>
  </si>
  <si>
    <t>Contain terrorist exploitation without making it the whole war</t>
  </si>
  <si>
    <t>11.2</t>
  </si>
  <si>
    <t>Terrorist attacks can target foreign nationals, ports, energy and urban crowds</t>
  </si>
  <si>
    <t>11.2.1</t>
  </si>
  <si>
    <t>Terror incident can derail maritime and NEO operations</t>
  </si>
  <si>
    <t>11.2.2</t>
  </si>
  <si>
    <t>Indications of mass-casualty, hostage or infrastructure attack</t>
  </si>
  <si>
    <t>11.2.3</t>
  </si>
  <si>
    <t>Integrate CT picture into NEO and port security</t>
  </si>
  <si>
    <t>11.2.4</t>
  </si>
  <si>
    <t>Prioritise threat networks near nationals and entry nodes</t>
  </si>
  <si>
    <t>11.2.5</t>
  </si>
  <si>
    <t>EOD, CBRN awareness, medical and police coordination required</t>
  </si>
  <si>
    <t>11.3</t>
  </si>
  <si>
    <t>Hasan's tactical use of Islamists contradicts his nationalist legitimacy claim</t>
  </si>
  <si>
    <t>11.3.1</t>
  </si>
  <si>
    <t>ISIL/JI association discredits IRS independence narrative</t>
  </si>
  <si>
    <t>11.3.2</t>
  </si>
  <si>
    <t>DISCREDIT HASAN-led coalition</t>
  </si>
  <si>
    <t>11.3.3</t>
  </si>
  <si>
    <t>EXPOSE ISIL/JI association and factional contradictions</t>
  </si>
  <si>
    <t>11.3.4</t>
  </si>
  <si>
    <t>Separate nationalist supporters from terrorist partners</t>
  </si>
  <si>
    <t>11.3.5</t>
  </si>
  <si>
    <t>Over-claiming terrorist links reduces credibility</t>
  </si>
  <si>
    <t>11.4</t>
  </si>
  <si>
    <t>ISIL/JI networks extend across the Indonesian archipelago and Philippines-linked groups</t>
  </si>
  <si>
    <t>11.4.1</t>
  </si>
  <si>
    <t>Terror network exceeds Sumatra JOA boundaries</t>
  </si>
  <si>
    <t>11.4.2</t>
  </si>
  <si>
    <t>Coordinate regional intelligence beyond military AO</t>
  </si>
  <si>
    <t>11.4.3</t>
  </si>
  <si>
    <t>Partner intel, law-enforcement and ASEAN liaison required</t>
  </si>
  <si>
    <t>11.4.4</t>
  </si>
  <si>
    <t>Cannot contain terrorism by tactical raids alone</t>
  </si>
  <si>
    <t>11.4.5</t>
  </si>
  <si>
    <t>External cells retaliate outside Sumatra</t>
  </si>
  <si>
    <t>11.5</t>
  </si>
  <si>
    <t>Terrorist exploitation increases as IRS loses conventional freedom of action</t>
  </si>
  <si>
    <t>11.5.1</t>
  </si>
  <si>
    <t>IRS pressure increases reliance on deniable terror</t>
  </si>
  <si>
    <t>11.5.2</t>
  </si>
  <si>
    <t>Plan branches for shift from A2/AD to terrorism</t>
  </si>
  <si>
    <t>11.5.3</t>
  </si>
  <si>
    <t>Protect civilians and nationals during transition</t>
  </si>
  <si>
    <t>11.5.4</t>
  </si>
  <si>
    <t>Success against IRS military arm may trigger terrorist escalation</t>
  </si>
  <si>
    <t>11.5.5</t>
  </si>
  <si>
    <t>COM needs tolerance for CT prioritisation vs main effort</t>
  </si>
  <si>
    <t>12</t>
  </si>
  <si>
    <t>North Korean and Chinese-linked criminal support gives IRS material depth and escalation risk</t>
  </si>
  <si>
    <t>12.1</t>
  </si>
  <si>
    <t>External support provides finance, weapons, technology and plausible deniability</t>
  </si>
  <si>
    <t>12.1.1</t>
  </si>
  <si>
    <t>External support is a supply and legitimacy vulnerability</t>
  </si>
  <si>
    <t>12.1.2</t>
  </si>
  <si>
    <t>Expose and interdict external supply without triggering state-on-state escalation</t>
  </si>
  <si>
    <t>12.1.3</t>
  </si>
  <si>
    <t>MONITOR the seas</t>
  </si>
  <si>
    <t>12.1.4</t>
  </si>
  <si>
    <t>MDA, finance intelligence, customs and partner liaison required</t>
  </si>
  <si>
    <t>12.1.5</t>
  </si>
  <si>
    <t>Interdict networks without creating state-on-state escalation</t>
  </si>
  <si>
    <t>12.2</t>
  </si>
  <si>
    <t>China's regional posture makes attribution politically sensitive</t>
  </si>
  <si>
    <t>12.2.1</t>
  </si>
  <si>
    <t>NATO must separate evidence from strategic assumption</t>
  </si>
  <si>
    <t>12.2.2</t>
  </si>
  <si>
    <t>Use evidentiary threshold before public attribution</t>
  </si>
  <si>
    <t>12.2.3</t>
  </si>
  <si>
    <t>Premature attribution broadens the crisis</t>
  </si>
  <si>
    <t>12.2.4</t>
  </si>
  <si>
    <t>Privately engage regional partners before public release</t>
  </si>
  <si>
    <t>12.2.5</t>
  </si>
  <si>
    <t>COM needs strategic comms clearance on external attribution</t>
  </si>
  <si>
    <t>12.3</t>
  </si>
  <si>
    <t>North Korean proliferation and sanctions evasion patterns fit arms-support risk</t>
  </si>
  <si>
    <t>12.3.1</t>
  </si>
  <si>
    <t>NK-linked support is vulnerable to interdiction and exposure</t>
  </si>
  <si>
    <t>12.3.2</t>
  </si>
  <si>
    <t>Exploit UNSCR/sanctions mechanisms and maritime inspection</t>
  </si>
  <si>
    <t>12.3.3</t>
  </si>
  <si>
    <t>Legal authority for boarding, diversion and evidence preservation</t>
  </si>
  <si>
    <t>12.3.4</t>
  </si>
  <si>
    <t>Use law-enforcement tools where military action is excessive</t>
  </si>
  <si>
    <t>12.3.5</t>
  </si>
  <si>
    <t>Failed interdiction undermines credibility</t>
  </si>
  <si>
    <t>12.4</t>
  </si>
  <si>
    <t>TCOs connect finance, smuggling, corruption and maritime logistics</t>
  </si>
  <si>
    <t>12.4.1</t>
  </si>
  <si>
    <t>Criminal logistics are transactional and exploitable</t>
  </si>
  <si>
    <t>12.4.2</t>
  </si>
  <si>
    <t>DISRUPT external support networks</t>
  </si>
  <si>
    <t>12.4.3</t>
  </si>
  <si>
    <t>INTERDICT supply chains and illicit finance</t>
  </si>
  <si>
    <t>12.4.4</t>
  </si>
  <si>
    <t>J2/J9/legal/finance fusion cell required</t>
  </si>
  <si>
    <t>12.4.5</t>
  </si>
  <si>
    <t>Cannot break networks using component-only targeting</t>
  </si>
  <si>
    <t>12.5</t>
  </si>
  <si>
    <t>External networks may shift from supply to information and cyber support</t>
  </si>
  <si>
    <t>12.5.1</t>
  </si>
  <si>
    <t>Cyber/information support attacks NATO C2 and legitimacy</t>
  </si>
  <si>
    <t>12.5.2</t>
  </si>
  <si>
    <t>Defend C2, port systems and information channels</t>
  </si>
  <si>
    <t>12.5.3</t>
  </si>
  <si>
    <t>Cyber defence, SATCOM resilience and incident response required</t>
  </si>
  <si>
    <t>12.5.4</t>
  </si>
  <si>
    <t>Protect command and logistics data from first deployment</t>
  </si>
  <si>
    <t>12.5.5</t>
  </si>
  <si>
    <t>Cyber disruption to access, shipping, banking or C2 systems</t>
  </si>
  <si>
    <t>13</t>
  </si>
  <si>
    <t>The decisive audience problem is to reject IRS secession while not rejecting Sumatran grievance</t>
  </si>
  <si>
    <t>13.1</t>
  </si>
  <si>
    <t>IRS narrative has a grievance base: Java dominance and revenue extraction</t>
  </si>
  <si>
    <t>13.1.1</t>
  </si>
  <si>
    <t>Counter-narrative fails if grievance is dismissed</t>
  </si>
  <si>
    <t>13.1.2</t>
  </si>
  <si>
    <t>Acknowledge grievance; deny violent secession and coercion</t>
  </si>
  <si>
    <t>13.1.3</t>
  </si>
  <si>
    <t>DISCREDIT IRS legitimacy</t>
  </si>
  <si>
    <t>13.1.4</t>
  </si>
  <si>
    <t>Split legitimate grievance from Hasan's armed project</t>
  </si>
  <si>
    <t>13.1.5</t>
  </si>
  <si>
    <t>Tone-deaf messaging strengthens IRS passive support</t>
  </si>
  <si>
    <t>13.2</t>
  </si>
  <si>
    <t>Different audiences require different effects and measures</t>
  </si>
  <si>
    <t>13.2.1</t>
  </si>
  <si>
    <t>Segment GoIND, Sumatrans, IRS, ASEAN, shippers and NATO publics</t>
  </si>
  <si>
    <t>13.2.2</t>
  </si>
  <si>
    <t>Audience analysis, MOE and message discipline required</t>
  </si>
  <si>
    <t>13.2.3</t>
  </si>
  <si>
    <t>Cannot use one narrative for every audience</t>
  </si>
  <si>
    <t>13.2.4</t>
  </si>
  <si>
    <t>Contradictory messaging fractures coalition credibility</t>
  </si>
  <si>
    <t>13.2.5</t>
  </si>
  <si>
    <t>COM needs priority audiences by phase</t>
  </si>
  <si>
    <t>13.3</t>
  </si>
  <si>
    <t>Civilian harm, failed NEO or ship loss will dominate perception</t>
  </si>
  <si>
    <t>13.3.1</t>
  </si>
  <si>
    <t>Single incident can outweigh operational success</t>
  </si>
  <si>
    <t>13.3.2</t>
  </si>
  <si>
    <t>Pre-plan evidence capture and incident response</t>
  </si>
  <si>
    <t>13.3.3</t>
  </si>
  <si>
    <t>PA, LEGAD, targeting, CIMIC and J2 fusion required</t>
  </si>
  <si>
    <t>13.3.4</t>
  </si>
  <si>
    <t>Release credible first account quickly</t>
  </si>
  <si>
    <t>13.3.5</t>
  </si>
  <si>
    <t>Civilian casualty, hostage death or shipping loss</t>
  </si>
  <si>
    <t>13.4</t>
  </si>
  <si>
    <t>Shipping confidence is an information effect as much as a maritime effect</t>
  </si>
  <si>
    <t>13.4.1</t>
  </si>
  <si>
    <t>CONVINCE commercial shipping of protected transit</t>
  </si>
  <si>
    <t>13.4.2</t>
  </si>
  <si>
    <t>CHANNEL safety updates to shippers, insurers and ports</t>
  </si>
  <si>
    <t>13.4.3</t>
  </si>
  <si>
    <t>Synchronise MCM progress with public advisories</t>
  </si>
  <si>
    <t>13.4.4</t>
  </si>
  <si>
    <t>Use facts from clearance operations, not reassurance alone</t>
  </si>
  <si>
    <t>13.4.5</t>
  </si>
  <si>
    <t>Confidence gap achieves IRS disruption objective</t>
  </si>
  <si>
    <t>13.5</t>
  </si>
  <si>
    <t>IRS factional contradictions offer a low-cost route to cognitive effects</t>
  </si>
  <si>
    <t>13.5.1</t>
  </si>
  <si>
    <t>IRS coalition includes nationalists, Islamists, leftists and liberals</t>
  </si>
  <si>
    <t>13.5.2</t>
  </si>
  <si>
    <t>IRS coalition incompatibility is a real but fragile vulnerability; crude targeting unifies it</t>
  </si>
  <si>
    <t>13.5.3</t>
  </si>
  <si>
    <t>Target Razil corruption and criminal patronage before attacking Hasan directly</t>
  </si>
  <si>
    <t>13.5.4</t>
  </si>
  <si>
    <t>Target Razil and criminality before Hasan martyr narrative</t>
  </si>
  <si>
    <t>13.5.5</t>
  </si>
  <si>
    <t>Personal attacks without evidence appear propaganda-driven</t>
  </si>
  <si>
    <t>14</t>
  </si>
  <si>
    <t>Humanitarian effects, IDP flows, foreign nationals and civilian protection directly shape operational legitimacy</t>
  </si>
  <si>
    <t>14.1</t>
  </si>
  <si>
    <t>Ethnic violence and IRS expansion are likely to generate displacement across Sumatra and the Strait</t>
  </si>
  <si>
    <t>14.1.1</t>
  </si>
  <si>
    <t>Refugee crisis draws regional states deeper into crisis</t>
  </si>
  <si>
    <t>14.1.2</t>
  </si>
  <si>
    <t>Secure humanitarian corridors and reception points early</t>
  </si>
  <si>
    <t>14.1.3</t>
  </si>
  <si>
    <t>CIMIC, HA liaison, medical and movement control required</t>
  </si>
  <si>
    <t>14.1.4</t>
  </si>
  <si>
    <t>Integrate HA access into first operational design</t>
  </si>
  <si>
    <t>14.1.5</t>
  </si>
  <si>
    <t>Population movement that blocks MSRs or crosses straits</t>
  </si>
  <si>
    <t>14.2</t>
  </si>
  <si>
    <t>Foreign nationals are both persons to protect and political constraints</t>
  </si>
  <si>
    <t>14.2.1</t>
  </si>
  <si>
    <t>Consular databases, SOF and HUMINT required to locate and verify national locations</t>
  </si>
  <si>
    <t>14.2.2</t>
  </si>
  <si>
    <t>NEO enabling conditions achieved before any escalation that raises hostage risk</t>
  </si>
  <si>
    <t>14.2.3</t>
  </si>
  <si>
    <t>Cannot accept collateral harm to nationals as acceptable operational cost</t>
  </si>
  <si>
    <t>14.2.4</t>
  </si>
  <si>
    <t>SOF, consular data, lift, medical and extraction sites required</t>
  </si>
  <si>
    <t>14.2.5</t>
  </si>
  <si>
    <t>NEO planning starts before open force entry</t>
  </si>
  <si>
    <t>14.3</t>
  </si>
  <si>
    <t>Civilian protection is not separate from force protection in urban/port areas</t>
  </si>
  <si>
    <t>14.3.1</t>
  </si>
  <si>
    <t>Integrate POC, FP and targeting at node level</t>
  </si>
  <si>
    <t>14.3.2</t>
  </si>
  <si>
    <t>EOD, QRF, medical, crowd control and LEGAD required</t>
  </si>
  <si>
    <t>14.3.3</t>
  </si>
  <si>
    <t>Civilian casualty creates operational and strategic shock</t>
  </si>
  <si>
    <t>14.3.4</t>
  </si>
  <si>
    <t>Use isolation, warning and precision before urban action</t>
  </si>
  <si>
    <t>14.3.5</t>
  </si>
  <si>
    <t>Cannot trade civilian harm for short-term tempo casually</t>
  </si>
  <si>
    <t>14.4</t>
  </si>
  <si>
    <t>Humanitarian actors need security but must retain perceived independence</t>
  </si>
  <si>
    <t>14.4.1</t>
  </si>
  <si>
    <t>HA actors cannot be treated as NATO auxiliaries</t>
  </si>
  <si>
    <t>14.4.2</t>
  </si>
  <si>
    <t>Coordinate, deconflict and enable without compromising HA neutrality</t>
  </si>
  <si>
    <t>14.4.3</t>
  </si>
  <si>
    <t>Civil-military coordination mechanisms and liaison required</t>
  </si>
  <si>
    <t>14.4.4</t>
  </si>
  <si>
    <t>Militarised HA perception reduces access and trust</t>
  </si>
  <si>
    <t>14.4.5</t>
  </si>
  <si>
    <t>Let HA actors lead needs assessment where feasible</t>
  </si>
  <si>
    <t>14.5</t>
  </si>
  <si>
    <t>Water, disease and essential services can become operational failure points</t>
  </si>
  <si>
    <t>14.5.1</t>
  </si>
  <si>
    <t>Poor water and disease affect civilians and force health</t>
  </si>
  <si>
    <t>14.5.2</t>
  </si>
  <si>
    <t>Prioritise water, medical and essential service continuity</t>
  </si>
  <si>
    <t>14.5.3</t>
  </si>
  <si>
    <t>Preventive medicine, water purification and public-health reporting</t>
  </si>
  <si>
    <t>14.5.4</t>
  </si>
  <si>
    <t>Disease or service collapse degrades legitimacy faster than combat</t>
  </si>
  <si>
    <t>14.5.5</t>
  </si>
  <si>
    <t>Protect essential services at secured nodes</t>
  </si>
  <si>
    <t>15</t>
  </si>
  <si>
    <t>NATO success depends on matching ends, ways, means and risk under tight time, ROE and coalition constraints</t>
  </si>
  <si>
    <t>15.1</t>
  </si>
  <si>
    <t>The WO tasks COM JTF to restore integrity and open shipping lanes with limited immediate forces</t>
  </si>
  <si>
    <t>15.1.1</t>
  </si>
  <si>
    <t>Initial means are NRF-limited; objectives are theatre-strategic</t>
  </si>
  <si>
    <t>15.1.2</t>
  </si>
  <si>
    <t>Prioritise Malacca, nationals, GoIND entry and key nodes</t>
  </si>
  <si>
    <t>15.1.3</t>
  </si>
  <si>
    <t>Cannot pursue all desirable DCs simultaneously</t>
  </si>
  <si>
    <t>15.1.4</t>
  </si>
  <si>
    <t>Ends/means mismatch creates early failure</t>
  </si>
  <si>
    <t>15.1.5</t>
  </si>
  <si>
    <t>COM must choose main effort by phase</t>
  </si>
  <si>
    <t>15.2</t>
  </si>
  <si>
    <t>Legal authorities and ROE shape every cyber, EW, strike, boarding and information action</t>
  </si>
  <si>
    <t>15.2.1</t>
  </si>
  <si>
    <t>Use of force, cyber, EW and information actions require authority</t>
  </si>
  <si>
    <t>15.2.2</t>
  </si>
  <si>
    <t>Identify ROEREQ and legal thresholds during MA</t>
  </si>
  <si>
    <t>15.2.3</t>
  </si>
  <si>
    <t>LEGAD embedded in targeting, maritime and STRATCOM cells</t>
  </si>
  <si>
    <t>15.2.4</t>
  </si>
  <si>
    <t>15.2.5</t>
  </si>
  <si>
    <t>Unauthorised action fractures political consent</t>
  </si>
  <si>
    <t>15.3</t>
  </si>
  <si>
    <t>15.3.1</t>
  </si>
  <si>
    <t>15.3.2</t>
  </si>
  <si>
    <t>15.3.3</t>
  </si>
  <si>
    <t>15.3.4</t>
  </si>
  <si>
    <t>15.3.5</t>
  </si>
  <si>
    <t>15.4</t>
  </si>
  <si>
    <t>C2 and information systems are exposed to cyber and space-enabled disruption</t>
  </si>
  <si>
    <t>15.4.1</t>
  </si>
  <si>
    <t>C2, SATCOM and port systems are cyber-dependent</t>
  </si>
  <si>
    <t>15.4.2</t>
  </si>
  <si>
    <t>Build resilient comms and degraded-mode procedures</t>
  </si>
  <si>
    <t>15.4.3</t>
  </si>
  <si>
    <t>Cyber defence, alternate comms, PACE and space support required</t>
  </si>
  <si>
    <t>15.4.4</t>
  </si>
  <si>
    <t>Protect C2 before expanding joint tempo</t>
  </si>
  <si>
    <t>15.4.5</t>
  </si>
  <si>
    <t>Loss/degradation of C2, SATCOM or port management systems</t>
  </si>
  <si>
    <t>15.5</t>
  </si>
  <si>
    <t>Operational design must produce measurable conditions, not process compliance</t>
  </si>
  <si>
    <t>15.5.1</t>
  </si>
  <si>
    <t>Link every factor to MSO/OO/DC/OE/OA or risk</t>
  </si>
  <si>
    <t>15.5.2</t>
  </si>
  <si>
    <t>Use analysis to drive force, access and decision requests</t>
  </si>
  <si>
    <t>15.5.3</t>
  </si>
  <si>
    <t>Avoid adding DCs not traceable to decisive problem</t>
  </si>
  <si>
    <t>15.5.4</t>
  </si>
  <si>
    <t>Over-designed framework obscures commander's decision</t>
  </si>
  <si>
    <t>15.5.5</t>
  </si>
  <si>
    <t>Commander approves MSO/OO/DC priority and risk acceptance</t>
  </si>
  <si>
    <t>JCSC CAMPAIGN ASSESSMENT – WORKBOOK GUIDE</t>
  </si>
  <si>
    <t>WORKBOOK STRUCTURE</t>
  </si>
  <si>
    <t>PMESII-ASCOPE: Assign provisional labels via dropdowns (cols B,D,F,H,J,L).</t>
  </si>
  <si>
    <t>PMESII Labels: Auto-compiled by label type from full PMESII-ASCOPE sheet. Read-only.</t>
  </si>
  <si>
    <t>3CF Factor Analysis: Label conclusions in col F (dropdown). Text in col G.</t>
  </si>
  <si>
    <t>Master Factors: Assign MSO/OO/DC numbers via dropdowns. Conclusions auto-pull.</t>
  </si>
  <si>
    <t>Synch Matrix: MASTER = full grid. SHRUNK = auto-filters to populated rows.</t>
  </si>
  <si>
    <t>PROTECTION</t>
  </si>
  <si>
    <t>Password: password</t>
  </si>
  <si>
    <t>Only input cells editable: label dropdowns, conclusion text, assignment dropdowns.</t>
  </si>
  <si>
    <t>COLOURS</t>
  </si>
  <si>
    <t>PMESII-ASCOPE: one background colour per PMESII dimension.</t>
  </si>
  <si>
    <t>Master Factors: MSO=blue, OO=green, DC=yellow, label type cols=soft red.</t>
  </si>
  <si>
    <t>Synch Matrix: MSO rows=dark navy, OO rows=mid blue, DC rows=light blue.</t>
  </si>
  <si>
    <t xml:space="preserve">
PMESII / ASCOPE OPERATIONAL ENVIRONMENT ASSESSMENT</t>
  </si>
  <si>
    <t>PMESII</t>
  </si>
  <si>
    <t>Prov.
Label</t>
  </si>
  <si>
    <t>AREAS
Where?</t>
  </si>
  <si>
    <t>STRUCTURES
Why?</t>
  </si>
  <si>
    <t>CAPABILITIES
Who?</t>
  </si>
  <si>
    <t>ORGANISATIONS
What?</t>
  </si>
  <si>
    <t>PEOPLE
How?</t>
  </si>
  <si>
    <t>EVENTS
When?</t>
  </si>
  <si>
    <t>POLITICAL /
GOVERNANCE</t>
  </si>
  <si>
    <t>Jakarta authority has collapsed across N Sumatra</t>
  </si>
  <si>
    <t>KODAM 1 HQ MEDAN anchors IRS governance</t>
  </si>
  <si>
    <t>GoIND retains legal sovereignty and external recognition</t>
  </si>
  <si>
    <t>IRS, GoIND, ISIL/JI and regional states diverge</t>
  </si>
  <si>
    <t>Anti-Java grievance predates the coup</t>
  </si>
  <si>
    <t>IRS seeks recognition before GoIND can respond</t>
  </si>
  <si>
    <t>IRS control creates secession contagion risk</t>
  </si>
  <si>
    <t>MEDAN control gives IRS state-like appearance</t>
  </si>
  <si>
    <t>GoIND lacks local force density in rebel provinces</t>
  </si>
  <si>
    <t>IRS coalition contains incompatible political factions</t>
  </si>
  <si>
    <t>Population separates sovereignty from Java dominance</t>
  </si>
  <si>
    <t>Time hardens rebel governance and normalises tariffs</t>
  </si>
  <si>
    <t>Support GoIND sovereignty without Java-centric framing</t>
  </si>
  <si>
    <t>Separate rebel command from civil administration</t>
  </si>
  <si>
    <t>Enable GoIND entry through secured XPOD</t>
  </si>
  <si>
    <t>Exploit faction seams without rejecting Sumatran grievance</t>
  </si>
  <si>
    <t>Acknowledge grievance while rejecting secession</t>
  </si>
  <si>
    <t>Deny early IRS diplomatic normalisation</t>
  </si>
  <si>
    <t>ACEH defence is political as well as military</t>
  </si>
  <si>
    <t>Provincial offices give IRS coercive legitimacy</t>
  </si>
  <si>
    <t>Coalition lift and protection enable GoIND re-entry</t>
  </si>
  <si>
    <t>Regional partners needed for access and legitimacy</t>
  </si>
  <si>
    <t>Trusted local voices more credible than NATO</t>
  </si>
  <si>
    <t>Rapid warning order to access decision sequence</t>
  </si>
  <si>
    <t>GoIND consent enables NATO legitimacy</t>
  </si>
  <si>
    <t>GoIND administrators required behind entry force</t>
  </si>
  <si>
    <t>Weak GoIND capacity invites NATO substitution</t>
  </si>
  <si>
    <t>Blunt targeting can unify anti-NATO actors</t>
  </si>
  <si>
    <t>Civilian harm restores Hasan authority</t>
  </si>
  <si>
    <t>Delay increases force requirement and casualties</t>
  </si>
  <si>
    <t>Heavy NATO footprint can validate IRS narrative</t>
  </si>
  <si>
    <t>Empty offices after clearance create governance vacuum</t>
  </si>
  <si>
    <t>NATO overreach undermines GoIND legitimacy</t>
  </si>
  <si>
    <t>ASEAN states shape consent and perception</t>
  </si>
  <si>
    <t>Hasan's charisma holds disparate factions together</t>
  </si>
  <si>
    <t>Aceh offensive likely before NATO mass arrives</t>
  </si>
  <si>
    <t>NATO must restore territorial integrity, not occupy Sumatra</t>
  </si>
  <si>
    <t>Civil authority must follow security success immediately</t>
  </si>
  <si>
    <t>GoIND must be face of restored authority</t>
  </si>
  <si>
    <t>Engage Malaysia/Singapore before visible escalation</t>
  </si>
  <si>
    <t>Discredit Hasan without insulting Sumatrans</t>
  </si>
  <si>
    <t>Move before IRS creates irreversible facts</t>
  </si>
  <si>
    <t>Support visible GoIND lead at secured nodes</t>
  </si>
  <si>
    <t>Prioritise MEDAN-BELAWAN political infrastructure</t>
  </si>
  <si>
    <t>Use NATO to enable, not replace, governance</t>
  </si>
  <si>
    <t>Segment IRS nationalists from terrorist actors</t>
  </si>
  <si>
    <t>Expose Razil corruption and criminal patronage</t>
  </si>
  <si>
    <t>Publicly link operation to lawful restoration</t>
  </si>
  <si>
    <t>Cannot treat Sumatra as uniform political terrain</t>
  </si>
  <si>
    <t>Cannot measure success by terrain alone</t>
  </si>
  <si>
    <t>Cannot rebuild sovereignty by NATO-only action</t>
  </si>
  <si>
    <t>Cannot use one political message for all actors</t>
  </si>
  <si>
    <t>Cannot conflate civilians with IRS supporters</t>
  </si>
  <si>
    <t>Cannot wait for perfect understanding</t>
  </si>
  <si>
    <t>GoIND entry force in SUMATRA is PROTECTED</t>
  </si>
  <si>
    <t>COM needs early political risk tolerance</t>
  </si>
  <si>
    <t>MILITARY /
SECURITY</t>
  </si>
  <si>
    <t>Sumatra terrain favours defence and guerrilla delay</t>
  </si>
  <si>
    <t>IRS holds air bases, naval bases and CDCM sites</t>
  </si>
  <si>
    <t>IRS fields 78k troops, subs, mines, SAMs, CDCMs</t>
  </si>
  <si>
    <t>KODAM 1 integrates land, sea and air operations</t>
  </si>
  <si>
    <t>95 percent of KODAM 1 shifted loyalty</t>
  </si>
  <si>
    <t>Aceh offensive likely uses three phases</t>
  </si>
  <si>
    <t>75 percent hinders cross-country manoeuvre</t>
  </si>
  <si>
    <t>BELAWAN, MEDAN and DUMAI enable joint defence</t>
  </si>
  <si>
    <t>Capability is broad but shallow and older</t>
  </si>
  <si>
    <t>KODAM 1 loyalty is Hasan-dependent</t>
  </si>
  <si>
    <t>Loyalty is ethnic, personal and momentum-based</t>
  </si>
  <si>
    <t>Recon, barrage and amphibious fixing create warning</t>
  </si>
  <si>
    <t>Ground entry must be airmobile and maritime-enabled</t>
  </si>
  <si>
    <t>Sequence ISR, SEAD, MCM and port clearance</t>
  </si>
  <si>
    <t>Attack the joint kill chain, not just launchers</t>
  </si>
  <si>
    <t>Separate commanders from Hasan's authority</t>
  </si>
  <si>
    <t>Offer protected off-ramps below senior leadership</t>
  </si>
  <si>
    <t>Trigger points must cue pre-emptive interdiction</t>
  </si>
  <si>
    <t>Main roads, bridges and APOD/SPOD decide reach</t>
  </si>
  <si>
    <t>Airbases and radars must be suppressed or controlled</t>
  </si>
  <si>
    <t>MCM, ASW, SEAD, EW and ISR required</t>
  </si>
  <si>
    <t>J2/J3 targeting must map command relationships</t>
  </si>
  <si>
    <t>HUMINT/SIGINT needed on faction morale</t>
  </si>
  <si>
    <t>Indications: artillery, staging, naval sorties, bridging</t>
  </si>
  <si>
    <t>Ambush and IED threat rises off main routes</t>
  </si>
  <si>
    <t>Undegraded A2/AD makes entry politically costly</t>
  </si>
  <si>
    <t>Single ship loss can fracture NATO will</t>
  </si>
  <si>
    <t>Decapitation without succession analysis may backfire</t>
  </si>
  <si>
    <t>Collective punishment strengthens military cohesion</t>
  </si>
  <si>
    <t>Late response lets IRS seize energy infrastructure</t>
  </si>
  <si>
    <t>Aceh approaches are decisive to rebel expansion</t>
  </si>
  <si>
    <t>Bridges and MSRs are operational choke points</t>
  </si>
  <si>
    <t>Limited night capability gives temporal advantage</t>
  </si>
  <si>
    <t>Razil corruption and Ahmad competence create seams</t>
  </si>
  <si>
    <t>Territorial reservists less reliable outside home areas</t>
  </si>
  <si>
    <t>CDCM/mining action can precede open attack</t>
  </si>
  <si>
    <t>Secure entry nodes before inland manoeuvre</t>
  </si>
  <si>
    <t>Disrupt A2/AD before high-signature entry</t>
  </si>
  <si>
    <t>Use darkness, EW and ISR to unhinge IRS</t>
  </si>
  <si>
    <t>Exploit leadership fractures before decisive engagement</t>
  </si>
  <si>
    <t>Separate regular cadre from local militia</t>
  </si>
  <si>
    <t>Block offensive before Langsa defence collapses</t>
  </si>
  <si>
    <t>Avoid broad sweep through hostile terrain</t>
  </si>
  <si>
    <t>Isolate bases rather than clear every position</t>
  </si>
  <si>
    <t>Target sensors, C2 and sustainment first</t>
  </si>
  <si>
    <t>Protect defections and surrender channels</t>
  </si>
  <si>
    <t>Target orders, pay, family and amnesty channels</t>
  </si>
  <si>
    <t>Prepare branches for MLCOA and MDCOA</t>
  </si>
  <si>
    <t>Cannot assume mechanised tempo inland</t>
  </si>
  <si>
    <t>Cannot expose shipping to uncleared CDCM arcs</t>
  </si>
  <si>
    <t>Cannot defeat IRS by land attrition alone</t>
  </si>
  <si>
    <t>Cannot assume KODAM 1 collapses uniformly</t>
  </si>
  <si>
    <t>Cannot assume all rebel troops are ideological</t>
  </si>
  <si>
    <t>Cannot treat naval patrols as routine policing</t>
  </si>
  <si>
    <t>IRS integrated A2/AD system DISRUPTED</t>
  </si>
  <si>
    <t>DISRUPT cohesion</t>
  </si>
  <si>
    <t>IRS crossing Aceh LD or mining Malacca</t>
  </si>
  <si>
    <t>ECONOMIC</t>
  </si>
  <si>
    <t>Sumatra holds critical oil, LNG and export base</t>
  </si>
  <si>
    <t>Ports, refineries, LNG plant and pipelines are dual-use</t>
  </si>
  <si>
    <t>IRS merchant fleet sustains external trade</t>
  </si>
  <si>
    <t>TCOs, NK and Chinese-linked actors support IRS</t>
  </si>
  <si>
    <t>Local livelihoods depend on ports, energy and fishing</t>
  </si>
  <si>
    <t>Every export cycle normalises IRS statehood</t>
  </si>
  <si>
    <t>IRS economy depends on east-coast maritime access</t>
  </si>
  <si>
    <t>Same nodes fund IRS and enable GoIND recovery</t>
  </si>
  <si>
    <t>Export economy vulnerable to tracking and interdiction</t>
  </si>
  <si>
    <t>External finance reduces pressure on Hasan</t>
  </si>
  <si>
    <t>Economic hardship can shift civilians toward IRS</t>
  </si>
  <si>
    <t>Market shock can precede tactical effect</t>
  </si>
  <si>
    <t>Control revenue areas without destroying production</t>
  </si>
  <si>
    <t>Use graduated interdiction and seizure sequencing</t>
  </si>
  <si>
    <t>Monitor, board, divert and evidence coercive trade</t>
  </si>
  <si>
    <t>Map brokers, shippers, insurers and intermediaries</t>
  </si>
  <si>
    <t>Protect wages, food, fuel and essential services</t>
  </si>
  <si>
    <t>Pre-empt tariff announcements and port seizures</t>
  </si>
  <si>
    <t>BELAWAN-DUMAI-POL corridor must be mapped</t>
  </si>
  <si>
    <t>Legal, engineer and energy expertise required</t>
  </si>
  <si>
    <t>Maritime legal authority and shipping liaison required</t>
  </si>
  <si>
    <t>Treasury, law-enforcement and partner intelligence required</t>
  </si>
  <si>
    <t>Civil-military economic cell required early</t>
  </si>
  <si>
    <t>Shipping advisory and sanctions packages required</t>
  </si>
  <si>
    <t>Economic paralysis harms GoIND and civilians</t>
  </si>
  <si>
    <t>Strike damage can delay strategic end state</t>
  </si>
  <si>
    <t>Wrongful interference damages coalition legitimacy</t>
  </si>
  <si>
    <t>Attribution gaps create diplomatic friction</t>
  </si>
  <si>
    <t>Revenue denial without relief creates resentment</t>
  </si>
  <si>
    <t>Insurance reaction may close trade beyond JOA</t>
  </si>
  <si>
    <t>Strait tariffs convert coercion into cash</t>
  </si>
  <si>
    <t>Electrical grid vulnerability cuts both ways</t>
  </si>
  <si>
    <t>Money networks link criminal and external sponsors</t>
  </si>
  <si>
    <t>Private companies hold key transactional data</t>
  </si>
  <si>
    <t>Workers can enable sabotage or continuity</t>
  </si>
  <si>
    <t>Energy disruption affects NATO member interests</t>
  </si>
  <si>
    <t>Deny IRS revenue while preserving GoIND assets</t>
  </si>
  <si>
    <t>Protect critical energy infrastructure from sabotage</t>
  </si>
  <si>
    <t>Fuse finance, maritime and intelligence targeting</t>
  </si>
  <si>
    <t>Use non-military instruments against finance flows</t>
  </si>
  <si>
    <t>Separate IRS revenue from civilian survival</t>
  </si>
  <si>
    <t>Control economic narrative before coercive tariffs bite</t>
  </si>
  <si>
    <t>Target coercive export mechanisms, not livelihoods</t>
  </si>
  <si>
    <t>Capture records, terminals and control systems intact</t>
  </si>
  <si>
    <t>Exploit insurance, port and charter data</t>
  </si>
  <si>
    <t>Expose sponsor links to undermine recognition bid</t>
  </si>
  <si>
    <t>Preserve energy workforce and technical management</t>
  </si>
  <si>
    <t>Synchronise interdiction with public legal explanation</t>
  </si>
  <si>
    <t>Cannot blockade without humanitarian and legal effects</t>
  </si>
  <si>
    <t>Cannot treat POL/LNG as purely military target</t>
  </si>
  <si>
    <t>Cannot interdict finance with kinetic tools alone</t>
  </si>
  <si>
    <t>Cannot assume sponsorship is centrally directed</t>
  </si>
  <si>
    <t>Cannot win population through economic strangulation</t>
  </si>
  <si>
    <t>Cannot allow IRS to sell stability-for-recognition</t>
  </si>
  <si>
    <t>Priority governance / infrastructure nodes are SECURED</t>
  </si>
  <si>
    <t>INTERDICT POL/LNG export, tariff collection and coercive maritime enforcement</t>
  </si>
  <si>
    <t>North Korean / Chinese-linked support networks are INTERDICTED</t>
  </si>
  <si>
    <t>STABILISE essential services</t>
  </si>
  <si>
    <t>COM needs economic target tolerance guidance</t>
  </si>
  <si>
    <t>SOCIAL</t>
  </si>
  <si>
    <t>Sumatra is ethnically and culturally segmented</t>
  </si>
  <si>
    <t>Medan and port cities are social control hubs</t>
  </si>
  <si>
    <t>Foreign nationals create hostage leverage</t>
  </si>
  <si>
    <t>IRS umbrella mixes nationalists, Islamists and liberals</t>
  </si>
  <si>
    <t>Civilians distinguish protection from occupation</t>
  </si>
  <si>
    <t>Refugee flow likely across straits and region</t>
  </si>
  <si>
    <t>Aceh, Batak, Minangkabau, Malay and Lampung differ</t>
  </si>
  <si>
    <t>Urban fighting creates immediate legitimacy costs</t>
  </si>
  <si>
    <t>Civil services degraded under rebel control</t>
  </si>
  <si>
    <t>ISIL/JI presence contaminates IRS legitimacy</t>
  </si>
  <si>
    <t>Families influence rebel morale and defection</t>
  </si>
  <si>
    <t>IRS abuses and ethnic violence trigger HA demand</t>
  </si>
  <si>
    <t>Segment engagement by province and culture</t>
  </si>
  <si>
    <t>Isolate armed actors before urban clearance</t>
  </si>
  <si>
    <t>Identify vulnerable groups and essential service gaps</t>
  </si>
  <si>
    <t>Use amnesty, family and livelihood messaging</t>
  </si>
  <si>
    <t>Secure humanitarian corridors and reception nodes</t>
  </si>
  <si>
    <t>Cultural advisers and local language support required</t>
  </si>
  <si>
    <t>Police, civil admin and humanitarian access required</t>
  </si>
  <si>
    <t>Consular, medical, police and HA liaison required</t>
  </si>
  <si>
    <t>Engagement map by group, tribe and interest</t>
  </si>
  <si>
    <t>HUMINT and civil affairs networks required</t>
  </si>
  <si>
    <t>IDP tracking, medical and camp coordination required</t>
  </si>
  <si>
    <t>One-size messaging alienates key audiences</t>
  </si>
  <si>
    <t>Urban destruction becomes IRS proof narrative</t>
  </si>
  <si>
    <t>Hostage or atrocity event drives political shock</t>
  </si>
  <si>
    <t>Over-broad terror label unifies local opposition</t>
  </si>
  <si>
    <t>Civilian casualties negate tactical success</t>
  </si>
  <si>
    <t>HA failure becomes NATO legitimacy failure</t>
  </si>
  <si>
    <t>Urban/coastal populations shape perceived legitimacy</t>
  </si>
  <si>
    <t>Mosques, unions and families shape mobilisation</t>
  </si>
  <si>
    <t>OCHA and NGOs present in wider response space</t>
  </si>
  <si>
    <t>Religious and community leaders influence compliance</t>
  </si>
  <si>
    <t>NATO publics demand restraint and nationals' safety</t>
  </si>
  <si>
    <t>Atrocity rumours can move populations faster than facts</t>
  </si>
  <si>
    <t>Treat identity as operational terrain</t>
  </si>
  <si>
    <t>Use local intermediaries before kinetic action</t>
  </si>
  <si>
    <t>Protect nationals and civilians in parallel</t>
  </si>
  <si>
    <t>Exploit internal contradictions without insulting identity</t>
  </si>
  <si>
    <t>Make protection visible and measurable</t>
  </si>
  <si>
    <t>Pre-plan civilian harm response before operations</t>
  </si>
  <si>
    <t>Prioritise Medan, Aceh and energy communities</t>
  </si>
  <si>
    <t>Protect civil structures and public services</t>
  </si>
  <si>
    <t>Use HA actors for needs picture, not cover</t>
  </si>
  <si>
    <t>Empower non-violent Sumatran interlocutors</t>
  </si>
  <si>
    <t>Publish restraint and evidence quickly</t>
  </si>
  <si>
    <t>Use evidence capture at first contact</t>
  </si>
  <si>
    <t>Cannot assume anti-Java equals pro-IRS</t>
  </si>
  <si>
    <t>Cannot clear cities without governance follow-through</t>
  </si>
  <si>
    <t>Cannot subordinate HA credibility to targeting</t>
  </si>
  <si>
    <t>Cannot equate all Sumatran nationalism with extremism</t>
  </si>
  <si>
    <t>Cannot rely on kinetic success for consent</t>
  </si>
  <si>
    <t>Cannot wait for displacement before HA coordination</t>
  </si>
  <si>
    <t>INFLUENCE key audiences</t>
  </si>
  <si>
    <t>NATO and foreign nationals are IDENTIFIED</t>
  </si>
  <si>
    <t>Civilian protection measures integrated from D-0</t>
  </si>
  <si>
    <t>INFRASTRUCTURE</t>
  </si>
  <si>
    <t>Malacca is narrow, shallow and high-density</t>
  </si>
  <si>
    <t>Ports, airfields, roads and bridges determine entry</t>
  </si>
  <si>
    <t>Road/rail network is limited and washout-prone</t>
  </si>
  <si>
    <t>Regional basing depends on Malaysia/Singapore consent</t>
  </si>
  <si>
    <t>Civilians depend on dual-use energy and water systems</t>
  </si>
  <si>
    <t>Dry season favours movement April-September</t>
  </si>
  <si>
    <t>Small disruption creates global trade effect</t>
  </si>
  <si>
    <t>BELAWAN/MEDAN are both prize and threat</t>
  </si>
  <si>
    <t>Infrastructure repair reduced after government flight</t>
  </si>
  <si>
    <t>Port authorities and commercial operators retain control data</t>
  </si>
  <si>
    <t>Water quality is poor and disease-prone</t>
  </si>
  <si>
    <t>Monsoon degrades roads and southern movement</t>
  </si>
  <si>
    <t>Secure XLOCs before inland operational expansion</t>
  </si>
  <si>
    <t>Secure XPOD/APOD and onward MSR together</t>
  </si>
  <si>
    <t>Plan for engineer-heavy movement and sustainment</t>
  </si>
  <si>
    <t>Establish combined maritime coordination cell</t>
  </si>
  <si>
    <t>Protect water, power, hospitals and fuel distribution</t>
  </si>
  <si>
    <t>Exploit dry-season window for decisive access</t>
  </si>
  <si>
    <t>MDA, MCM, ASW and shipping liaison required</t>
  </si>
  <si>
    <t>Engineers, FP, EOD and movement control required</t>
  </si>
  <si>
    <t>Bridging, route clearance and repair stocks required</t>
  </si>
  <si>
    <t>HNS, port, customs and shipping liaison required</t>
  </si>
  <si>
    <t>Public health and medical surveillance required</t>
  </si>
  <si>
    <t>Weather thresholds tied to branch plans required</t>
  </si>
  <si>
    <t>Congestion amplifies mining and missile risk</t>
  </si>
  <si>
    <t>Captured port under fire becomes liability</t>
  </si>
  <si>
    <t>MSR failure fixes force at entry nodes</t>
  </si>
  <si>
    <t>Uncoordinated partners jam access routes</t>
  </si>
  <si>
    <t>Disease degrades force and civilian legitimacy</t>
  </si>
  <si>
    <t>Protraction shifts advantage to IRS</t>
  </si>
  <si>
    <t>SUMATRA length creates operational reach problem</t>
  </si>
  <si>
    <t>Radar and telecoms support IRS targeting</t>
  </si>
  <si>
    <t>APOD/SPOD throughput shapes tempo</t>
  </si>
  <si>
    <t>NATO JLSG cannot substitute for HN systems</t>
  </si>
  <si>
    <t>Energy workers sustain strategic infrastructure</t>
  </si>
  <si>
    <t>Infrastructure sabotage likely when IRS loses nodes</t>
  </si>
  <si>
    <t>Prioritise access corridors, not whole island control</t>
  </si>
  <si>
    <t>Integrate port seizure with counter-A2/AD</t>
  </si>
  <si>
    <t>Match COA to realistic movement capacity</t>
  </si>
  <si>
    <t>Secure HNS and access before force closure</t>
  </si>
  <si>
    <t>Preserve technical workforce and service continuity</t>
  </si>
  <si>
    <t>Prepare branches for bridge, port and POL sabotage</t>
  </si>
  <si>
    <t>Use sea/air mobility to bypass poor roads</t>
  </si>
  <si>
    <t>Create redundancy through Malaysia/Singapore staging</t>
  </si>
  <si>
    <t>Use distributed staging and short operational pulses</t>
  </si>
  <si>
    <t>Embed liaison into ports and airports</t>
  </si>
  <si>
    <t>Attach public health to entry force</t>
  </si>
  <si>
    <t>Pre-position repair and EOD assets</t>
  </si>
  <si>
    <t>Cannot secure all infrastructure simultaneously</t>
  </si>
  <si>
    <t>Cannot treat entry node as secured once occupied</t>
  </si>
  <si>
    <t>Cannot promise tempo without route capacity</t>
  </si>
  <si>
    <t>Cannot assume HNS equals capacity</t>
  </si>
  <si>
    <t>Cannot ignore water as sustainment variable</t>
  </si>
  <si>
    <t>Cannot assume captured infrastructure remains usable</t>
  </si>
  <si>
    <t>XLOCs are SECURED</t>
  </si>
  <si>
    <t>Regional access, staging and maritime coordination arrangements are SECURED</t>
  </si>
  <si>
    <t>Engineers and RSOI forces required early</t>
  </si>
  <si>
    <t>COM needs access priority and HNS risk decision</t>
  </si>
  <si>
    <t>Medical and water support included in initial force</t>
  </si>
  <si>
    <t>IRS begins demolition preparation at port/energy nodes</t>
  </si>
  <si>
    <t>INFORMATION</t>
  </si>
  <si>
    <t>IRS narrative exploits genuine revenue grievance</t>
  </si>
  <si>
    <t>Radar, telecoms and media support targeting and narrative</t>
  </si>
  <si>
    <t>GoIND media reach limited in rebel areas</t>
  </si>
  <si>
    <t>Audiences include GoIND, IRS, civilians, shippers, ASEAN</t>
  </si>
  <si>
    <t>Civilians trust local intermediaries over NATO</t>
  </si>
  <si>
    <t>Civilian casualty, ship hit or failed NEO dominates narrative</t>
  </si>
  <si>
    <t>Recognition campaign targets global and regional audiences</t>
  </si>
  <si>
    <t>IRS information structures are targetable but dual-use</t>
  </si>
  <si>
    <t>IRS controls provincial narrative before NATO arrival</t>
  </si>
  <si>
    <t>One message fails across all audiences</t>
  </si>
  <si>
    <t>Families can transmit defection and safety messages</t>
  </si>
  <si>
    <t>Information effects outrun tactical facts</t>
  </si>
  <si>
    <t>Contest recognition without denying legitimate grievance</t>
  </si>
  <si>
    <t>Integrate EW, cyber, PA and legal review</t>
  </si>
  <si>
    <t>Use trusted local speakers and fast incident response</t>
  </si>
  <si>
    <t>Build audience-specific effect plan</t>
  </si>
  <si>
    <t>Use family, religious and community channels</t>
  </si>
  <si>
    <t>Pre-plan crisis comms for predictable shocks</t>
  </si>
  <si>
    <t>Local-language STRATCOM and evidence teams required</t>
  </si>
  <si>
    <t>Target folders require civilian impact assessment</t>
  </si>
  <si>
    <t>PA, PSYOPS, CIMIC and legal fusion required</t>
  </si>
  <si>
    <t>Audience analysis and measures of effectiveness required</t>
  </si>
  <si>
    <t>Civil affairs and HUMINT validation required</t>
  </si>
  <si>
    <t>Evidence capture, translation and release authority required</t>
  </si>
  <si>
    <t>NATO silence lets IRS define first contact</t>
  </si>
  <si>
    <t>Media outage can look like censorship</t>
  </si>
  <si>
    <t>False reports can beat verified facts</t>
  </si>
  <si>
    <t>Message mismatch creates coalition contradictions</t>
  </si>
  <si>
    <t>Misreading culture produces avoidable hostility</t>
  </si>
  <si>
    <t>Delayed truth creates conspiracy space</t>
  </si>
  <si>
    <t>Malacca shipping audience reacts to confidence signals</t>
  </si>
  <si>
    <t>Commercial data reveals shipping and finance patterns</t>
  </si>
  <si>
    <t>NATO ISR can expose IRS coercion</t>
  </si>
  <si>
    <t>ISIL/JI uses encrypted and transnational media</t>
  </si>
  <si>
    <t>NATO publics demand evidence of lawful restraint</t>
  </si>
  <si>
    <t>First 72 hours shape strategic consent</t>
  </si>
  <si>
    <t>Pair action with proof and legal framing</t>
  </si>
  <si>
    <t>Protect evidence chains for every information claim</t>
  </si>
  <si>
    <t>Create facts faster than IRS creates rumours</t>
  </si>
  <si>
    <t>Disaggregate audiences before assigning effects</t>
  </si>
  <si>
    <t>Make restraint visible to local and NATO publics</t>
  </si>
  <si>
    <t>Own the first credible account after incidents</t>
  </si>
  <si>
    <t>Separate sovereignty, trade and civilian protection narratives</t>
  </si>
  <si>
    <t>Exploit sensors without collapsing civilian comms</t>
  </si>
  <si>
    <t>Publish evidence of tariffs, hostage threats and terror links</t>
  </si>
  <si>
    <t>Use ASEAN legitimacy, not NATO self-praise</t>
  </si>
  <si>
    <t>Pre-brief civilian casualty response lines</t>
  </si>
  <si>
    <t>Prepare branch narratives for MLCOA/MDCOA</t>
  </si>
  <si>
    <t>Cannot win narrative by generic anti-rebel messaging</t>
  </si>
  <si>
    <t>Cannot separate cyber effects from legitimacy effects</t>
  </si>
  <si>
    <t>Cannot rely on Jakarta media for local effect</t>
  </si>
  <si>
    <t>Cannot brief public line after actions start</t>
  </si>
  <si>
    <t>Cannot hide mistakes without strategic cost</t>
  </si>
  <si>
    <t>Cannot assume tactical success survives poor narrative</t>
  </si>
  <si>
    <t>DEGRADE IRS targeting network</t>
  </si>
  <si>
    <t>CHANNEL local-language evidence through trusted intermediaries</t>
  </si>
  <si>
    <t>INFLUENCE regional stakeholders</t>
  </si>
  <si>
    <t>Incident response cell active before first kinetic action</t>
  </si>
  <si>
    <t>COM needs delegated release authority</t>
  </si>
  <si>
    <t>PMESII/ASCOPE PROVISIONAL LABELS – AUTO-COMPILED BY LABEL TYPE</t>
  </si>
  <si>
    <t>One column per label type. Pulls from all 6 ASCOPE label columns, full sheet range. Updates on label change.</t>
  </si>
  <si>
    <t>MASTER FACTORS – AUTO-COMPILED FROM 3CF FACTOR ANALYSIS (MSO / OO / DC)</t>
  </si>
  <si>
    <t>Assign numbers via dropdowns. Conclusions pull automatically. Assigned# columns feed Synch Matrix via VLOOKUP.</t>
  </si>
  <si>
    <t>Assigned
MSO#</t>
  </si>
  <si>
    <t>MSO Conclusion</t>
  </si>
  <si>
    <t>Factor#</t>
  </si>
  <si>
    <t>MSO
parent</t>
  </si>
  <si>
    <t>OO#</t>
  </si>
  <si>
    <t>Assigned
OO#</t>
  </si>
  <si>
    <t>OO Conclusion</t>
  </si>
  <si>
    <t>OO
parent</t>
  </si>
  <si>
    <t>DC#</t>
  </si>
  <si>
    <t>Assigned
DC#</t>
  </si>
  <si>
    <t>DC Conclusion</t>
  </si>
  <si>
    <t>SYNCHRONISATION MATRIX MASTER</t>
  </si>
  <si>
    <t>SYNCHRONISATION MATRIX SHRUNK</t>
  </si>
  <si>
    <t>#</t>
  </si>
  <si>
    <t>Military Strategic Objective (MSO)</t>
  </si>
  <si>
    <t>Operational Objective (OO)</t>
  </si>
  <si>
    <t>Decisive Condition (DC)</t>
  </si>
  <si>
    <t>Use carefule ROEs</t>
  </si>
  <si>
    <t>Preconditions for success</t>
  </si>
  <si>
    <t>GoIND SOFA, HNS, RSOI</t>
  </si>
  <si>
    <t>GoIND does not collapse</t>
  </si>
  <si>
    <t>Timely force generation</t>
  </si>
  <si>
    <t>Strategic lift to the coupling bridge</t>
  </si>
  <si>
    <t xml:space="preserve"> Sufficient strategic deterrence and anti-A2AD capabilities</t>
  </si>
  <si>
    <t>Loss of naval assets is a strategic risk</t>
  </si>
  <si>
    <t>No entry until IRS A2/AD is INTERDICTED</t>
  </si>
  <si>
    <t>IRS POL/LNG export dependence</t>
  </si>
  <si>
    <t>MEDAN-BELAWAN ports ISOLATED</t>
  </si>
  <si>
    <t>RSOI, SOFA and HNS technical agreements</t>
  </si>
  <si>
    <t>Deconflict with commercial shipping</t>
  </si>
  <si>
    <t>Provide commercial shipping with safety advisroy notices</t>
  </si>
  <si>
    <t>Effective STRATCOM and legal advice</t>
  </si>
  <si>
    <t>NATO must not frame operations as a punitive blockade</t>
  </si>
  <si>
    <t>HASAN-led cohesion is the central IRS  vulnerability</t>
  </si>
  <si>
    <t>HASAN removal fractures IRS</t>
  </si>
  <si>
    <t xml:space="preserve">Authority for NEO </t>
  </si>
  <si>
    <t>Collateral damage restores HASAN credibility</t>
  </si>
  <si>
    <t>Major kinetic operations must occur after NATO nationals are PROTECTED</t>
  </si>
  <si>
    <t>SOF-led NEO planning</t>
  </si>
  <si>
    <t>SOF, lift, ISR, medical, consular data, extraction sites and staging access required</t>
  </si>
  <si>
    <t>Assume all civilians will be extracted in the same manner</t>
  </si>
  <si>
    <t>Multiple extraction methods required</t>
  </si>
  <si>
    <t>Use deception</t>
  </si>
  <si>
    <t xml:space="preserve">Publicise extraction windows </t>
  </si>
  <si>
    <t>Appoint CUAS lead nation</t>
  </si>
  <si>
    <t>Prioritise LEGAD and STRATCOM advice within the planning process</t>
  </si>
  <si>
    <t>Counter UAS is not a NATO capability code or capability statement</t>
  </si>
  <si>
    <t>Define ROEs carefully</t>
  </si>
  <si>
    <t>Risk tolerance for NATO CIVPOP collateral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</si>
</sst>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sz val="11"/>
      <name val="Calibri"/>
      <family val="2"/>
    </font>
    <font>
      <i/>
      <sz val="8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7"/>
      <color rgb="FFCCCCCC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rgb="FFFCE4D6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E2EFDA"/>
      </patternFill>
    </fill>
    <fill>
      <patternFill patternType="solid">
        <fgColor theme="7" tint="0.79985961485641044"/>
        <bgColor indexed="65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FF3FB"/>
      </patternFill>
    </fill>
    <fill>
      <patternFill patternType="solid">
        <fgColor rgb="FFF0F0F0"/>
      </patternFill>
    </fill>
    <fill>
      <patternFill patternType="solid">
        <fgColor rgb="FFE0E0E0"/>
      </patternFill>
    </fill>
    <fill>
      <patternFill patternType="solid">
        <fgColor rgb="FF595959"/>
      </patternFill>
    </fill>
    <fill>
      <patternFill patternType="solid">
        <fgColor rgb="FFD9D9D9"/>
      </patternFill>
    </fill>
    <fill>
      <patternFill patternType="solid">
        <fgColor theme="3" tint="0.79985961485641044"/>
        <bgColor indexed="65"/>
      </patternFill>
    </fill>
    <fill>
      <patternFill patternType="solid">
        <fgColor rgb="FFEDEDED"/>
      </patternFill>
    </fill>
    <fill>
      <patternFill patternType="solid">
        <fgColor theme="2"/>
      </patternFill>
    </fill>
    <fill>
      <patternFill patternType="solid">
        <fgColor theme="9" tint="0.79985961485641044"/>
        <bgColor indexed="65"/>
      </patternFill>
    </fill>
    <fill>
      <patternFill patternType="solid">
        <fgColor theme="5" tint="0.59984130375072486"/>
        <bgColor indexed="65"/>
      </patternFill>
    </fill>
    <fill>
      <patternFill patternType="solid">
        <fgColor rgb="FFEFF3FB"/>
        <bgColor rgb="FFF5F5F5"/>
      </patternFill>
    </fill>
    <fill>
      <patternFill patternType="solid">
        <fgColor rgb="FFF5F5F5"/>
        <bgColor rgb="FFEFF3FB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6" borderId="1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0" fontId="6" fillId="7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/>
    </xf>
    <xf numFmtId="0" fontId="7" fillId="8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/>
    </xf>
    <xf numFmtId="0" fontId="7" fillId="9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/>
    </xf>
    <xf numFmtId="0" fontId="7" fillId="10" borderId="1" xfId="0" applyFont="1" applyFill="1" applyBorder="1" applyAlignment="1">
      <alignment horizontal="left" vertical="top" wrapText="1"/>
    </xf>
    <xf numFmtId="0" fontId="10" fillId="0" borderId="0" xfId="0" applyFont="1"/>
    <xf numFmtId="0" fontId="7" fillId="12" borderId="1" xfId="0" applyFont="1" applyFill="1" applyBorder="1" applyAlignment="1">
      <alignment horizontal="left" vertical="top" wrapText="1"/>
    </xf>
    <xf numFmtId="0" fontId="7" fillId="13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center"/>
    </xf>
    <xf numFmtId="0" fontId="14" fillId="14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/>
    </xf>
    <xf numFmtId="0" fontId="14" fillId="12" borderId="1" xfId="0" applyFont="1" applyFill="1" applyBorder="1" applyAlignment="1">
      <alignment horizontal="left" vertical="top" wrapText="1"/>
    </xf>
    <xf numFmtId="0" fontId="4" fillId="2" borderId="0" xfId="0" applyFont="1" applyFill="1"/>
    <xf numFmtId="0" fontId="9" fillId="3" borderId="0" xfId="0" applyFont="1" applyFill="1"/>
    <xf numFmtId="0" fontId="13" fillId="15" borderId="1" xfId="0" applyFont="1" applyFill="1" applyBorder="1"/>
    <xf numFmtId="0" fontId="13" fillId="15" borderId="0" xfId="0" applyFont="1" applyFill="1"/>
    <xf numFmtId="0" fontId="13" fillId="9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15" borderId="0" xfId="0" applyFont="1" applyFill="1"/>
    <xf numFmtId="0" fontId="17" fillId="9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top"/>
    </xf>
    <xf numFmtId="0" fontId="14" fillId="6" borderId="1" xfId="0" applyFont="1" applyFill="1" applyBorder="1" applyAlignment="1">
      <alignment vertical="top" wrapText="1"/>
    </xf>
    <xf numFmtId="0" fontId="14" fillId="6" borderId="1" xfId="0" applyFont="1" applyFill="1" applyBorder="1" applyAlignment="1">
      <alignment vertical="top"/>
    </xf>
    <xf numFmtId="0" fontId="14" fillId="15" borderId="1" xfId="0" applyFont="1" applyFill="1" applyBorder="1"/>
    <xf numFmtId="0" fontId="14" fillId="8" borderId="1" xfId="0" applyFont="1" applyFill="1" applyBorder="1" applyAlignment="1">
      <alignment horizontal="center" vertical="top"/>
    </xf>
    <xf numFmtId="0" fontId="14" fillId="8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vertical="top"/>
    </xf>
    <xf numFmtId="0" fontId="14" fillId="4" borderId="1" xfId="0" applyFont="1" applyFill="1" applyBorder="1" applyAlignment="1">
      <alignment horizontal="center" vertical="top"/>
    </xf>
    <xf numFmtId="0" fontId="14" fillId="4" borderId="1" xfId="0" applyFont="1" applyFill="1" applyBorder="1" applyAlignment="1">
      <alignment vertical="top" wrapText="1"/>
    </xf>
    <xf numFmtId="0" fontId="14" fillId="4" borderId="1" xfId="0" applyFont="1" applyFill="1" applyBorder="1" applyAlignment="1">
      <alignment vertical="top"/>
    </xf>
    <xf numFmtId="0" fontId="14" fillId="15" borderId="0" xfId="0" applyFont="1" applyFill="1"/>
    <xf numFmtId="0" fontId="18" fillId="9" borderId="1" xfId="0" applyFont="1" applyFill="1" applyBorder="1" applyAlignment="1">
      <alignment horizontal="left" vertical="top" wrapText="1"/>
    </xf>
    <xf numFmtId="0" fontId="0" fillId="16" borderId="1" xfId="0" applyFill="1" applyBorder="1"/>
    <xf numFmtId="0" fontId="5" fillId="17" borderId="1" xfId="0" applyFont="1" applyFill="1" applyBorder="1" applyAlignment="1">
      <alignment horizontal="center" vertical="center" wrapText="1"/>
    </xf>
    <xf numFmtId="0" fontId="20" fillId="18" borderId="1" xfId="0" applyFont="1" applyFill="1" applyBorder="1"/>
    <xf numFmtId="0" fontId="20" fillId="19" borderId="1" xfId="0" applyFont="1" applyFill="1" applyBorder="1"/>
    <xf numFmtId="0" fontId="14" fillId="18" borderId="1" xfId="0" applyFont="1" applyFill="1" applyBorder="1" applyAlignment="1">
      <alignment horizontal="left" vertical="top" wrapText="1"/>
    </xf>
    <xf numFmtId="0" fontId="14" fillId="18" borderId="1" xfId="0" applyFont="1" applyFill="1" applyBorder="1" applyAlignment="1">
      <alignment horizontal="center" vertical="top" wrapText="1"/>
    </xf>
    <xf numFmtId="0" fontId="21" fillId="0" borderId="1" xfId="0" applyFont="1" applyBorder="1"/>
    <xf numFmtId="0" fontId="13" fillId="20" borderId="1" xfId="0" applyFont="1" applyFill="1" applyBorder="1"/>
    <xf numFmtId="0" fontId="13" fillId="19" borderId="1" xfId="0" applyFont="1" applyFill="1" applyBorder="1"/>
    <xf numFmtId="0" fontId="13" fillId="19" borderId="1" xfId="0" applyFont="1" applyFill="1" applyBorder="1" applyAlignment="1">
      <alignment horizontal="left" vertical="top" wrapText="1"/>
    </xf>
    <xf numFmtId="0" fontId="14" fillId="20" borderId="1" xfId="0" applyFont="1" applyFill="1" applyBorder="1" applyAlignment="1">
      <alignment horizontal="left" vertical="top" wrapText="1"/>
    </xf>
    <xf numFmtId="0" fontId="14" fillId="20" borderId="1" xfId="0" applyFont="1" applyFill="1" applyBorder="1" applyAlignment="1">
      <alignment horizontal="center" vertical="top" wrapText="1"/>
    </xf>
    <xf numFmtId="0" fontId="14" fillId="13" borderId="1" xfId="0" applyFont="1" applyFill="1" applyBorder="1"/>
    <xf numFmtId="0" fontId="14" fillId="19" borderId="1" xfId="0" applyFont="1" applyFill="1" applyBorder="1"/>
    <xf numFmtId="0" fontId="14" fillId="19" borderId="1" xfId="0" applyFont="1" applyFill="1" applyBorder="1" applyAlignment="1">
      <alignment horizontal="left" vertical="top" wrapText="1"/>
    </xf>
    <xf numFmtId="0" fontId="14" fillId="13" borderId="1" xfId="0" applyFont="1" applyFill="1" applyBorder="1" applyAlignment="1">
      <alignment horizontal="left" vertical="top" wrapText="1"/>
    </xf>
    <xf numFmtId="0" fontId="14" fillId="13" borderId="1" xfId="0" applyFont="1" applyFill="1" applyBorder="1" applyAlignment="1">
      <alignment horizontal="center" vertical="top" wrapText="1"/>
    </xf>
    <xf numFmtId="0" fontId="20" fillId="21" borderId="1" xfId="0" applyFont="1" applyFill="1" applyBorder="1"/>
    <xf numFmtId="0" fontId="13" fillId="21" borderId="1" xfId="0" applyFont="1" applyFill="1" applyBorder="1"/>
    <xf numFmtId="0" fontId="13" fillId="21" borderId="1" xfId="0" applyFont="1" applyFill="1" applyBorder="1" applyAlignment="1">
      <alignment horizontal="left" vertical="top" wrapText="1"/>
    </xf>
    <xf numFmtId="0" fontId="14" fillId="21" borderId="1" xfId="0" applyFont="1" applyFill="1" applyBorder="1"/>
    <xf numFmtId="0" fontId="14" fillId="21" borderId="1" xfId="0" applyFont="1" applyFill="1" applyBorder="1" applyAlignment="1">
      <alignment horizontal="left" vertical="top" wrapText="1"/>
    </xf>
    <xf numFmtId="0" fontId="20" fillId="11" borderId="1" xfId="0" applyFont="1" applyFill="1" applyBorder="1"/>
    <xf numFmtId="0" fontId="13" fillId="11" borderId="1" xfId="0" applyFont="1" applyFill="1" applyBorder="1"/>
    <xf numFmtId="0" fontId="13" fillId="11" borderId="1" xfId="0" applyFont="1" applyFill="1" applyBorder="1" applyAlignment="1">
      <alignment horizontal="left" vertical="top" wrapText="1"/>
    </xf>
    <xf numFmtId="0" fontId="14" fillId="11" borderId="1" xfId="0" applyFont="1" applyFill="1" applyBorder="1"/>
    <xf numFmtId="0" fontId="14" fillId="11" borderId="1" xfId="0" applyFont="1" applyFill="1" applyBorder="1" applyAlignment="1">
      <alignment horizontal="left" vertical="top" wrapText="1"/>
    </xf>
    <xf numFmtId="0" fontId="20" fillId="22" borderId="1" xfId="0" applyFont="1" applyFill="1" applyBorder="1"/>
    <xf numFmtId="0" fontId="13" fillId="22" borderId="1" xfId="0" applyFont="1" applyFill="1" applyBorder="1"/>
    <xf numFmtId="0" fontId="13" fillId="22" borderId="1" xfId="0" applyFont="1" applyFill="1" applyBorder="1" applyAlignment="1">
      <alignment horizontal="left" vertical="top" wrapText="1"/>
    </xf>
    <xf numFmtId="0" fontId="14" fillId="22" borderId="1" xfId="0" applyFont="1" applyFill="1" applyBorder="1"/>
    <xf numFmtId="0" fontId="14" fillId="22" borderId="1" xfId="0" applyFont="1" applyFill="1" applyBorder="1" applyAlignment="1">
      <alignment horizontal="left" vertical="top" wrapText="1"/>
    </xf>
    <xf numFmtId="0" fontId="20" fillId="23" borderId="1" xfId="0" applyFont="1" applyFill="1" applyBorder="1"/>
    <xf numFmtId="0" fontId="13" fillId="23" borderId="1" xfId="0" applyFont="1" applyFill="1" applyBorder="1"/>
    <xf numFmtId="0" fontId="13" fillId="23" borderId="1" xfId="0" applyFont="1" applyFill="1" applyBorder="1" applyAlignment="1">
      <alignment horizontal="left" vertical="top" wrapText="1"/>
    </xf>
    <xf numFmtId="0" fontId="14" fillId="23" borderId="1" xfId="0" applyFont="1" applyFill="1" applyBorder="1"/>
    <xf numFmtId="0" fontId="14" fillId="23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vertical="top" wrapText="1"/>
    </xf>
    <xf numFmtId="0" fontId="13" fillId="9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left" vertical="top" wrapText="1"/>
    </xf>
    <xf numFmtId="0" fontId="12" fillId="9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left" vertical="top" wrapText="1"/>
    </xf>
    <xf numFmtId="0" fontId="15" fillId="13" borderId="0" xfId="0" applyFont="1" applyFill="1" applyAlignment="1">
      <alignment horizontal="left" vertical="top" wrapText="1"/>
    </xf>
    <xf numFmtId="0" fontId="13" fillId="12" borderId="1" xfId="0" applyFont="1" applyFill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13" fillId="14" borderId="1" xfId="0" applyFont="1" applyFill="1" applyBorder="1" applyAlignment="1">
      <alignment horizontal="left" vertical="top" wrapText="1"/>
    </xf>
    <xf numFmtId="0" fontId="14" fillId="12" borderId="1" xfId="0" applyFont="1" applyFill="1" applyBorder="1" applyAlignment="1">
      <alignment horizontal="left" vertical="top" wrapText="1"/>
    </xf>
    <xf numFmtId="0" fontId="14" fillId="14" borderId="1" xfId="0" applyFont="1" applyFill="1" applyBorder="1" applyAlignment="1">
      <alignment horizontal="left" vertical="top" wrapText="1"/>
    </xf>
    <xf numFmtId="0" fontId="13" fillId="25" borderId="1" xfId="0" applyFont="1" applyFill="1" applyBorder="1" applyAlignment="1" applyProtection="1">
      <alignment horizontal="left" vertical="top" wrapText="1"/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11" fillId="3" borderId="1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13" fillId="24" borderId="1" xfId="0" applyFont="1" applyFill="1" applyBorder="1" applyAlignment="1" applyProtection="1">
      <alignment horizontal="left" vertical="top" wrapText="1"/>
      <protection locked="0"/>
    </xf>
    <xf numFmtId="0" fontId="8" fillId="11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top" wrapText="1"/>
    </xf>
    <xf numFmtId="0" fontId="8" fillId="11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horizontal="center" vertical="center" wrapText="1"/>
    </xf>
    <xf numFmtId="0" fontId="20" fillId="23" borderId="1" xfId="0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left" vertical="center"/>
    </xf>
    <xf numFmtId="0" fontId="20" fillId="22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BF1DE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E0E0E0"/>
      <rgbColor rgb="FF993366"/>
      <rgbColor rgb="FFFFF2CC"/>
      <rgbColor rgb="FFEFF3FB"/>
      <rgbColor rgb="FF660066"/>
      <rgbColor rgb="FFEDEDED"/>
      <rgbColor rgb="FF0066CC"/>
      <rgbColor rgb="FFC6D9F1"/>
      <rgbColor rgb="FF000080"/>
      <rgbColor rgb="FFFF00FF"/>
      <rgbColor rgb="FFEEECE1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DEADA"/>
      <rgbColor rgb="FFBDD7EE"/>
      <rgbColor rgb="FFF2DCDB"/>
      <rgbColor rgb="FFD9D9D9"/>
      <rgbColor rgb="FFE6B9B8"/>
      <rgbColor rgb="FF3366FF"/>
      <rgbColor rgb="FF33CCCC"/>
      <rgbColor rgb="FFF0F0F0"/>
      <rgbColor rgb="FFFCE4D6"/>
      <rgbColor rgb="FFF5F5F5"/>
      <rgbColor rgb="FFFF6600"/>
      <rgbColor rgb="FF595959"/>
      <rgbColor rgb="FFE6E0EC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defaultColWidth="8.6328125" defaultRowHeight="14.5"/>
  <cols>
    <col min="1" max="1" width="100" customWidth="1"/>
  </cols>
  <sheetData>
    <row r="1" spans="1:1" ht="31.5" customHeight="1">
      <c r="A1" s="1" t="s">
        <v>891</v>
      </c>
    </row>
    <row r="2" spans="1:1" ht="24" customHeight="1">
      <c r="A2" s="2" t="s">
        <v>892</v>
      </c>
    </row>
    <row r="3" spans="1:1" ht="24" customHeight="1">
      <c r="A3" s="3" t="s">
        <v>893</v>
      </c>
    </row>
    <row r="4" spans="1:1" ht="24" customHeight="1">
      <c r="A4" s="3" t="s">
        <v>894</v>
      </c>
    </row>
    <row r="5" spans="1:1" ht="24" customHeight="1">
      <c r="A5" s="3" t="s">
        <v>895</v>
      </c>
    </row>
    <row r="6" spans="1:1" ht="24" customHeight="1">
      <c r="A6" s="3" t="s">
        <v>896</v>
      </c>
    </row>
    <row r="7" spans="1:1" ht="24" customHeight="1">
      <c r="A7" s="3" t="s">
        <v>897</v>
      </c>
    </row>
    <row r="8" spans="1:1" ht="24" customHeight="1">
      <c r="A8" s="3"/>
    </row>
    <row r="9" spans="1:1" ht="24" customHeight="1">
      <c r="A9" s="2" t="s">
        <v>898</v>
      </c>
    </row>
    <row r="10" spans="1:1" ht="24" customHeight="1">
      <c r="A10" s="4" t="s">
        <v>899</v>
      </c>
    </row>
    <row r="11" spans="1:1" ht="24" customHeight="1">
      <c r="A11" s="3" t="s">
        <v>900</v>
      </c>
    </row>
    <row r="12" spans="1:1" ht="24" customHeight="1">
      <c r="A12" s="3"/>
    </row>
    <row r="13" spans="1:1" ht="24" customHeight="1">
      <c r="A13" s="2" t="s">
        <v>901</v>
      </c>
    </row>
    <row r="14" spans="1:1" ht="24" customHeight="1">
      <c r="A14" s="3" t="s">
        <v>902</v>
      </c>
    </row>
    <row r="15" spans="1:1" ht="24" customHeight="1">
      <c r="A15" s="3" t="s">
        <v>903</v>
      </c>
    </row>
    <row r="16" spans="1:1" ht="24" customHeight="1">
      <c r="A16" s="3" t="s">
        <v>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2"/>
  <sheetViews>
    <sheetView topLeftCell="F1" zoomScaleNormal="100" workbookViewId="0">
      <selection activeCell="O24" sqref="O24"/>
    </sheetView>
  </sheetViews>
  <sheetFormatPr defaultColWidth="8.6328125" defaultRowHeight="14.5"/>
  <cols>
    <col min="1" max="1" width="16.26953125" customWidth="1"/>
    <col min="2" max="2" width="12" customWidth="1"/>
    <col min="3" max="3" width="40.1796875" customWidth="1"/>
    <col min="4" max="4" width="12" customWidth="1"/>
    <col min="5" max="5" width="41.1796875" customWidth="1"/>
    <col min="6" max="6" width="12" customWidth="1"/>
    <col min="7" max="7" width="41.1796875" customWidth="1"/>
    <col min="8" max="8" width="12" customWidth="1"/>
    <col min="9" max="9" width="42.81640625" customWidth="1"/>
    <col min="10" max="10" width="12" customWidth="1"/>
    <col min="11" max="11" width="43.6328125" customWidth="1"/>
    <col min="12" max="12" width="12" customWidth="1"/>
    <col min="13" max="13" width="40.90625" customWidth="1"/>
    <col min="15" max="15" width="18" customWidth="1"/>
  </cols>
  <sheetData>
    <row r="1" spans="1:15" ht="51.75" customHeight="1">
      <c r="A1" s="110" t="s">
        <v>905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5" ht="30" customHeight="1">
      <c r="A2" s="5" t="s">
        <v>906</v>
      </c>
      <c r="B2" s="5" t="s">
        <v>907</v>
      </c>
      <c r="C2" s="5" t="s">
        <v>908</v>
      </c>
      <c r="D2" s="5" t="s">
        <v>907</v>
      </c>
      <c r="E2" s="5" t="s">
        <v>909</v>
      </c>
      <c r="F2" s="5" t="s">
        <v>907</v>
      </c>
      <c r="G2" s="5" t="s">
        <v>910</v>
      </c>
      <c r="H2" s="5" t="s">
        <v>907</v>
      </c>
      <c r="I2" s="5" t="s">
        <v>911</v>
      </c>
      <c r="J2" s="5" t="s">
        <v>907</v>
      </c>
      <c r="K2" s="5" t="s">
        <v>912</v>
      </c>
      <c r="L2" s="5" t="s">
        <v>907</v>
      </c>
      <c r="M2" s="5" t="s">
        <v>913</v>
      </c>
      <c r="O2" s="6" t="s">
        <v>9</v>
      </c>
    </row>
    <row r="3" spans="1:15" ht="34.5" customHeight="1">
      <c r="A3" s="113" t="s">
        <v>914</v>
      </c>
      <c r="B3" s="7" t="s">
        <v>35</v>
      </c>
      <c r="C3" s="8" t="s">
        <v>915</v>
      </c>
      <c r="D3" s="7" t="s">
        <v>70</v>
      </c>
      <c r="E3" s="8" t="s">
        <v>916</v>
      </c>
      <c r="F3" s="7" t="s">
        <v>70</v>
      </c>
      <c r="G3" s="8" t="s">
        <v>917</v>
      </c>
      <c r="H3" s="7" t="s">
        <v>35</v>
      </c>
      <c r="I3" s="8" t="s">
        <v>918</v>
      </c>
      <c r="J3" s="7" t="s">
        <v>35</v>
      </c>
      <c r="K3" s="8" t="s">
        <v>919</v>
      </c>
      <c r="L3" s="7" t="s">
        <v>35</v>
      </c>
      <c r="M3" s="8" t="s">
        <v>920</v>
      </c>
      <c r="O3" s="9" t="s">
        <v>17</v>
      </c>
    </row>
    <row r="4" spans="1:15" ht="34.5" customHeight="1">
      <c r="A4" s="97"/>
      <c r="B4" s="7" t="s">
        <v>35</v>
      </c>
      <c r="C4" s="8" t="s">
        <v>921</v>
      </c>
      <c r="D4" s="7" t="s">
        <v>35</v>
      </c>
      <c r="E4" s="8" t="s">
        <v>922</v>
      </c>
      <c r="F4" s="7" t="s">
        <v>35</v>
      </c>
      <c r="G4" s="8" t="s">
        <v>923</v>
      </c>
      <c r="H4" s="7" t="s">
        <v>35</v>
      </c>
      <c r="I4" s="8" t="s">
        <v>924</v>
      </c>
      <c r="J4" s="7" t="s">
        <v>35</v>
      </c>
      <c r="K4" s="8" t="s">
        <v>925</v>
      </c>
      <c r="L4" s="7" t="s">
        <v>35</v>
      </c>
      <c r="M4" s="8" t="s">
        <v>926</v>
      </c>
      <c r="O4" s="9" t="s">
        <v>15</v>
      </c>
    </row>
    <row r="5" spans="1:15" ht="34.5" customHeight="1">
      <c r="A5" s="97"/>
      <c r="B5" s="7" t="s">
        <v>38</v>
      </c>
      <c r="C5" s="8" t="s">
        <v>927</v>
      </c>
      <c r="D5" s="7" t="s">
        <v>38</v>
      </c>
      <c r="E5" s="8" t="s">
        <v>928</v>
      </c>
      <c r="F5" s="7" t="s">
        <v>38</v>
      </c>
      <c r="G5" s="8" t="s">
        <v>929</v>
      </c>
      <c r="H5" s="7" t="s">
        <v>38</v>
      </c>
      <c r="I5" s="8" t="s">
        <v>930</v>
      </c>
      <c r="J5" s="7" t="s">
        <v>38</v>
      </c>
      <c r="K5" s="8" t="s">
        <v>931</v>
      </c>
      <c r="L5" s="7" t="s">
        <v>38</v>
      </c>
      <c r="M5" s="8" t="s">
        <v>932</v>
      </c>
      <c r="O5" s="9" t="s">
        <v>19</v>
      </c>
    </row>
    <row r="6" spans="1:15" ht="34.5" customHeight="1">
      <c r="A6" s="97"/>
      <c r="B6" s="7" t="s">
        <v>70</v>
      </c>
      <c r="C6" s="8" t="s">
        <v>933</v>
      </c>
      <c r="D6" s="7" t="s">
        <v>35</v>
      </c>
      <c r="E6" s="8" t="s">
        <v>934</v>
      </c>
      <c r="F6" s="7" t="s">
        <v>72</v>
      </c>
      <c r="G6" s="8" t="s">
        <v>935</v>
      </c>
      <c r="H6" s="7" t="s">
        <v>72</v>
      </c>
      <c r="I6" s="8" t="s">
        <v>936</v>
      </c>
      <c r="J6" s="7" t="s">
        <v>72</v>
      </c>
      <c r="K6" s="8" t="s">
        <v>937</v>
      </c>
      <c r="L6" s="7" t="s">
        <v>72</v>
      </c>
      <c r="M6" s="8" t="s">
        <v>938</v>
      </c>
      <c r="O6" s="9" t="s">
        <v>25</v>
      </c>
    </row>
    <row r="7" spans="1:15" ht="34.5" customHeight="1">
      <c r="A7" s="97"/>
      <c r="B7" s="7" t="s">
        <v>72</v>
      </c>
      <c r="C7" s="8" t="s">
        <v>939</v>
      </c>
      <c r="D7" s="7" t="s">
        <v>72</v>
      </c>
      <c r="E7" s="8" t="s">
        <v>940</v>
      </c>
      <c r="F7" s="7" t="s">
        <v>35</v>
      </c>
      <c r="G7" s="8" t="s">
        <v>941</v>
      </c>
      <c r="H7" s="7" t="s">
        <v>27</v>
      </c>
      <c r="I7" s="8" t="s">
        <v>942</v>
      </c>
      <c r="J7" s="7" t="s">
        <v>27</v>
      </c>
      <c r="K7" s="8" t="s">
        <v>943</v>
      </c>
      <c r="L7" s="7" t="s">
        <v>27</v>
      </c>
      <c r="M7" s="8" t="s">
        <v>944</v>
      </c>
      <c r="O7" s="9" t="s">
        <v>28</v>
      </c>
    </row>
    <row r="8" spans="1:15" ht="34.5" customHeight="1">
      <c r="A8" s="97"/>
      <c r="B8" s="7" t="s">
        <v>27</v>
      </c>
      <c r="C8" s="8" t="s">
        <v>945</v>
      </c>
      <c r="D8" s="7" t="s">
        <v>27</v>
      </c>
      <c r="E8" s="8" t="s">
        <v>946</v>
      </c>
      <c r="F8" s="7" t="s">
        <v>27</v>
      </c>
      <c r="G8" s="8" t="s">
        <v>947</v>
      </c>
      <c r="H8" s="7" t="s">
        <v>70</v>
      </c>
      <c r="I8" s="8" t="s">
        <v>948</v>
      </c>
      <c r="J8" s="7" t="s">
        <v>70</v>
      </c>
      <c r="K8" s="8" t="s">
        <v>949</v>
      </c>
      <c r="L8" s="7" t="s">
        <v>70</v>
      </c>
      <c r="M8" s="8" t="s">
        <v>950</v>
      </c>
      <c r="O8" s="9" t="s">
        <v>27</v>
      </c>
    </row>
    <row r="9" spans="1:15" ht="34.5" customHeight="1">
      <c r="A9" s="97"/>
      <c r="B9" s="7" t="s">
        <v>48</v>
      </c>
      <c r="C9" s="8" t="s">
        <v>951</v>
      </c>
      <c r="D9" s="7" t="s">
        <v>48</v>
      </c>
      <c r="E9" s="8" t="s">
        <v>952</v>
      </c>
      <c r="F9" s="7" t="s">
        <v>48</v>
      </c>
      <c r="G9" s="8" t="s">
        <v>953</v>
      </c>
      <c r="H9" s="7" t="s">
        <v>48</v>
      </c>
      <c r="I9" s="8" t="s">
        <v>954</v>
      </c>
      <c r="J9" s="7" t="s">
        <v>48</v>
      </c>
      <c r="K9" s="8" t="s">
        <v>955</v>
      </c>
      <c r="L9" s="7" t="s">
        <v>48</v>
      </c>
      <c r="M9" s="8" t="s">
        <v>956</v>
      </c>
      <c r="O9" s="9" t="s">
        <v>35</v>
      </c>
    </row>
    <row r="10" spans="1:15" ht="34.5" customHeight="1">
      <c r="A10" s="97"/>
      <c r="B10" s="7" t="s">
        <v>50</v>
      </c>
      <c r="C10" s="8" t="s">
        <v>957</v>
      </c>
      <c r="D10" s="7" t="s">
        <v>50</v>
      </c>
      <c r="E10" s="8" t="s">
        <v>958</v>
      </c>
      <c r="F10" s="7" t="s">
        <v>50</v>
      </c>
      <c r="G10" s="8" t="s">
        <v>959</v>
      </c>
      <c r="H10" s="7" t="s">
        <v>50</v>
      </c>
      <c r="I10" s="8" t="s">
        <v>960</v>
      </c>
      <c r="J10" s="7" t="s">
        <v>50</v>
      </c>
      <c r="K10" s="8" t="s">
        <v>961</v>
      </c>
      <c r="L10" s="7" t="s">
        <v>50</v>
      </c>
      <c r="M10" s="8" t="s">
        <v>962</v>
      </c>
      <c r="O10" s="9" t="s">
        <v>38</v>
      </c>
    </row>
    <row r="11" spans="1:15" ht="34.5" customHeight="1">
      <c r="A11" s="97"/>
      <c r="B11" s="7" t="s">
        <v>32</v>
      </c>
      <c r="C11" s="8" t="s">
        <v>963</v>
      </c>
      <c r="D11" s="7" t="s">
        <v>32</v>
      </c>
      <c r="E11" s="8" t="s">
        <v>964</v>
      </c>
      <c r="F11" s="7" t="s">
        <v>32</v>
      </c>
      <c r="G11" s="8" t="s">
        <v>965</v>
      </c>
      <c r="H11" s="7" t="s">
        <v>32</v>
      </c>
      <c r="I11" s="8" t="s">
        <v>966</v>
      </c>
      <c r="J11" s="7" t="s">
        <v>32</v>
      </c>
      <c r="K11" s="8" t="s">
        <v>967</v>
      </c>
      <c r="L11" s="7" t="s">
        <v>32</v>
      </c>
      <c r="M11" s="8" t="s">
        <v>968</v>
      </c>
      <c r="O11" s="9" t="s">
        <v>41</v>
      </c>
    </row>
    <row r="12" spans="1:15" ht="34.5" customHeight="1">
      <c r="A12" s="98"/>
      <c r="B12" s="7" t="s">
        <v>19</v>
      </c>
      <c r="C12" s="8" t="s">
        <v>132</v>
      </c>
      <c r="D12" s="7" t="s">
        <v>19</v>
      </c>
      <c r="E12" s="8" t="s">
        <v>52</v>
      </c>
      <c r="F12" s="7" t="s">
        <v>19</v>
      </c>
      <c r="G12" s="8" t="s">
        <v>969</v>
      </c>
      <c r="H12" s="7" t="s">
        <v>25</v>
      </c>
      <c r="I12" s="8" t="s">
        <v>93</v>
      </c>
      <c r="J12" s="7" t="s">
        <v>19</v>
      </c>
      <c r="K12" s="8" t="s">
        <v>91</v>
      </c>
      <c r="L12" s="7" t="s">
        <v>58</v>
      </c>
      <c r="M12" s="8" t="s">
        <v>970</v>
      </c>
      <c r="O12" s="9" t="s">
        <v>43</v>
      </c>
    </row>
    <row r="13" spans="1:15" ht="34.5" customHeight="1">
      <c r="A13" s="115" t="s">
        <v>971</v>
      </c>
      <c r="B13" s="10" t="s">
        <v>35</v>
      </c>
      <c r="C13" s="11" t="s">
        <v>972</v>
      </c>
      <c r="D13" s="10" t="s">
        <v>70</v>
      </c>
      <c r="E13" s="11" t="s">
        <v>973</v>
      </c>
      <c r="F13" s="10" t="s">
        <v>70</v>
      </c>
      <c r="G13" s="11" t="s">
        <v>974</v>
      </c>
      <c r="H13" s="10" t="s">
        <v>70</v>
      </c>
      <c r="I13" s="11" t="s">
        <v>975</v>
      </c>
      <c r="J13" s="10" t="s">
        <v>70</v>
      </c>
      <c r="K13" s="11" t="s">
        <v>976</v>
      </c>
      <c r="L13" s="10" t="s">
        <v>70</v>
      </c>
      <c r="M13" s="11" t="s">
        <v>977</v>
      </c>
      <c r="O13" s="9" t="s">
        <v>48</v>
      </c>
    </row>
    <row r="14" spans="1:15" ht="34.5" customHeight="1">
      <c r="A14" s="97"/>
      <c r="B14" s="10" t="s">
        <v>35</v>
      </c>
      <c r="C14" s="11" t="s">
        <v>978</v>
      </c>
      <c r="D14" s="10" t="s">
        <v>35</v>
      </c>
      <c r="E14" s="11" t="s">
        <v>979</v>
      </c>
      <c r="F14" s="10" t="s">
        <v>35</v>
      </c>
      <c r="G14" s="11" t="s">
        <v>980</v>
      </c>
      <c r="H14" s="10" t="s">
        <v>35</v>
      </c>
      <c r="I14" s="11" t="s">
        <v>981</v>
      </c>
      <c r="J14" s="10" t="s">
        <v>35</v>
      </c>
      <c r="K14" s="11" t="s">
        <v>982</v>
      </c>
      <c r="L14" s="10" t="s">
        <v>35</v>
      </c>
      <c r="M14" s="11" t="s">
        <v>983</v>
      </c>
      <c r="O14" s="9" t="s">
        <v>50</v>
      </c>
    </row>
    <row r="15" spans="1:15" ht="34.5" customHeight="1">
      <c r="A15" s="97"/>
      <c r="B15" s="10" t="s">
        <v>38</v>
      </c>
      <c r="C15" s="11" t="s">
        <v>984</v>
      </c>
      <c r="D15" s="10" t="s">
        <v>38</v>
      </c>
      <c r="E15" s="11" t="s">
        <v>985</v>
      </c>
      <c r="F15" s="10" t="s">
        <v>38</v>
      </c>
      <c r="G15" s="11" t="s">
        <v>986</v>
      </c>
      <c r="H15" s="10" t="s">
        <v>38</v>
      </c>
      <c r="I15" s="11" t="s">
        <v>987</v>
      </c>
      <c r="J15" s="10" t="s">
        <v>38</v>
      </c>
      <c r="K15" s="11" t="s">
        <v>988</v>
      </c>
      <c r="L15" s="10" t="s">
        <v>38</v>
      </c>
      <c r="M15" s="11" t="s">
        <v>989</v>
      </c>
      <c r="O15" s="9" t="s">
        <v>53</v>
      </c>
    </row>
    <row r="16" spans="1:15" ht="34.5" customHeight="1">
      <c r="A16" s="97"/>
      <c r="B16" s="10" t="s">
        <v>72</v>
      </c>
      <c r="C16" s="11" t="s">
        <v>990</v>
      </c>
      <c r="D16" s="10" t="s">
        <v>72</v>
      </c>
      <c r="E16" s="11" t="s">
        <v>991</v>
      </c>
      <c r="F16" s="10" t="s">
        <v>72</v>
      </c>
      <c r="G16" s="11" t="s">
        <v>992</v>
      </c>
      <c r="H16" s="10" t="s">
        <v>72</v>
      </c>
      <c r="I16" s="11" t="s">
        <v>993</v>
      </c>
      <c r="J16" s="10" t="s">
        <v>72</v>
      </c>
      <c r="K16" s="11" t="s">
        <v>994</v>
      </c>
      <c r="L16" s="10" t="s">
        <v>72</v>
      </c>
      <c r="M16" s="11" t="s">
        <v>995</v>
      </c>
      <c r="O16" s="9" t="s">
        <v>32</v>
      </c>
    </row>
    <row r="17" spans="1:15" ht="34.5" customHeight="1">
      <c r="A17" s="97"/>
      <c r="B17" s="10" t="s">
        <v>27</v>
      </c>
      <c r="C17" s="11" t="s">
        <v>996</v>
      </c>
      <c r="D17" s="10" t="s">
        <v>27</v>
      </c>
      <c r="E17" s="11" t="s">
        <v>997</v>
      </c>
      <c r="F17" s="10" t="s">
        <v>27</v>
      </c>
      <c r="G17" s="11" t="s">
        <v>998</v>
      </c>
      <c r="H17" s="10" t="s">
        <v>27</v>
      </c>
      <c r="I17" s="11" t="s">
        <v>999</v>
      </c>
      <c r="J17" s="10" t="s">
        <v>27</v>
      </c>
      <c r="K17" s="11" t="s">
        <v>1000</v>
      </c>
      <c r="L17" s="10" t="s">
        <v>27</v>
      </c>
      <c r="M17" s="11" t="s">
        <v>1001</v>
      </c>
      <c r="O17" s="9" t="s">
        <v>58</v>
      </c>
    </row>
    <row r="18" spans="1:15" ht="34.5" customHeight="1">
      <c r="A18" s="97"/>
      <c r="B18" s="10" t="s">
        <v>70</v>
      </c>
      <c r="C18" s="11" t="s">
        <v>1002</v>
      </c>
      <c r="D18" s="10" t="s">
        <v>70</v>
      </c>
      <c r="E18" s="11" t="s">
        <v>1003</v>
      </c>
      <c r="F18" s="10" t="s">
        <v>35</v>
      </c>
      <c r="G18" s="11" t="s">
        <v>1004</v>
      </c>
      <c r="H18" s="10" t="s">
        <v>35</v>
      </c>
      <c r="I18" s="11" t="s">
        <v>1005</v>
      </c>
      <c r="J18" s="10" t="s">
        <v>35</v>
      </c>
      <c r="K18" s="11" t="s">
        <v>1006</v>
      </c>
      <c r="L18" s="10" t="s">
        <v>70</v>
      </c>
      <c r="M18" s="11" t="s">
        <v>1007</v>
      </c>
      <c r="O18" s="9" t="s">
        <v>62</v>
      </c>
    </row>
    <row r="19" spans="1:15" ht="34.5" customHeight="1">
      <c r="A19" s="97"/>
      <c r="B19" s="10" t="s">
        <v>48</v>
      </c>
      <c r="C19" s="11" t="s">
        <v>1008</v>
      </c>
      <c r="D19" s="10" t="s">
        <v>48</v>
      </c>
      <c r="E19" s="11" t="s">
        <v>1009</v>
      </c>
      <c r="F19" s="10" t="s">
        <v>48</v>
      </c>
      <c r="G19" s="11" t="s">
        <v>1010</v>
      </c>
      <c r="H19" s="10" t="s">
        <v>48</v>
      </c>
      <c r="I19" s="11" t="s">
        <v>1011</v>
      </c>
      <c r="J19" s="10" t="s">
        <v>48</v>
      </c>
      <c r="K19" s="11" t="s">
        <v>1012</v>
      </c>
      <c r="L19" s="10" t="s">
        <v>48</v>
      </c>
      <c r="M19" s="11" t="s">
        <v>1013</v>
      </c>
      <c r="O19" s="9" t="s">
        <v>65</v>
      </c>
    </row>
    <row r="20" spans="1:15" ht="34.5" customHeight="1">
      <c r="A20" s="97"/>
      <c r="B20" s="10" t="s">
        <v>50</v>
      </c>
      <c r="C20" s="11" t="s">
        <v>1014</v>
      </c>
      <c r="D20" s="10" t="s">
        <v>50</v>
      </c>
      <c r="E20" s="11" t="s">
        <v>1015</v>
      </c>
      <c r="F20" s="10" t="s">
        <v>50</v>
      </c>
      <c r="G20" s="11" t="s">
        <v>1016</v>
      </c>
      <c r="H20" s="10" t="s">
        <v>50</v>
      </c>
      <c r="I20" s="11" t="s">
        <v>1017</v>
      </c>
      <c r="J20" s="10" t="s">
        <v>50</v>
      </c>
      <c r="K20" s="11" t="s">
        <v>1018</v>
      </c>
      <c r="L20" s="10" t="s">
        <v>50</v>
      </c>
      <c r="M20" s="11" t="s">
        <v>1019</v>
      </c>
      <c r="O20" s="9" t="s">
        <v>68</v>
      </c>
    </row>
    <row r="21" spans="1:15" ht="34.5" customHeight="1">
      <c r="A21" s="97"/>
      <c r="B21" s="10" t="s">
        <v>32</v>
      </c>
      <c r="C21" s="11" t="s">
        <v>1020</v>
      </c>
      <c r="D21" s="10" t="s">
        <v>32</v>
      </c>
      <c r="E21" s="11" t="s">
        <v>1021</v>
      </c>
      <c r="F21" s="10" t="s">
        <v>32</v>
      </c>
      <c r="G21" s="11" t="s">
        <v>1022</v>
      </c>
      <c r="H21" s="10" t="s">
        <v>32</v>
      </c>
      <c r="I21" s="11" t="s">
        <v>1023</v>
      </c>
      <c r="J21" s="10" t="s">
        <v>32</v>
      </c>
      <c r="K21" s="11" t="s">
        <v>1024</v>
      </c>
      <c r="L21" s="10" t="s">
        <v>32</v>
      </c>
      <c r="M21" s="11" t="s">
        <v>1025</v>
      </c>
      <c r="O21" s="9" t="s">
        <v>70</v>
      </c>
    </row>
    <row r="22" spans="1:15" ht="34.5" customHeight="1">
      <c r="A22" s="98"/>
      <c r="B22" s="10" t="s">
        <v>19</v>
      </c>
      <c r="C22" s="11" t="s">
        <v>260</v>
      </c>
      <c r="D22" s="10" t="s">
        <v>19</v>
      </c>
      <c r="E22" s="11" t="s">
        <v>1026</v>
      </c>
      <c r="F22" s="10" t="s">
        <v>28</v>
      </c>
      <c r="G22" s="11" t="s">
        <v>37</v>
      </c>
      <c r="H22" s="10" t="s">
        <v>25</v>
      </c>
      <c r="I22" s="11" t="s">
        <v>349</v>
      </c>
      <c r="J22" s="10" t="s">
        <v>25</v>
      </c>
      <c r="K22" s="11" t="s">
        <v>1027</v>
      </c>
      <c r="L22" s="10" t="s">
        <v>58</v>
      </c>
      <c r="M22" s="11" t="s">
        <v>1028</v>
      </c>
      <c r="O22" s="9" t="s">
        <v>72</v>
      </c>
    </row>
    <row r="23" spans="1:15" ht="34.5" customHeight="1">
      <c r="A23" s="116" t="s">
        <v>1029</v>
      </c>
      <c r="B23" s="12" t="s">
        <v>70</v>
      </c>
      <c r="C23" s="13" t="s">
        <v>1030</v>
      </c>
      <c r="D23" s="12" t="s">
        <v>70</v>
      </c>
      <c r="E23" s="13" t="s">
        <v>1031</v>
      </c>
      <c r="F23" s="12" t="s">
        <v>70</v>
      </c>
      <c r="G23" s="13" t="s">
        <v>1032</v>
      </c>
      <c r="H23" s="12" t="s">
        <v>35</v>
      </c>
      <c r="I23" s="13" t="s">
        <v>1033</v>
      </c>
      <c r="J23" s="12" t="s">
        <v>35</v>
      </c>
      <c r="K23" s="13" t="s">
        <v>1034</v>
      </c>
      <c r="L23" s="12" t="s">
        <v>35</v>
      </c>
      <c r="M23" s="13" t="s">
        <v>1035</v>
      </c>
      <c r="O23" s="9" t="s">
        <v>76</v>
      </c>
    </row>
    <row r="24" spans="1:15" ht="34.5" customHeight="1">
      <c r="A24" s="97"/>
      <c r="B24" s="12" t="s">
        <v>35</v>
      </c>
      <c r="C24" s="13" t="s">
        <v>1036</v>
      </c>
      <c r="D24" s="12" t="s">
        <v>35</v>
      </c>
      <c r="E24" s="13" t="s">
        <v>1037</v>
      </c>
      <c r="F24" s="12" t="s">
        <v>35</v>
      </c>
      <c r="G24" s="13" t="s">
        <v>1038</v>
      </c>
      <c r="H24" s="12" t="s">
        <v>35</v>
      </c>
      <c r="I24" s="13" t="s">
        <v>1039</v>
      </c>
      <c r="J24" s="12" t="s">
        <v>35</v>
      </c>
      <c r="K24" s="13" t="s">
        <v>1040</v>
      </c>
      <c r="L24" s="12" t="s">
        <v>35</v>
      </c>
      <c r="M24" s="13" t="s">
        <v>1041</v>
      </c>
    </row>
    <row r="25" spans="1:15" ht="34.5" customHeight="1">
      <c r="A25" s="97"/>
      <c r="B25" s="12" t="s">
        <v>38</v>
      </c>
      <c r="C25" s="13" t="s">
        <v>1042</v>
      </c>
      <c r="D25" s="12" t="s">
        <v>38</v>
      </c>
      <c r="E25" s="13" t="s">
        <v>1043</v>
      </c>
      <c r="F25" s="12" t="s">
        <v>38</v>
      </c>
      <c r="G25" s="13" t="s">
        <v>1044</v>
      </c>
      <c r="H25" s="12" t="s">
        <v>38</v>
      </c>
      <c r="I25" s="13" t="s">
        <v>1045</v>
      </c>
      <c r="J25" s="12" t="s">
        <v>38</v>
      </c>
      <c r="K25" s="13" t="s">
        <v>1046</v>
      </c>
      <c r="L25" s="12" t="s">
        <v>38</v>
      </c>
      <c r="M25" s="13" t="s">
        <v>1047</v>
      </c>
    </row>
    <row r="26" spans="1:15" ht="34.5" customHeight="1">
      <c r="A26" s="97"/>
      <c r="B26" s="12" t="s">
        <v>72</v>
      </c>
      <c r="C26" s="13" t="s">
        <v>1048</v>
      </c>
      <c r="D26" s="12" t="s">
        <v>72</v>
      </c>
      <c r="E26" s="13" t="s">
        <v>1049</v>
      </c>
      <c r="F26" s="12" t="s">
        <v>72</v>
      </c>
      <c r="G26" s="13" t="s">
        <v>1050</v>
      </c>
      <c r="H26" s="12" t="s">
        <v>72</v>
      </c>
      <c r="I26" s="13" t="s">
        <v>1051</v>
      </c>
      <c r="J26" s="12" t="s">
        <v>72</v>
      </c>
      <c r="K26" s="13" t="s">
        <v>1052</v>
      </c>
      <c r="L26" s="12" t="s">
        <v>72</v>
      </c>
      <c r="M26" s="13" t="s">
        <v>1053</v>
      </c>
    </row>
    <row r="27" spans="1:15" ht="34.5" customHeight="1">
      <c r="A27" s="97"/>
      <c r="B27" s="12" t="s">
        <v>27</v>
      </c>
      <c r="C27" s="13" t="s">
        <v>1054</v>
      </c>
      <c r="D27" s="12" t="s">
        <v>27</v>
      </c>
      <c r="E27" s="13" t="s">
        <v>1055</v>
      </c>
      <c r="F27" s="12" t="s">
        <v>27</v>
      </c>
      <c r="G27" s="13" t="s">
        <v>1056</v>
      </c>
      <c r="H27" s="12" t="s">
        <v>27</v>
      </c>
      <c r="I27" s="13" t="s">
        <v>1057</v>
      </c>
      <c r="J27" s="12" t="s">
        <v>27</v>
      </c>
      <c r="K27" s="13" t="s">
        <v>1058</v>
      </c>
      <c r="L27" s="12" t="s">
        <v>27</v>
      </c>
      <c r="M27" s="13" t="s">
        <v>1059</v>
      </c>
    </row>
    <row r="28" spans="1:15" ht="34.5" customHeight="1">
      <c r="A28" s="97"/>
      <c r="B28" s="12" t="s">
        <v>70</v>
      </c>
      <c r="C28" s="13" t="s">
        <v>1060</v>
      </c>
      <c r="D28" s="12" t="s">
        <v>35</v>
      </c>
      <c r="E28" s="13" t="s">
        <v>1061</v>
      </c>
      <c r="F28" s="12" t="s">
        <v>35</v>
      </c>
      <c r="G28" s="13" t="s">
        <v>1062</v>
      </c>
      <c r="H28" s="12" t="s">
        <v>70</v>
      </c>
      <c r="I28" s="13" t="s">
        <v>1063</v>
      </c>
      <c r="J28" s="12" t="s">
        <v>70</v>
      </c>
      <c r="K28" s="13" t="s">
        <v>1064</v>
      </c>
      <c r="L28" s="12" t="s">
        <v>70</v>
      </c>
      <c r="M28" s="13" t="s">
        <v>1065</v>
      </c>
    </row>
    <row r="29" spans="1:15" ht="34.5" customHeight="1">
      <c r="A29" s="97"/>
      <c r="B29" s="12" t="s">
        <v>48</v>
      </c>
      <c r="C29" s="13" t="s">
        <v>1066</v>
      </c>
      <c r="D29" s="12" t="s">
        <v>48</v>
      </c>
      <c r="E29" s="13" t="s">
        <v>1067</v>
      </c>
      <c r="F29" s="12" t="s">
        <v>48</v>
      </c>
      <c r="G29" s="13" t="s">
        <v>1068</v>
      </c>
      <c r="H29" s="12" t="s">
        <v>48</v>
      </c>
      <c r="I29" s="13" t="s">
        <v>1069</v>
      </c>
      <c r="J29" s="12" t="s">
        <v>48</v>
      </c>
      <c r="K29" s="13" t="s">
        <v>1070</v>
      </c>
      <c r="L29" s="12" t="s">
        <v>48</v>
      </c>
      <c r="M29" s="13" t="s">
        <v>1071</v>
      </c>
    </row>
    <row r="30" spans="1:15" ht="34.5" customHeight="1">
      <c r="A30" s="97"/>
      <c r="B30" s="12" t="s">
        <v>50</v>
      </c>
      <c r="C30" s="13" t="s">
        <v>1072</v>
      </c>
      <c r="D30" s="12" t="s">
        <v>50</v>
      </c>
      <c r="E30" s="13" t="s">
        <v>1073</v>
      </c>
      <c r="F30" s="12" t="s">
        <v>50</v>
      </c>
      <c r="G30" s="13" t="s">
        <v>1074</v>
      </c>
      <c r="H30" s="12" t="s">
        <v>50</v>
      </c>
      <c r="I30" s="13" t="s">
        <v>1075</v>
      </c>
      <c r="J30" s="12" t="s">
        <v>50</v>
      </c>
      <c r="K30" s="13" t="s">
        <v>1076</v>
      </c>
      <c r="L30" s="12" t="s">
        <v>50</v>
      </c>
      <c r="M30" s="13" t="s">
        <v>1077</v>
      </c>
    </row>
    <row r="31" spans="1:15" ht="34.5" customHeight="1">
      <c r="A31" s="97"/>
      <c r="B31" s="12" t="s">
        <v>32</v>
      </c>
      <c r="C31" s="13" t="s">
        <v>1078</v>
      </c>
      <c r="D31" s="12" t="s">
        <v>32</v>
      </c>
      <c r="E31" s="13" t="s">
        <v>1079</v>
      </c>
      <c r="F31" s="12" t="s">
        <v>32</v>
      </c>
      <c r="G31" s="13" t="s">
        <v>1080</v>
      </c>
      <c r="H31" s="12" t="s">
        <v>32</v>
      </c>
      <c r="I31" s="13" t="s">
        <v>1081</v>
      </c>
      <c r="J31" s="12" t="s">
        <v>32</v>
      </c>
      <c r="K31" s="13" t="s">
        <v>1082</v>
      </c>
      <c r="L31" s="12" t="s">
        <v>32</v>
      </c>
      <c r="M31" s="13" t="s">
        <v>1083</v>
      </c>
    </row>
    <row r="32" spans="1:15" ht="34.5" customHeight="1">
      <c r="A32" s="98"/>
      <c r="B32" s="12" t="s">
        <v>19</v>
      </c>
      <c r="C32" s="13" t="s">
        <v>52</v>
      </c>
      <c r="D32" s="12" t="s">
        <v>19</v>
      </c>
      <c r="E32" s="13" t="s">
        <v>1084</v>
      </c>
      <c r="F32" s="12" t="s">
        <v>28</v>
      </c>
      <c r="G32" s="13" t="s">
        <v>1085</v>
      </c>
      <c r="H32" s="12" t="s">
        <v>19</v>
      </c>
      <c r="I32" s="13" t="s">
        <v>1086</v>
      </c>
      <c r="J32" s="12" t="s">
        <v>25</v>
      </c>
      <c r="K32" s="13" t="s">
        <v>1087</v>
      </c>
      <c r="L32" s="12" t="s">
        <v>58</v>
      </c>
      <c r="M32" s="13" t="s">
        <v>1088</v>
      </c>
    </row>
    <row r="33" spans="1:13" ht="34.5" customHeight="1">
      <c r="A33" s="114" t="s">
        <v>1089</v>
      </c>
      <c r="B33" s="14" t="s">
        <v>35</v>
      </c>
      <c r="C33" s="15" t="s">
        <v>1090</v>
      </c>
      <c r="D33" s="14" t="s">
        <v>70</v>
      </c>
      <c r="E33" s="15" t="s">
        <v>1091</v>
      </c>
      <c r="F33" s="14" t="s">
        <v>35</v>
      </c>
      <c r="G33" s="15" t="s">
        <v>1092</v>
      </c>
      <c r="H33" s="14" t="s">
        <v>35</v>
      </c>
      <c r="I33" s="15" t="s">
        <v>1093</v>
      </c>
      <c r="J33" s="14" t="s">
        <v>35</v>
      </c>
      <c r="K33" s="15" t="s">
        <v>1094</v>
      </c>
      <c r="L33" s="14" t="s">
        <v>35</v>
      </c>
      <c r="M33" s="15" t="s">
        <v>1095</v>
      </c>
    </row>
    <row r="34" spans="1:13" ht="34.5" customHeight="1">
      <c r="A34" s="97"/>
      <c r="B34" s="14" t="s">
        <v>35</v>
      </c>
      <c r="C34" s="15" t="s">
        <v>1096</v>
      </c>
      <c r="D34" s="14" t="s">
        <v>35</v>
      </c>
      <c r="E34" s="15" t="s">
        <v>1097</v>
      </c>
      <c r="F34" s="14" t="s">
        <v>35</v>
      </c>
      <c r="G34" s="15" t="s">
        <v>1098</v>
      </c>
      <c r="H34" s="14" t="s">
        <v>35</v>
      </c>
      <c r="I34" s="15" t="s">
        <v>1099</v>
      </c>
      <c r="J34" s="14" t="s">
        <v>35</v>
      </c>
      <c r="K34" s="15" t="s">
        <v>1100</v>
      </c>
      <c r="L34" s="14" t="s">
        <v>35</v>
      </c>
      <c r="M34" s="15" t="s">
        <v>1101</v>
      </c>
    </row>
    <row r="35" spans="1:13" ht="34.5" customHeight="1">
      <c r="A35" s="97"/>
      <c r="B35" s="14" t="s">
        <v>38</v>
      </c>
      <c r="C35" s="15" t="s">
        <v>1102</v>
      </c>
      <c r="D35" s="14" t="s">
        <v>38</v>
      </c>
      <c r="E35" s="15" t="s">
        <v>1103</v>
      </c>
      <c r="F35" s="14" t="s">
        <v>38</v>
      </c>
      <c r="G35" s="15" t="s">
        <v>1104</v>
      </c>
      <c r="H35" s="14" t="s">
        <v>38</v>
      </c>
      <c r="I35" s="15" t="s">
        <v>111</v>
      </c>
      <c r="J35" s="14" t="s">
        <v>38</v>
      </c>
      <c r="K35" s="15" t="s">
        <v>1105</v>
      </c>
      <c r="L35" s="14" t="s">
        <v>38</v>
      </c>
      <c r="M35" s="15" t="s">
        <v>1106</v>
      </c>
    </row>
    <row r="36" spans="1:13" ht="34.5" customHeight="1">
      <c r="A36" s="97"/>
      <c r="B36" s="14" t="s">
        <v>72</v>
      </c>
      <c r="C36" s="15" t="s">
        <v>1107</v>
      </c>
      <c r="D36" s="14" t="s">
        <v>72</v>
      </c>
      <c r="E36" s="15" t="s">
        <v>1108</v>
      </c>
      <c r="F36" s="14" t="s">
        <v>72</v>
      </c>
      <c r="G36" s="15" t="s">
        <v>1109</v>
      </c>
      <c r="H36" s="14" t="s">
        <v>72</v>
      </c>
      <c r="I36" s="15" t="s">
        <v>1110</v>
      </c>
      <c r="J36" s="14" t="s">
        <v>72</v>
      </c>
      <c r="K36" s="15" t="s">
        <v>1111</v>
      </c>
      <c r="L36" s="14" t="s">
        <v>72</v>
      </c>
      <c r="M36" s="15" t="s">
        <v>1112</v>
      </c>
    </row>
    <row r="37" spans="1:13" ht="34.5" customHeight="1">
      <c r="A37" s="97"/>
      <c r="B37" s="14" t="s">
        <v>27</v>
      </c>
      <c r="C37" s="15" t="s">
        <v>1113</v>
      </c>
      <c r="D37" s="14" t="s">
        <v>27</v>
      </c>
      <c r="E37" s="15" t="s">
        <v>1114</v>
      </c>
      <c r="F37" s="14" t="s">
        <v>27</v>
      </c>
      <c r="G37" s="15" t="s">
        <v>1115</v>
      </c>
      <c r="H37" s="14" t="s">
        <v>27</v>
      </c>
      <c r="I37" s="15" t="s">
        <v>1116</v>
      </c>
      <c r="J37" s="14" t="s">
        <v>27</v>
      </c>
      <c r="K37" s="15" t="s">
        <v>1117</v>
      </c>
      <c r="L37" s="14" t="s">
        <v>27</v>
      </c>
      <c r="M37" s="15" t="s">
        <v>1118</v>
      </c>
    </row>
    <row r="38" spans="1:13" ht="34.5" customHeight="1">
      <c r="A38" s="97"/>
      <c r="B38" s="14" t="s">
        <v>70</v>
      </c>
      <c r="C38" s="15" t="s">
        <v>1119</v>
      </c>
      <c r="D38" s="14" t="s">
        <v>70</v>
      </c>
      <c r="E38" s="15" t="s">
        <v>1120</v>
      </c>
      <c r="F38" s="14" t="s">
        <v>70</v>
      </c>
      <c r="G38" s="15" t="s">
        <v>1121</v>
      </c>
      <c r="H38" s="14" t="s">
        <v>70</v>
      </c>
      <c r="I38" s="15" t="s">
        <v>1122</v>
      </c>
      <c r="J38" s="14" t="s">
        <v>70</v>
      </c>
      <c r="K38" s="15" t="s">
        <v>1123</v>
      </c>
      <c r="L38" s="14" t="s">
        <v>70</v>
      </c>
      <c r="M38" s="15" t="s">
        <v>1124</v>
      </c>
    </row>
    <row r="39" spans="1:13" ht="34.5" customHeight="1">
      <c r="A39" s="97"/>
      <c r="B39" s="14" t="s">
        <v>48</v>
      </c>
      <c r="C39" s="15" t="s">
        <v>1125</v>
      </c>
      <c r="D39" s="14" t="s">
        <v>48</v>
      </c>
      <c r="E39" s="15" t="s">
        <v>1126</v>
      </c>
      <c r="F39" s="14" t="s">
        <v>48</v>
      </c>
      <c r="G39" s="15" t="s">
        <v>1127</v>
      </c>
      <c r="H39" s="14" t="s">
        <v>48</v>
      </c>
      <c r="I39" s="15" t="s">
        <v>1128</v>
      </c>
      <c r="J39" s="14" t="s">
        <v>48</v>
      </c>
      <c r="K39" s="15" t="s">
        <v>1129</v>
      </c>
      <c r="L39" s="14" t="s">
        <v>48</v>
      </c>
      <c r="M39" s="15" t="s">
        <v>1130</v>
      </c>
    </row>
    <row r="40" spans="1:13" ht="34.5" customHeight="1">
      <c r="A40" s="97"/>
      <c r="B40" s="14" t="s">
        <v>50</v>
      </c>
      <c r="C40" s="15" t="s">
        <v>1131</v>
      </c>
      <c r="D40" s="14" t="s">
        <v>50</v>
      </c>
      <c r="E40" s="15" t="s">
        <v>1132</v>
      </c>
      <c r="F40" s="14" t="s">
        <v>50</v>
      </c>
      <c r="G40" s="15" t="s">
        <v>1133</v>
      </c>
      <c r="H40" s="14" t="s">
        <v>50</v>
      </c>
      <c r="I40" s="15" t="s">
        <v>1134</v>
      </c>
      <c r="J40" s="14" t="s">
        <v>50</v>
      </c>
      <c r="K40" s="15" t="s">
        <v>1135</v>
      </c>
      <c r="L40" s="14" t="s">
        <v>50</v>
      </c>
      <c r="M40" s="15" t="s">
        <v>1136</v>
      </c>
    </row>
    <row r="41" spans="1:13" ht="34.5" customHeight="1">
      <c r="A41" s="97"/>
      <c r="B41" s="14" t="s">
        <v>32</v>
      </c>
      <c r="C41" s="15" t="s">
        <v>1137</v>
      </c>
      <c r="D41" s="14" t="s">
        <v>32</v>
      </c>
      <c r="E41" s="15" t="s">
        <v>1138</v>
      </c>
      <c r="F41" s="14" t="s">
        <v>32</v>
      </c>
      <c r="G41" s="15" t="s">
        <v>1139</v>
      </c>
      <c r="H41" s="14" t="s">
        <v>32</v>
      </c>
      <c r="I41" s="15" t="s">
        <v>1140</v>
      </c>
      <c r="J41" s="14" t="s">
        <v>32</v>
      </c>
      <c r="K41" s="15" t="s">
        <v>1141</v>
      </c>
      <c r="L41" s="14" t="s">
        <v>32</v>
      </c>
      <c r="M41" s="15" t="s">
        <v>1142</v>
      </c>
    </row>
    <row r="42" spans="1:13" ht="34.5" customHeight="1">
      <c r="A42" s="98"/>
      <c r="B42" s="14" t="s">
        <v>25</v>
      </c>
      <c r="C42" s="15" t="s">
        <v>1143</v>
      </c>
      <c r="D42" s="14" t="s">
        <v>28</v>
      </c>
      <c r="E42" s="15" t="s">
        <v>230</v>
      </c>
      <c r="F42" s="14" t="s">
        <v>19</v>
      </c>
      <c r="G42" s="15" t="s">
        <v>1144</v>
      </c>
      <c r="H42" s="14" t="s">
        <v>25</v>
      </c>
      <c r="I42" s="15" t="s">
        <v>93</v>
      </c>
      <c r="J42" s="14" t="s">
        <v>19</v>
      </c>
      <c r="K42" s="15" t="s">
        <v>144</v>
      </c>
      <c r="L42" s="14" t="s">
        <v>38</v>
      </c>
      <c r="M42" s="15" t="s">
        <v>1145</v>
      </c>
    </row>
    <row r="43" spans="1:13" ht="34.5" customHeight="1">
      <c r="A43" s="112" t="s">
        <v>1146</v>
      </c>
      <c r="B43" s="16" t="s">
        <v>70</v>
      </c>
      <c r="C43" s="17" t="s">
        <v>1147</v>
      </c>
      <c r="D43" s="16" t="s">
        <v>70</v>
      </c>
      <c r="E43" s="17" t="s">
        <v>1148</v>
      </c>
      <c r="F43" s="16" t="s">
        <v>35</v>
      </c>
      <c r="G43" s="17" t="s">
        <v>1149</v>
      </c>
      <c r="H43" s="16" t="s">
        <v>35</v>
      </c>
      <c r="I43" s="17" t="s">
        <v>1150</v>
      </c>
      <c r="J43" s="16" t="s">
        <v>35</v>
      </c>
      <c r="K43" s="17" t="s">
        <v>1151</v>
      </c>
      <c r="L43" s="16" t="s">
        <v>35</v>
      </c>
      <c r="M43" s="17" t="s">
        <v>1152</v>
      </c>
    </row>
    <row r="44" spans="1:13" ht="34.5" customHeight="1">
      <c r="A44" s="97"/>
      <c r="B44" s="16" t="s">
        <v>35</v>
      </c>
      <c r="C44" s="17" t="s">
        <v>1153</v>
      </c>
      <c r="D44" s="16" t="s">
        <v>35</v>
      </c>
      <c r="E44" s="17" t="s">
        <v>1154</v>
      </c>
      <c r="F44" s="16" t="s">
        <v>35</v>
      </c>
      <c r="G44" s="17" t="s">
        <v>1155</v>
      </c>
      <c r="H44" s="16" t="s">
        <v>35</v>
      </c>
      <c r="I44" s="17" t="s">
        <v>1156</v>
      </c>
      <c r="J44" s="16" t="s">
        <v>35</v>
      </c>
      <c r="K44" s="17" t="s">
        <v>1157</v>
      </c>
      <c r="L44" s="16" t="s">
        <v>35</v>
      </c>
      <c r="M44" s="17" t="s">
        <v>1158</v>
      </c>
    </row>
    <row r="45" spans="1:13" ht="34.5" customHeight="1">
      <c r="A45" s="97"/>
      <c r="B45" s="16" t="s">
        <v>38</v>
      </c>
      <c r="C45" s="17" t="s">
        <v>1159</v>
      </c>
      <c r="D45" s="16" t="s">
        <v>38</v>
      </c>
      <c r="E45" s="17" t="s">
        <v>1160</v>
      </c>
      <c r="F45" s="16" t="s">
        <v>38</v>
      </c>
      <c r="G45" s="17" t="s">
        <v>1161</v>
      </c>
      <c r="H45" s="16" t="s">
        <v>38</v>
      </c>
      <c r="I45" s="17" t="s">
        <v>1162</v>
      </c>
      <c r="J45" s="16" t="s">
        <v>38</v>
      </c>
      <c r="K45" s="17" t="s">
        <v>1163</v>
      </c>
      <c r="L45" s="16" t="s">
        <v>38</v>
      </c>
      <c r="M45" s="17" t="s">
        <v>1164</v>
      </c>
    </row>
    <row r="46" spans="1:13" ht="34.5" customHeight="1">
      <c r="A46" s="97"/>
      <c r="B46" s="16" t="s">
        <v>72</v>
      </c>
      <c r="C46" s="17" t="s">
        <v>1165</v>
      </c>
      <c r="D46" s="16" t="s">
        <v>72</v>
      </c>
      <c r="E46" s="17" t="s">
        <v>1166</v>
      </c>
      <c r="F46" s="16" t="s">
        <v>72</v>
      </c>
      <c r="G46" s="17" t="s">
        <v>1167</v>
      </c>
      <c r="H46" s="16" t="s">
        <v>72</v>
      </c>
      <c r="I46" s="17" t="s">
        <v>1168</v>
      </c>
      <c r="J46" s="16" t="s">
        <v>72</v>
      </c>
      <c r="K46" s="17" t="s">
        <v>1169</v>
      </c>
      <c r="L46" s="16" t="s">
        <v>72</v>
      </c>
      <c r="M46" s="17" t="s">
        <v>1170</v>
      </c>
    </row>
    <row r="47" spans="1:13" ht="34.5" customHeight="1">
      <c r="A47" s="97"/>
      <c r="B47" s="16" t="s">
        <v>27</v>
      </c>
      <c r="C47" s="17" t="s">
        <v>1171</v>
      </c>
      <c r="D47" s="16" t="s">
        <v>27</v>
      </c>
      <c r="E47" s="17" t="s">
        <v>1172</v>
      </c>
      <c r="F47" s="16" t="s">
        <v>27</v>
      </c>
      <c r="G47" s="17" t="s">
        <v>1173</v>
      </c>
      <c r="H47" s="16" t="s">
        <v>27</v>
      </c>
      <c r="I47" s="17" t="s">
        <v>1174</v>
      </c>
      <c r="J47" s="16" t="s">
        <v>27</v>
      </c>
      <c r="K47" s="17" t="s">
        <v>1175</v>
      </c>
      <c r="L47" s="16" t="s">
        <v>27</v>
      </c>
      <c r="M47" s="17" t="s">
        <v>1176</v>
      </c>
    </row>
    <row r="48" spans="1:13" ht="34.5" customHeight="1">
      <c r="A48" s="97"/>
      <c r="B48" s="16" t="s">
        <v>70</v>
      </c>
      <c r="C48" s="17" t="s">
        <v>1177</v>
      </c>
      <c r="D48" s="16" t="s">
        <v>70</v>
      </c>
      <c r="E48" s="17" t="s">
        <v>1178</v>
      </c>
      <c r="F48" s="16" t="s">
        <v>70</v>
      </c>
      <c r="G48" s="17" t="s">
        <v>1179</v>
      </c>
      <c r="H48" s="16" t="s">
        <v>70</v>
      </c>
      <c r="I48" s="17" t="s">
        <v>1180</v>
      </c>
      <c r="J48" s="16" t="s">
        <v>70</v>
      </c>
      <c r="K48" s="17" t="s">
        <v>1181</v>
      </c>
      <c r="L48" s="16" t="s">
        <v>70</v>
      </c>
      <c r="M48" s="17" t="s">
        <v>1182</v>
      </c>
    </row>
    <row r="49" spans="1:13" ht="34.5" customHeight="1">
      <c r="A49" s="97"/>
      <c r="B49" s="16" t="s">
        <v>48</v>
      </c>
      <c r="C49" s="17" t="s">
        <v>1183</v>
      </c>
      <c r="D49" s="16" t="s">
        <v>48</v>
      </c>
      <c r="E49" s="17" t="s">
        <v>1184</v>
      </c>
      <c r="F49" s="16" t="s">
        <v>48</v>
      </c>
      <c r="G49" s="17" t="s">
        <v>1185</v>
      </c>
      <c r="H49" s="16" t="s">
        <v>48</v>
      </c>
      <c r="I49" s="17" t="s">
        <v>1186</v>
      </c>
      <c r="J49" s="16" t="s">
        <v>48</v>
      </c>
      <c r="K49" s="17" t="s">
        <v>1187</v>
      </c>
      <c r="L49" s="16" t="s">
        <v>48</v>
      </c>
      <c r="M49" s="17" t="s">
        <v>1188</v>
      </c>
    </row>
    <row r="50" spans="1:13" ht="34.5" customHeight="1">
      <c r="A50" s="97"/>
      <c r="B50" s="16" t="s">
        <v>50</v>
      </c>
      <c r="C50" s="17" t="s">
        <v>1189</v>
      </c>
      <c r="D50" s="16" t="s">
        <v>50</v>
      </c>
      <c r="E50" s="17" t="s">
        <v>1190</v>
      </c>
      <c r="F50" s="16" t="s">
        <v>50</v>
      </c>
      <c r="G50" s="17" t="s">
        <v>1191</v>
      </c>
      <c r="H50" s="16" t="s">
        <v>50</v>
      </c>
      <c r="I50" s="17" t="s">
        <v>1192</v>
      </c>
      <c r="J50" s="16" t="s">
        <v>50</v>
      </c>
      <c r="K50" s="17" t="s">
        <v>1193</v>
      </c>
      <c r="L50" s="16" t="s">
        <v>50</v>
      </c>
      <c r="M50" s="17" t="s">
        <v>1194</v>
      </c>
    </row>
    <row r="51" spans="1:13" ht="34.5" customHeight="1">
      <c r="A51" s="97"/>
      <c r="B51" s="16" t="s">
        <v>32</v>
      </c>
      <c r="C51" s="17" t="s">
        <v>1195</v>
      </c>
      <c r="D51" s="16" t="s">
        <v>32</v>
      </c>
      <c r="E51" s="17" t="s">
        <v>1196</v>
      </c>
      <c r="F51" s="16" t="s">
        <v>32</v>
      </c>
      <c r="G51" s="17" t="s">
        <v>1197</v>
      </c>
      <c r="H51" s="16" t="s">
        <v>32</v>
      </c>
      <c r="I51" s="17" t="s">
        <v>1198</v>
      </c>
      <c r="J51" s="16" t="s">
        <v>32</v>
      </c>
      <c r="K51" s="17" t="s">
        <v>1199</v>
      </c>
      <c r="L51" s="16" t="s">
        <v>32</v>
      </c>
      <c r="M51" s="17" t="s">
        <v>1200</v>
      </c>
    </row>
    <row r="52" spans="1:13" ht="34.5" customHeight="1">
      <c r="A52" s="98"/>
      <c r="B52" s="16" t="s">
        <v>19</v>
      </c>
      <c r="C52" s="17" t="s">
        <v>1201</v>
      </c>
      <c r="D52" s="16" t="s">
        <v>19</v>
      </c>
      <c r="E52" s="17" t="s">
        <v>1202</v>
      </c>
      <c r="F52" s="16" t="s">
        <v>41</v>
      </c>
      <c r="G52" s="17" t="s">
        <v>1203</v>
      </c>
      <c r="H52" s="16" t="s">
        <v>58</v>
      </c>
      <c r="I52" s="17" t="s">
        <v>1204</v>
      </c>
      <c r="J52" s="16" t="s">
        <v>38</v>
      </c>
      <c r="K52" s="17" t="s">
        <v>1205</v>
      </c>
      <c r="L52" s="16" t="s">
        <v>58</v>
      </c>
      <c r="M52" s="17" t="s">
        <v>1206</v>
      </c>
    </row>
    <row r="53" spans="1:13" ht="34.5" customHeight="1">
      <c r="A53" s="111" t="s">
        <v>1207</v>
      </c>
      <c r="B53" s="18" t="s">
        <v>35</v>
      </c>
      <c r="C53" s="19" t="s">
        <v>1208</v>
      </c>
      <c r="D53" s="18" t="s">
        <v>70</v>
      </c>
      <c r="E53" s="19" t="s">
        <v>1209</v>
      </c>
      <c r="F53" s="18" t="s">
        <v>35</v>
      </c>
      <c r="G53" s="19" t="s">
        <v>1210</v>
      </c>
      <c r="H53" s="18" t="s">
        <v>35</v>
      </c>
      <c r="I53" s="19" t="s">
        <v>1211</v>
      </c>
      <c r="J53" s="18" t="s">
        <v>35</v>
      </c>
      <c r="K53" s="19" t="s">
        <v>1212</v>
      </c>
      <c r="L53" s="18" t="s">
        <v>35</v>
      </c>
      <c r="M53" s="19" t="s">
        <v>1213</v>
      </c>
    </row>
    <row r="54" spans="1:13" ht="34.5" customHeight="1">
      <c r="A54" s="97"/>
      <c r="B54" s="18" t="s">
        <v>35</v>
      </c>
      <c r="C54" s="19" t="s">
        <v>1214</v>
      </c>
      <c r="D54" s="18" t="s">
        <v>35</v>
      </c>
      <c r="E54" s="19" t="s">
        <v>1215</v>
      </c>
      <c r="F54" s="18" t="s">
        <v>35</v>
      </c>
      <c r="G54" s="19" t="s">
        <v>1216</v>
      </c>
      <c r="H54" s="18" t="s">
        <v>35</v>
      </c>
      <c r="I54" s="19" t="s">
        <v>1217</v>
      </c>
      <c r="J54" s="18" t="s">
        <v>35</v>
      </c>
      <c r="K54" s="19" t="s">
        <v>1218</v>
      </c>
      <c r="L54" s="18" t="s">
        <v>35</v>
      </c>
      <c r="M54" s="19" t="s">
        <v>1219</v>
      </c>
    </row>
    <row r="55" spans="1:13" ht="34.5" customHeight="1">
      <c r="A55" s="97"/>
      <c r="B55" s="18" t="s">
        <v>38</v>
      </c>
      <c r="C55" s="19" t="s">
        <v>1220</v>
      </c>
      <c r="D55" s="18" t="s">
        <v>38</v>
      </c>
      <c r="E55" s="19" t="s">
        <v>1221</v>
      </c>
      <c r="F55" s="18" t="s">
        <v>38</v>
      </c>
      <c r="G55" s="19" t="s">
        <v>1222</v>
      </c>
      <c r="H55" s="18" t="s">
        <v>38</v>
      </c>
      <c r="I55" s="19" t="s">
        <v>1223</v>
      </c>
      <c r="J55" s="18" t="s">
        <v>38</v>
      </c>
      <c r="K55" s="19" t="s">
        <v>1224</v>
      </c>
      <c r="L55" s="18" t="s">
        <v>38</v>
      </c>
      <c r="M55" s="19" t="s">
        <v>1225</v>
      </c>
    </row>
    <row r="56" spans="1:13" ht="34.5" customHeight="1">
      <c r="A56" s="97"/>
      <c r="B56" s="18" t="s">
        <v>72</v>
      </c>
      <c r="C56" s="19" t="s">
        <v>1226</v>
      </c>
      <c r="D56" s="18" t="s">
        <v>72</v>
      </c>
      <c r="E56" s="19" t="s">
        <v>1227</v>
      </c>
      <c r="F56" s="18" t="s">
        <v>72</v>
      </c>
      <c r="G56" s="19" t="s">
        <v>1228</v>
      </c>
      <c r="H56" s="18" t="s">
        <v>72</v>
      </c>
      <c r="I56" s="19" t="s">
        <v>1229</v>
      </c>
      <c r="J56" s="18" t="s">
        <v>72</v>
      </c>
      <c r="K56" s="19" t="s">
        <v>1230</v>
      </c>
      <c r="L56" s="18" t="s">
        <v>72</v>
      </c>
      <c r="M56" s="19" t="s">
        <v>1231</v>
      </c>
    </row>
    <row r="57" spans="1:13" ht="34.5" customHeight="1">
      <c r="A57" s="97"/>
      <c r="B57" s="18" t="s">
        <v>27</v>
      </c>
      <c r="C57" s="19" t="s">
        <v>1232</v>
      </c>
      <c r="D57" s="18" t="s">
        <v>27</v>
      </c>
      <c r="E57" s="19" t="s">
        <v>1233</v>
      </c>
      <c r="F57" s="18" t="s">
        <v>27</v>
      </c>
      <c r="G57" s="19" t="s">
        <v>1234</v>
      </c>
      <c r="H57" s="18" t="s">
        <v>27</v>
      </c>
      <c r="I57" s="19" t="s">
        <v>1235</v>
      </c>
      <c r="J57" s="18" t="s">
        <v>27</v>
      </c>
      <c r="K57" s="19" t="s">
        <v>1236</v>
      </c>
      <c r="L57" s="18" t="s">
        <v>27</v>
      </c>
      <c r="M57" s="19" t="s">
        <v>1237</v>
      </c>
    </row>
    <row r="58" spans="1:13" ht="34.5" customHeight="1">
      <c r="A58" s="97"/>
      <c r="B58" s="18" t="s">
        <v>70</v>
      </c>
      <c r="C58" s="19" t="s">
        <v>1238</v>
      </c>
      <c r="D58" s="18" t="s">
        <v>70</v>
      </c>
      <c r="E58" s="19" t="s">
        <v>1239</v>
      </c>
      <c r="F58" s="18" t="s">
        <v>70</v>
      </c>
      <c r="G58" s="19" t="s">
        <v>1240</v>
      </c>
      <c r="H58" s="18" t="s">
        <v>70</v>
      </c>
      <c r="I58" s="19" t="s">
        <v>1241</v>
      </c>
      <c r="J58" s="18" t="s">
        <v>70</v>
      </c>
      <c r="K58" s="19" t="s">
        <v>1242</v>
      </c>
      <c r="L58" s="18" t="s">
        <v>70</v>
      </c>
      <c r="M58" s="19" t="s">
        <v>1243</v>
      </c>
    </row>
    <row r="59" spans="1:13" ht="34.5" customHeight="1">
      <c r="A59" s="97"/>
      <c r="B59" s="18" t="s">
        <v>48</v>
      </c>
      <c r="C59" s="19" t="s">
        <v>1244</v>
      </c>
      <c r="D59" s="18" t="s">
        <v>48</v>
      </c>
      <c r="E59" s="19" t="s">
        <v>1245</v>
      </c>
      <c r="F59" s="18" t="s">
        <v>48</v>
      </c>
      <c r="G59" s="19" t="s">
        <v>1246</v>
      </c>
      <c r="H59" s="18" t="s">
        <v>48</v>
      </c>
      <c r="I59" s="19" t="s">
        <v>1247</v>
      </c>
      <c r="J59" s="18" t="s">
        <v>48</v>
      </c>
      <c r="K59" s="19" t="s">
        <v>1248</v>
      </c>
      <c r="L59" s="18" t="s">
        <v>48</v>
      </c>
      <c r="M59" s="19" t="s">
        <v>1249</v>
      </c>
    </row>
    <row r="60" spans="1:13" ht="34.5" customHeight="1">
      <c r="A60" s="97"/>
      <c r="B60" s="18" t="s">
        <v>50</v>
      </c>
      <c r="C60" s="19" t="s">
        <v>1250</v>
      </c>
      <c r="D60" s="18" t="s">
        <v>50</v>
      </c>
      <c r="E60" s="19" t="s">
        <v>1251</v>
      </c>
      <c r="F60" s="18" t="s">
        <v>50</v>
      </c>
      <c r="G60" s="19" t="s">
        <v>1252</v>
      </c>
      <c r="H60" s="18" t="s">
        <v>50</v>
      </c>
      <c r="I60" s="19" t="s">
        <v>1253</v>
      </c>
      <c r="J60" s="18" t="s">
        <v>50</v>
      </c>
      <c r="K60" s="19" t="s">
        <v>1254</v>
      </c>
      <c r="L60" s="18" t="s">
        <v>50</v>
      </c>
      <c r="M60" s="19" t="s">
        <v>1255</v>
      </c>
    </row>
    <row r="61" spans="1:13" ht="34.5" customHeight="1">
      <c r="A61" s="97"/>
      <c r="B61" s="18" t="s">
        <v>32</v>
      </c>
      <c r="C61" s="19" t="s">
        <v>1256</v>
      </c>
      <c r="D61" s="18" t="s">
        <v>32</v>
      </c>
      <c r="E61" s="19" t="s">
        <v>1257</v>
      </c>
      <c r="F61" s="18" t="s">
        <v>32</v>
      </c>
      <c r="G61" s="19" t="s">
        <v>1258</v>
      </c>
      <c r="H61" s="18" t="s">
        <v>32</v>
      </c>
      <c r="I61" s="19" t="s">
        <v>1259</v>
      </c>
      <c r="J61" s="18" t="s">
        <v>32</v>
      </c>
      <c r="K61" s="19" t="s">
        <v>1260</v>
      </c>
      <c r="L61" s="18" t="s">
        <v>32</v>
      </c>
      <c r="M61" s="19" t="s">
        <v>1261</v>
      </c>
    </row>
    <row r="62" spans="1:13" ht="34.5" customHeight="1">
      <c r="A62" s="98"/>
      <c r="B62" s="18" t="s">
        <v>25</v>
      </c>
      <c r="C62" s="19" t="s">
        <v>721</v>
      </c>
      <c r="D62" s="18" t="s">
        <v>25</v>
      </c>
      <c r="E62" s="19" t="s">
        <v>1262</v>
      </c>
      <c r="F62" s="18" t="s">
        <v>28</v>
      </c>
      <c r="G62" s="19" t="s">
        <v>1263</v>
      </c>
      <c r="H62" s="18" t="s">
        <v>25</v>
      </c>
      <c r="I62" s="19" t="s">
        <v>1264</v>
      </c>
      <c r="J62" s="18" t="s">
        <v>38</v>
      </c>
      <c r="K62" s="19" t="s">
        <v>1265</v>
      </c>
      <c r="L62" s="18" t="s">
        <v>58</v>
      </c>
      <c r="M62" s="19" t="s">
        <v>1266</v>
      </c>
    </row>
  </sheetData>
  <mergeCells count="7">
    <mergeCell ref="A1:M1"/>
    <mergeCell ref="A53:A62"/>
    <mergeCell ref="A43:A52"/>
    <mergeCell ref="A3:A12"/>
    <mergeCell ref="A33:A42"/>
    <mergeCell ref="A13:A22"/>
    <mergeCell ref="A23:A32"/>
  </mergeCells>
  <dataValidations count="1">
    <dataValidation type="list" allowBlank="1" sqref="B3:B62 D3:D62 F3:F62 H3:H62 J3:J62 L3:L62" xr:uid="{00000000-0002-0000-0100-000000000000}">
      <formula1>$O$3:$O$23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3"/>
  <sheetViews>
    <sheetView topLeftCell="A5" zoomScale="10" zoomScaleNormal="10" workbookViewId="0">
      <selection activeCell="E12" sqref="E12"/>
    </sheetView>
  </sheetViews>
  <sheetFormatPr defaultColWidth="8.6328125" defaultRowHeight="14.5"/>
  <cols>
    <col min="1" max="16" width="38" customWidth="1"/>
    <col min="17" max="18" width="13" customWidth="1"/>
  </cols>
  <sheetData>
    <row r="1" spans="1:18" ht="27.75" customHeight="1">
      <c r="A1" s="118" t="s">
        <v>1267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7"/>
    </row>
    <row r="2" spans="1:18" ht="19.5" customHeight="1">
      <c r="A2" s="117" t="s">
        <v>1268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</row>
    <row r="3" spans="1:18" s="20" customFormat="1" ht="19.5" customHeight="1">
      <c r="A3" s="87" t="s">
        <v>25</v>
      </c>
      <c r="B3" s="87" t="s">
        <v>28</v>
      </c>
      <c r="C3" s="87" t="s">
        <v>27</v>
      </c>
      <c r="D3" s="87" t="s">
        <v>35</v>
      </c>
      <c r="E3" s="87" t="s">
        <v>38</v>
      </c>
      <c r="F3" s="87" t="s">
        <v>41</v>
      </c>
      <c r="G3" s="87" t="s">
        <v>43</v>
      </c>
      <c r="H3" s="87" t="s">
        <v>48</v>
      </c>
      <c r="I3" s="87" t="s">
        <v>50</v>
      </c>
      <c r="J3" s="87" t="s">
        <v>53</v>
      </c>
      <c r="K3" s="87" t="s">
        <v>32</v>
      </c>
      <c r="L3" s="87" t="s">
        <v>58</v>
      </c>
      <c r="M3" s="87" t="s">
        <v>62</v>
      </c>
      <c r="N3" s="87" t="s">
        <v>65</v>
      </c>
      <c r="O3" s="87" t="s">
        <v>68</v>
      </c>
      <c r="P3" s="87" t="s">
        <v>70</v>
      </c>
      <c r="Q3" s="87" t="s">
        <v>72</v>
      </c>
      <c r="R3" s="93" t="s">
        <v>76</v>
      </c>
    </row>
    <row r="4" spans="1:18" ht="34.5" customHeight="1">
      <c r="A4" s="21" t="str">
        <f t="array" ref="A4">IFERROR(IF(1&lt;=COUNTIF(ASCOPE_PMESII!$B$3:$B$62,"OE"),IFERROR(INDEX(ASCOPE_PMESII!$C$3:$C$62,_xlfn.AGGREGATE(15,6,(ROW(ASCOPE_PMESII!$B$3:$B$62)-ROW(ASCOPE_PMESII!$B$3)+1)/(ASCOPE_PMESII!$B$3:$B$62="OE"),1)),""),IF(1&lt;=(COUNTIF(ASCOPE_PMESII!$B$3:$B$62,"OE")+COUNTIF(ASCOPE_PMESII!$D$3:$D$62,"OE")),IFERROR(INDEX(ASCOPE_PMESII!$E$3:$E$62,_xlfn.AGGREGATE(15,6,(ROW(ASCOPE_PMESII!$D$3:$D$62)-ROW(ASCOPE_PMESII!$D$3)+1)/(ASCOPE_PMESII!$D$3:$D$62="OE"),1-(COUNTIF(ASCOPE_PMESII!$B$3:$B$62,"OE")))),""),IF(1&lt;=(COUNTIF(ASCOPE_PMESII!$B$3:$B$62,"OE")+COUNTIF(ASCOPE_PMESII!$D$3:$D$62,"OE")+COUNTIF(ASCOPE_PMESII!$F$3:$F$62,"OE")),IFERROR(INDEX(ASCOPE_PMESII!$G$3:$G$62,_xlfn.AGGREGATE(15,6,(ROW(ASCOPE_PMESII!$F$3:$F$62)-ROW(ASCOPE_PMESII!$F$3)+1)/(ASCOPE_PMESII!$F$3:$F$62="OE"),1-(COUNTIF(ASCOPE_PMESII!$B$3:$B$62,"OE")+COUNTIF(ASCOPE_PMESII!$D$3:$D$62,"OE")))),""),IF(1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1-(COUNTIF(ASCOPE_PMESII!$B$3:$B$62,"OE")+COUNTIF(ASCOPE_PMESII!$D$3:$D$62,"OE")+COUNTIF(ASCOPE_PMESII!$F$3:$F$62,"OE")))),""),IF(1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1-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1-(COUNTIF(ASCOPE_PMESII!$B$3:$B$62,"OE")+COUNTIF(ASCOPE_PMESII!$D$3:$D$62,"OE")+COUNTIF(ASCOPE_PMESII!$F$3:$F$62,"OE")+COUNTIF(ASCOPE_PMESII!$H$3:$H$62,"OE")+COUNTIF(ASCOPE_PMESII!$J$3:$J$62,"OE")))),"")))))),"")</f>
        <v>INFLUENCE key audiences</v>
      </c>
      <c r="B4" s="21" t="str">
        <f t="array" ref="B4">IFERROR(IF(1&lt;=COUNTIF(ASCOPE_PMESII!$B$3:$B$62,"OA"),IFERROR(INDEX(ASCOPE_PMESII!$C$3:$C$62,_xlfn.AGGREGATE(15,6,(ROW(ASCOPE_PMESII!$B$3:$B$62)-ROW(ASCOPE_PMESII!$B$3)+1)/(ASCOPE_PMESII!$B$3:$B$62="OA"),1)),""),IF(1&lt;=(COUNTIF(ASCOPE_PMESII!$B$3:$B$62,"OA")+COUNTIF(ASCOPE_PMESII!$D$3:$D$62,"OA")),IFERROR(INDEX(ASCOPE_PMESII!$E$3:$E$62,_xlfn.AGGREGATE(15,6,(ROW(ASCOPE_PMESII!$D$3:$D$62)-ROW(ASCOPE_PMESII!$D$3)+1)/(ASCOPE_PMESII!$D$3:$D$62="OA"),1-(COUNTIF(ASCOPE_PMESII!$B$3:$B$62,"OA")))),""),IF(1&lt;=(COUNTIF(ASCOPE_PMESII!$B$3:$B$62,"OA")+COUNTIF(ASCOPE_PMESII!$D$3:$D$62,"OA")+COUNTIF(ASCOPE_PMESII!$F$3:$F$62,"OA")),IFERROR(INDEX(ASCOPE_PMESII!$G$3:$G$62,_xlfn.AGGREGATE(15,6,(ROW(ASCOPE_PMESII!$F$3:$F$62)-ROW(ASCOPE_PMESII!$F$3)+1)/(ASCOPE_PMESII!$F$3:$F$62="OA"),1-(COUNTIF(ASCOPE_PMESII!$B$3:$B$62,"OA")+COUNTIF(ASCOPE_PMESII!$D$3:$D$62,"OA")))),""),IF(1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1-(COUNTIF(ASCOPE_PMESII!$B$3:$B$62,"OA")+COUNTIF(ASCOPE_PMESII!$D$3:$D$62,"OA")+COUNTIF(ASCOPE_PMESII!$F$3:$F$62,"OA")))),""),IF(1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1-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1-(COUNTIF(ASCOPE_PMESII!$B$3:$B$62,"OA")+COUNTIF(ASCOPE_PMESII!$D$3:$D$62,"OA")+COUNTIF(ASCOPE_PMESII!$F$3:$F$62,"OA")+COUNTIF(ASCOPE_PMESII!$H$3:$H$62,"OA")+COUNTIF(ASCOPE_PMESII!$J$3:$J$62,"OA")))),"")))))),"")</f>
        <v>ESCORT police, civil administration, port and energy authorities</v>
      </c>
      <c r="C4" s="21" t="str">
        <f t="array" ref="C4">IFERROR(IF(1&lt;=COUNTIF(ASCOPE_PMESII!$B$3:$B$62,"RISK"),IFERROR(INDEX(ASCOPE_PMESII!$C$3:$C$62,_xlfn.AGGREGATE(15,6,(ROW(ASCOPE_PMESII!$B$3:$B$62)-ROW(ASCOPE_PMESII!$B$3)+1)/(ASCOPE_PMESII!$B$3:$B$62="RISK"),1)),""),IF(1&lt;=(COUNTIF(ASCOPE_PMESII!$B$3:$B$62,"RISK")+COUNTIF(ASCOPE_PMESII!$D$3:$D$62,"RISK")),IFERROR(INDEX(ASCOPE_PMESII!$E$3:$E$62,_xlfn.AGGREGATE(15,6,(ROW(ASCOPE_PMESII!$D$3:$D$62)-ROW(ASCOPE_PMESII!$D$3)+1)/(ASCOPE_PMESII!$D$3:$D$62="RISK"),1-(COUNTIF(ASCOPE_PMESII!$B$3:$B$62,"RISK")))),""),IF(1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1-(COUNTIF(ASCOPE_PMESII!$B$3:$B$62,"RISK")+COUNTIF(ASCOPE_PMESII!$D$3:$D$62,"RISK")))),""),IF(1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1-(COUNTIF(ASCOPE_PMESII!$B$3:$B$62,"RISK")+COUNTIF(ASCOPE_PMESII!$D$3:$D$62,"RISK")+COUNTIF(ASCOPE_PMESII!$F$3:$F$62,"RISK")))),""),IF(1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1-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1-(COUNTIF(ASCOPE_PMESII!$B$3:$B$62,"RISK")+COUNTIF(ASCOPE_PMESII!$D$3:$D$62,"RISK")+COUNTIF(ASCOPE_PMESII!$F$3:$F$62,"RISK")+COUNTIF(ASCOPE_PMESII!$H$3:$H$62,"RISK")+COUNTIF(ASCOPE_PMESII!$J$3:$J$62,"RISK")))),"")))))),"")</f>
        <v>Heavy NATO footprint can validate IRS narrative</v>
      </c>
      <c r="D4" s="21" t="str">
        <f t="array" ref="D4">IFERROR(IF(1&lt;=COUNTIF(ASCOPE_PMESII!$B$3:$B$62,"CV"),IFERROR(INDEX(ASCOPE_PMESII!$C$3:$C$62,_xlfn.AGGREGATE(15,6,(ROW(ASCOPE_PMESII!$B$3:$B$62)-ROW(ASCOPE_PMESII!$B$3)+1)/(ASCOPE_PMESII!$B$3:$B$62="CV"),1)),""),IF(1&lt;=(COUNTIF(ASCOPE_PMESII!$B$3:$B$62,"CV")+COUNTIF(ASCOPE_PMESII!$D$3:$D$62,"CV")),IFERROR(INDEX(ASCOPE_PMESII!$E$3:$E$62,_xlfn.AGGREGATE(15,6,(ROW(ASCOPE_PMESII!$D$3:$D$62)-ROW(ASCOPE_PMESII!$D$3)+1)/(ASCOPE_PMESII!$D$3:$D$62="CV"),1-(COUNTIF(ASCOPE_PMESII!$B$3:$B$62,"CV")))),""),IF(1&lt;=(COUNTIF(ASCOPE_PMESII!$B$3:$B$62,"CV")+COUNTIF(ASCOPE_PMESII!$D$3:$D$62,"CV")+COUNTIF(ASCOPE_PMESII!$F$3:$F$62,"CV")),IFERROR(INDEX(ASCOPE_PMESII!$G$3:$G$62,_xlfn.AGGREGATE(15,6,(ROW(ASCOPE_PMESII!$F$3:$F$62)-ROW(ASCOPE_PMESII!$F$3)+1)/(ASCOPE_PMESII!$F$3:$F$62="CV"),1-(COUNTIF(ASCOPE_PMESII!$B$3:$B$62,"CV")+COUNTIF(ASCOPE_PMESII!$D$3:$D$62,"CV")))),""),IF(1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1-(COUNTIF(ASCOPE_PMESII!$B$3:$B$62,"CV")+COUNTIF(ASCOPE_PMESII!$D$3:$D$62,"CV")+COUNTIF(ASCOPE_PMESII!$F$3:$F$62,"CV")))),""),IF(1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1-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1-(COUNTIF(ASCOPE_PMESII!$B$3:$B$62,"CV")+COUNTIF(ASCOPE_PMESII!$D$3:$D$62,"CV")+COUNTIF(ASCOPE_PMESII!$F$3:$F$62,"CV")+COUNTIF(ASCOPE_PMESII!$H$3:$H$62,"CV")+COUNTIF(ASCOPE_PMESII!$J$3:$J$62,"CV")))),"")))))),"")</f>
        <v>Jakarta authority has collapsed across N Sumatra</v>
      </c>
      <c r="E4" s="21" t="str">
        <f t="array" ref="E4">IFERROR(IF(1&lt;=COUNTIF(ASCOPE_PMESII!$B$3:$B$62,"COR"),IFERROR(INDEX(ASCOPE_PMESII!$C$3:$C$62,_xlfn.AGGREGATE(15,6,(ROW(ASCOPE_PMESII!$B$3:$B$62)-ROW(ASCOPE_PMESII!$B$3)+1)/(ASCOPE_PMESII!$B$3:$B$62="COR"),1)),""),IF(1&lt;=(COUNTIF(ASCOPE_PMESII!$B$3:$B$62,"COR")+COUNTIF(ASCOPE_PMESII!$D$3:$D$62,"COR")),IFERROR(INDEX(ASCOPE_PMESII!$E$3:$E$62,_xlfn.AGGREGATE(15,6,(ROW(ASCOPE_PMESII!$D$3:$D$62)-ROW(ASCOPE_PMESII!$D$3)+1)/(ASCOPE_PMESII!$D$3:$D$62="COR"),1-(COUNTIF(ASCOPE_PMESII!$B$3:$B$62,"COR")))),""),IF(1&lt;=(COUNTIF(ASCOPE_PMESII!$B$3:$B$62,"COR")+COUNTIF(ASCOPE_PMESII!$D$3:$D$62,"COR")+COUNTIF(ASCOPE_PMESII!$F$3:$F$62,"COR")),IFERROR(INDEX(ASCOPE_PMESII!$G$3:$G$62,_xlfn.AGGREGATE(15,6,(ROW(ASCOPE_PMESII!$F$3:$F$62)-ROW(ASCOPE_PMESII!$F$3)+1)/(ASCOPE_PMESII!$F$3:$F$62="COR"),1-(COUNTIF(ASCOPE_PMESII!$B$3:$B$62,"COR")+COUNTIF(ASCOPE_PMESII!$D$3:$D$62,"COR")))),""),IF(1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1-(COUNTIF(ASCOPE_PMESII!$B$3:$B$62,"COR")+COUNTIF(ASCOPE_PMESII!$D$3:$D$62,"COR")+COUNTIF(ASCOPE_PMESII!$F$3:$F$62,"COR")))),""),IF(1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1-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1-(COUNTIF(ASCOPE_PMESII!$B$3:$B$62,"COR")+COUNTIF(ASCOPE_PMESII!$D$3:$D$62,"COR")+COUNTIF(ASCOPE_PMESII!$F$3:$F$62,"COR")+COUNTIF(ASCOPE_PMESII!$H$3:$H$62,"COR")+COUNTIF(ASCOPE_PMESII!$J$3:$J$62,"COR")))),"")))))),"")</f>
        <v>Support GoIND sovereignty without Java-centric framing</v>
      </c>
      <c r="F4" s="21" t="str">
        <f t="array" ref="F4">IFERROR(IF(1&lt;=COUNTIF(ASCOPE_PMESII!$B$3:$B$62,"REQT"),IFERROR(INDEX(ASCOPE_PMESII!$C$3:$C$62,_xlfn.AGGREGATE(15,6,(ROW(ASCOPE_PMESII!$B$3:$B$62)-ROW(ASCOPE_PMESII!$B$3)+1)/(ASCOPE_PMESII!$B$3:$B$62="REQT"),1)),""),IF(1&lt;=(COUNTIF(ASCOPE_PMESII!$B$3:$B$62,"REQT")+COUNTIF(ASCOPE_PMESII!$D$3:$D$62,"REQT")),IFERROR(INDEX(ASCOPE_PMESII!$E$3:$E$62,_xlfn.AGGREGATE(15,6,(ROW(ASCOPE_PMESII!$D$3:$D$62)-ROW(ASCOPE_PMESII!$D$3)+1)/(ASCOPE_PMESII!$D$3:$D$62="REQT"),1-(COUNTIF(ASCOPE_PMESII!$B$3:$B$62,"REQT")))),""),IF(1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1-(COUNTIF(ASCOPE_PMESII!$B$3:$B$62,"REQT")+COUNTIF(ASCOPE_PMESII!$D$3:$D$62,"REQT")))),""),IF(1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1-(COUNTIF(ASCOPE_PMESII!$B$3:$B$62,"REQT")+COUNTIF(ASCOPE_PMESII!$D$3:$D$62,"REQT")+COUNTIF(ASCOPE_PMESII!$F$3:$F$62,"REQT")))),""),IF(1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1-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1-(COUNTIF(ASCOPE_PMESII!$B$3:$B$62,"REQT")+COUNTIF(ASCOPE_PMESII!$D$3:$D$62,"REQT")+COUNTIF(ASCOPE_PMESII!$F$3:$F$62,"REQT")+COUNTIF(ASCOPE_PMESII!$H$3:$H$62,"REQT")+COUNTIF(ASCOPE_PMESII!$J$3:$J$62,"REQT")))),"")))))),"")</f>
        <v>Engineers and RSOI forces required early</v>
      </c>
      <c r="G4" s="21" t="str">
        <f t="array" ref="G4">IFERROR(IF(1&lt;=COUNTIF(ASCOPE_PMESII!$B$3:$B$62,"REST"),IFERROR(INDEX(ASCOPE_PMESII!$C$3:$C$62,_xlfn.AGGREGATE(15,6,(ROW(ASCOPE_PMESII!$B$3:$B$62)-ROW(ASCOPE_PMESII!$B$3)+1)/(ASCOPE_PMESII!$B$3:$B$62="REST"),1)),""),IF(1&lt;=(COUNTIF(ASCOPE_PMESII!$B$3:$B$62,"REST")+COUNTIF(ASCOPE_PMESII!$D$3:$D$62,"REST")),IFERROR(INDEX(ASCOPE_PMESII!$E$3:$E$62,_xlfn.AGGREGATE(15,6,(ROW(ASCOPE_PMESII!$D$3:$D$62)-ROW(ASCOPE_PMESII!$D$3)+1)/(ASCOPE_PMESII!$D$3:$D$62="REST"),1-(COUNTIF(ASCOPE_PMESII!$B$3:$B$62,"REST")))),""),IF(1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1-(COUNTIF(ASCOPE_PMESII!$B$3:$B$62,"REST")+COUNTIF(ASCOPE_PMESII!$D$3:$D$62,"REST")))),""),IF(1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1-(COUNTIF(ASCOPE_PMESII!$B$3:$B$62,"REST")+COUNTIF(ASCOPE_PMESII!$D$3:$D$62,"REST")+COUNTIF(ASCOPE_PMESII!$F$3:$F$62,"REST")))),""),IF(1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1-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1-(COUNTIF(ASCOPE_PMESII!$B$3:$B$62,"REST")+COUNTIF(ASCOPE_PMESII!$D$3:$D$62,"REST")+COUNTIF(ASCOPE_PMESII!$F$3:$F$62,"REST")+COUNTIF(ASCOPE_PMESII!$H$3:$H$62,"REST")+COUNTIF(ASCOPE_PMESII!$J$3:$J$62,"REST")))),"")))))),"")</f>
        <v/>
      </c>
      <c r="H4" s="21" t="str">
        <f t="array" ref="H4">IFERROR(IF(1&lt;=COUNTIF(ASCOPE_PMESII!$B$3:$B$62,"KCD-MUST"),IFERROR(INDEX(ASCOPE_PMESII!$C$3:$C$62,_xlfn.AGGREGATE(15,6,(ROW(ASCOPE_PMESII!$B$3:$B$62)-ROW(ASCOPE_PMESII!$B$3)+1)/(ASCOPE_PMESII!$B$3:$B$62="KCD-MUST"),1)),""),IF(1&lt;=(COUNTIF(ASCOPE_PMESII!$B$3:$B$62,"KCD-MUST")+COUNTIF(ASCOPE_PMESII!$D$3:$D$62,"KCD-MUST")),IFERROR(INDEX(ASCOPE_PMESII!$E$3:$E$62,_xlfn.AGGREGATE(15,6,(ROW(ASCOPE_PMESII!$D$3:$D$62)-ROW(ASCOPE_PMESII!$D$3)+1)/(ASCOPE_PMESII!$D$3:$D$62="KCD-MUST"),1-(COUNTIF(ASCOPE_PMESII!$B$3:$B$62,"KCD-MUST")))),""),IF(1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1-(COUNTIF(ASCOPE_PMESII!$B$3:$B$62,"KCD-MUST")+COUNTIF(ASCOPE_PMESII!$D$3:$D$62,"KCD-MUST")))),""),IF(1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1-(COUNTIF(ASCOPE_PMESII!$B$3:$B$62,"KCD-MUST")+COUNTIF(ASCOPE_PMESII!$D$3:$D$62,"KCD-MUST")+COUNTIF(ASCOPE_PMESII!$F$3:$F$62,"KCD-MUST")))),""),IF(1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1-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1-(COUNTIF(ASCOPE_PMESII!$B$3:$B$62,"KCD-MUST")+COUNTIF(ASCOPE_PMESII!$D$3:$D$62,"KCD-MUST")+COUNTIF(ASCOPE_PMESII!$F$3:$F$62,"KCD-MUST")+COUNTIF(ASCOPE_PMESII!$H$3:$H$62,"KCD-MUST")+COUNTIF(ASCOPE_PMESII!$J$3:$J$62,"KCD-MUST")))),"")))))),"")</f>
        <v>NATO must restore territorial integrity, not occupy Sumatra</v>
      </c>
      <c r="I4" s="21" t="str">
        <f t="array" ref="I4">IFERROR(IF(1&lt;=COUNTIF(ASCOPE_PMESII!$B$3:$B$62,"KCD-SHOULD"),IFERROR(INDEX(ASCOPE_PMESII!$C$3:$C$62,_xlfn.AGGREGATE(15,6,(ROW(ASCOPE_PMESII!$B$3:$B$62)-ROW(ASCOPE_PMESII!$B$3)+1)/(ASCOPE_PMESII!$B$3:$B$62="KCD-SHOULD"),1)),""),IF(1&lt;=(COUNTIF(ASCOPE_PMESII!$B$3:$B$62,"KCD-SHOULD")+COUNTIF(ASCOPE_PMESII!$D$3:$D$62,"KCD-SHOULD")),IFERROR(INDEX(ASCOPE_PMESII!$E$3:$E$62,_xlfn.AGGREGATE(15,6,(ROW(ASCOPE_PMESII!$D$3:$D$62)-ROW(ASCOPE_PMESII!$D$3)+1)/(ASCOPE_PMESII!$D$3:$D$62="KCD-SHOULD"),1-(COUNTIF(ASCOPE_PMESII!$B$3:$B$62,"KCD-SHOULD")))),""),IF(1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1-(COUNTIF(ASCOPE_PMESII!$B$3:$B$62,"KCD-SHOULD")+COUNTIF(ASCOPE_PMESII!$D$3:$D$62,"KCD-SHOULD")))),""),IF(1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1-(COUNTIF(ASCOPE_PMESII!$B$3:$B$62,"KCD-SHOULD")+COUNTIF(ASCOPE_PMESII!$D$3:$D$62,"KCD-SHOULD")+COUNTIF(ASCOPE_PMESII!$F$3:$F$62,"KCD-SHOULD")))),""),IF(1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1-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1-(COUNTIF(ASCOPE_PMESII!$B$3:$B$62,"KCD-SHOULD")+COUNTIF(ASCOPE_PMESII!$D$3:$D$62,"KCD-SHOULD")+COUNTIF(ASCOPE_PMESII!$F$3:$F$62,"KCD-SHOULD")+COUNTIF(ASCOPE_PMESII!$H$3:$H$62,"KCD-SHOULD")+COUNTIF(ASCOPE_PMESII!$J$3:$J$62,"KCD-SHOULD")))),"")))))),"")</f>
        <v>Support visible GoIND lead at secured nodes</v>
      </c>
      <c r="J4" s="21" t="str">
        <f t="array" ref="J4">IFERROR(IF(1&lt;=COUNTIF(ASCOPE_PMESII!$B$3:$B$62,"KCD-SHOULD NOT"),IFERROR(INDEX(ASCOPE_PMESII!$C$3:$C$62,_xlfn.AGGREGATE(15,6,(ROW(ASCOPE_PMESII!$B$3:$B$62)-ROW(ASCOPE_PMESII!$B$3)+1)/(ASCOPE_PMESII!$B$3:$B$62="KCD-SHOULD NOT"),1)),""),IF(1&lt;=(COUNTIF(ASCOPE_PMESII!$B$3:$B$62,"KCD-SHOULD NOT")+COUNTIF(ASCOPE_PMESII!$D$3:$D$62,"KCD-SHOULD NOT")),IFERROR(INDEX(ASCOPE_PMESII!$E$3:$E$62,_xlfn.AGGREGATE(15,6,(ROW(ASCOPE_PMESII!$D$3:$D$62)-ROW(ASCOPE_PMESII!$D$3)+1)/(ASCOPE_PMESII!$D$3:$D$62="KCD-SHOULD NOT"),1-(COUNTIF(ASCOPE_PMESII!$B$3:$B$62,"KCD-SHOULD NOT")))),""),IF(1&lt;=(COUNTIF(ASCOPE_PMESII!$B$3:$B$62,"KCD-SHOULD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NOT"),1-(COUNTIF(ASCOPE_PMESII!$B$3:$B$62,"KCD-SHOULD NOT")+COUNTIF(ASCOPE_PMESII!$D$3:$D$62,"KCD-SHOULD NOT")))),""),IF(1&lt;=(COUNTIF(ASCOPE_PMESII!$B$3:$B$62,"KCD-SHOULD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NOT"),1-(COUNTIF(ASCOPE_PMESII!$B$3:$B$62,"KCD-SHOULD NOT")+COUNTIF(ASCOPE_PMESII!$D$3:$D$62,"KCD-SHOULD NOT")+COUNTIF(ASCOPE_PMESII!$F$3:$F$62,"KCD-SHOULD NOT")))),""),IF(1&lt;=(COUNTIF(ASCOPE_PMESII!$B$3:$B$62,"KCD-SHOULD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NOT"),1-(COUNTIF(ASCOPE_PMESII!$B$3:$B$62,"KCD-SHOULD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NOT"),1-(COUNTIF(ASCOPE_PMESII!$B$3:$B$62,"KCD-SHOULD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4" s="21" t="str">
        <f t="array" ref="K4">IFERROR(IF(1&lt;=COUNTIF(ASCOPE_PMESII!$B$3:$B$62,"KCD-CANNOT"),IFERROR(INDEX(ASCOPE_PMESII!$C$3:$C$62,_xlfn.AGGREGATE(15,6,(ROW(ASCOPE_PMESII!$B$3:$B$62)-ROW(ASCOPE_PMESII!$B$3)+1)/(ASCOPE_PMESII!$B$3:$B$62="KCD-CANNOT"),1)),""),IF(1&lt;=(COUNTIF(ASCOPE_PMESII!$B$3:$B$62,"KCD-CANNOT")+COUNTIF(ASCOPE_PMESII!$D$3:$D$62,"KCD-CANNOT")),IFERROR(INDEX(ASCOPE_PMESII!$E$3:$E$62,_xlfn.AGGREGATE(15,6,(ROW(ASCOPE_PMESII!$D$3:$D$62)-ROW(ASCOPE_PMESII!$D$3)+1)/(ASCOPE_PMESII!$D$3:$D$62="KCD-CANNOT"),1-(COUNTIF(ASCOPE_PMESII!$B$3:$B$62,"KCD-CANNOT")))),""),IF(1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1-(COUNTIF(ASCOPE_PMESII!$B$3:$B$62,"KCD-CANNOT")+COUNTIF(ASCOPE_PMESII!$D$3:$D$62,"KCD-CANNOT")))),""),IF(1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1-(COUNTIF(ASCOPE_PMESII!$B$3:$B$62,"KCD-CANNOT")+COUNTIF(ASCOPE_PMESII!$D$3:$D$62,"KCD-CANNOT")+COUNTIF(ASCOPE_PMESII!$F$3:$F$62,"KCD-CANNOT")))),""),IF(1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1-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1-(COUNTIF(ASCOPE_PMESII!$B$3:$B$62,"KCD-CANNOT")+COUNTIF(ASCOPE_PMESII!$D$3:$D$62,"KCD-CANNOT")+COUNTIF(ASCOPE_PMESII!$F$3:$F$62,"KCD-CANNOT")+COUNTIF(ASCOPE_PMESII!$H$3:$H$62,"KCD-CANNOT")+COUNTIF(ASCOPE_PMESII!$J$3:$J$62,"KCD-CANNOT")))),"")))))),"")</f>
        <v>Cannot treat Sumatra as uniform political terrain</v>
      </c>
      <c r="L4" s="21" t="str">
        <f t="array" ref="L4">IFERROR(IF(1&lt;=COUNTIF(ASCOPE_PMESII!$B$3:$B$62,"DECISION"),IFERROR(INDEX(ASCOPE_PMESII!$C$3:$C$62,_xlfn.AGGREGATE(15,6,(ROW(ASCOPE_PMESII!$B$3:$B$62)-ROW(ASCOPE_PMESII!$B$3)+1)/(ASCOPE_PMESII!$B$3:$B$62="DECISION"),1)),""),IF(1&lt;=(COUNTIF(ASCOPE_PMESII!$B$3:$B$62,"DECISION")+COUNTIF(ASCOPE_PMESII!$D$3:$D$62,"DECISION")),IFERROR(INDEX(ASCOPE_PMESII!$E$3:$E$62,_xlfn.AGGREGATE(15,6,(ROW(ASCOPE_PMESII!$D$3:$D$62)-ROW(ASCOPE_PMESII!$D$3)+1)/(ASCOPE_PMESII!$D$3:$D$62="DECISION"),1-(COUNTIF(ASCOPE_PMESII!$B$3:$B$62,"DECISION")))),""),IF(1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1-(COUNTIF(ASCOPE_PMESII!$B$3:$B$62,"DECISION")+COUNTIF(ASCOPE_PMESII!$D$3:$D$62,"DECISION")))),""),IF(1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1-(COUNTIF(ASCOPE_PMESII!$B$3:$B$62,"DECISION")+COUNTIF(ASCOPE_PMESII!$D$3:$D$62,"DECISION")+COUNTIF(ASCOPE_PMESII!$F$3:$F$62,"DECISION")))),""),IF(1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1-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1-(COUNTIF(ASCOPE_PMESII!$B$3:$B$62,"DECISION")+COUNTIF(ASCOPE_PMESII!$D$3:$D$62,"DECISION")+COUNTIF(ASCOPE_PMESII!$F$3:$F$62,"DECISION")+COUNTIF(ASCOPE_PMESII!$H$3:$H$62,"DECISION")+COUNTIF(ASCOPE_PMESII!$J$3:$J$62,"DECISION")))),"")))))),"")</f>
        <v>COM needs access priority and HNS risk decision</v>
      </c>
      <c r="M4" s="21" t="str">
        <f t="array" ref="M4">IFERROR(IF(1&lt;=COUNTIF(ASCOPE_PMESII!$B$3:$B$62,"ASSUMPTION"),IFERROR(INDEX(ASCOPE_PMESII!$C$3:$C$62,_xlfn.AGGREGATE(15,6,(ROW(ASCOPE_PMESII!$B$3:$B$62)-ROW(ASCOPE_PMESII!$B$3)+1)/(ASCOPE_PMESII!$B$3:$B$62="ASSUMPTION"),1)),""),IF(1&lt;=(COUNTIF(ASCOPE_PMESII!$B$3:$B$62,"ASSUMPTION")+COUNTIF(ASCOPE_PMESII!$D$3:$D$62,"ASSUMPTION")),IFERROR(INDEX(ASCOPE_PMESII!$E$3:$E$62,_xlfn.AGGREGATE(15,6,(ROW(ASCOPE_PMESII!$D$3:$D$62)-ROW(ASCOPE_PMESII!$D$3)+1)/(ASCOPE_PMESII!$D$3:$D$62="ASSUMPTION"),1-(COUNTIF(ASCOPE_PMESII!$B$3:$B$62,"ASSUMPTION")))),""),IF(1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1-(COUNTIF(ASCOPE_PMESII!$B$3:$B$62,"ASSUMPTION")+COUNTIF(ASCOPE_PMESII!$D$3:$D$62,"ASSUMPTION")))),""),IF(1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1-(COUNTIF(ASCOPE_PMESII!$B$3:$B$62,"ASSUMPTION")+COUNTIF(ASCOPE_PMESII!$D$3:$D$62,"ASSUMPTION")+COUNTIF(ASCOPE_PMESII!$F$3:$F$62,"ASSUMPTION")))),""),IF(1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1-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1-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4" s="21" t="str">
        <f t="array" ref="N4">IFERROR(IF(1&lt;=COUNTIF(ASCOPE_PMESII!$B$3:$B$62,"CONSTRAINT"),IFERROR(INDEX(ASCOPE_PMESII!$C$3:$C$62,_xlfn.AGGREGATE(15,6,(ROW(ASCOPE_PMESII!$B$3:$B$62)-ROW(ASCOPE_PMESII!$B$3)+1)/(ASCOPE_PMESII!$B$3:$B$62="CONSTRAINT"),1)),""),IF(1&lt;=(COUNTIF(ASCOPE_PMESII!$B$3:$B$62,"CONSTRAINT")+COUNTIF(ASCOPE_PMESII!$D$3:$D$62,"CONSTRAINT")),IFERROR(INDEX(ASCOPE_PMESII!$E$3:$E$62,_xlfn.AGGREGATE(15,6,(ROW(ASCOPE_PMESII!$D$3:$D$62)-ROW(ASCOPE_PMESII!$D$3)+1)/(ASCOPE_PMESII!$D$3:$D$62="CONSTRAINT"),1-(COUNTIF(ASCOPE_PMESII!$B$3:$B$62,"CONSTRAINT")))),""),IF(1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1-(COUNTIF(ASCOPE_PMESII!$B$3:$B$62,"CONSTRAINT")+COUNTIF(ASCOPE_PMESII!$D$3:$D$62,"CONSTRAINT")))),""),IF(1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1-(COUNTIF(ASCOPE_PMESII!$B$3:$B$62,"CONSTRAINT")+COUNTIF(ASCOPE_PMESII!$D$3:$D$62,"CONSTRAINT")+COUNTIF(ASCOPE_PMESII!$F$3:$F$62,"CONSTRAINT")))),""),IF(1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1-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1-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4" s="21" t="str">
        <f t="array" ref="O4">IFERROR(IF(1&lt;=COUNTIF(ASCOPE_PMESII!$B$3:$B$62,"LIMITATION"),IFERROR(INDEX(ASCOPE_PMESII!$C$3:$C$62,_xlfn.AGGREGATE(15,6,(ROW(ASCOPE_PMESII!$B$3:$B$62)-ROW(ASCOPE_PMESII!$B$3)+1)/(ASCOPE_PMESII!$B$3:$B$62="LIMITATION"),1)),""),IF(1&lt;=(COUNTIF(ASCOPE_PMESII!$B$3:$B$62,"LIMITATION")+COUNTIF(ASCOPE_PMESII!$D$3:$D$62,"LIMITATION")),IFERROR(INDEX(ASCOPE_PMESII!$E$3:$E$62,_xlfn.AGGREGATE(15,6,(ROW(ASCOPE_PMESII!$D$3:$D$62)-ROW(ASCOPE_PMESII!$D$3)+1)/(ASCOPE_PMESII!$D$3:$D$62="LIMITATION"),1-(COUNTIF(ASCOPE_PMESII!$B$3:$B$62,"LIMITATION")))),""),IF(1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1-(COUNTIF(ASCOPE_PMESII!$B$3:$B$62,"LIMITATION")+COUNTIF(ASCOPE_PMESII!$D$3:$D$62,"LIMITATION")))),""),IF(1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1-(COUNTIF(ASCOPE_PMESII!$B$3:$B$62,"LIMITATION")+COUNTIF(ASCOPE_PMESII!$D$3:$D$62,"LIMITATION")+COUNTIF(ASCOPE_PMESII!$F$3:$F$62,"LIMITATION")))),""),IF(1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1-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1-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4" s="21" t="str">
        <f t="array" ref="P4">IFERROR(IF(1&lt;=COUNTIF(ASCOPE_PMESII!$B$3:$B$62,"CC"),IFERROR(INDEX(ASCOPE_PMESII!$C$3:$C$62,_xlfn.AGGREGATE(15,6,(ROW(ASCOPE_PMESII!$B$3:$B$62)-ROW(ASCOPE_PMESII!$B$3)+1)/(ASCOPE_PMESII!$B$3:$B$62="CC"),1)),""),IF(1&lt;=(COUNTIF(ASCOPE_PMESII!$B$3:$B$62,"CC")+COUNTIF(ASCOPE_PMESII!$D$3:$D$62,"CC")),IFERROR(INDEX(ASCOPE_PMESII!$E$3:$E$62,_xlfn.AGGREGATE(15,6,(ROW(ASCOPE_PMESII!$D$3:$D$62)-ROW(ASCOPE_PMESII!$D$3)+1)/(ASCOPE_PMESII!$D$3:$D$62="CC"),1-(COUNTIF(ASCOPE_PMESII!$B$3:$B$62,"CC")))),""),IF(1&lt;=(COUNTIF(ASCOPE_PMESII!$B$3:$B$62,"CC")+COUNTIF(ASCOPE_PMESII!$D$3:$D$62,"CC")+COUNTIF(ASCOPE_PMESII!$F$3:$F$62,"CC")),IFERROR(INDEX(ASCOPE_PMESII!$G$3:$G$62,_xlfn.AGGREGATE(15,6,(ROW(ASCOPE_PMESII!$F$3:$F$62)-ROW(ASCOPE_PMESII!$F$3)+1)/(ASCOPE_PMESII!$F$3:$F$62="CC"),1-(COUNTIF(ASCOPE_PMESII!$B$3:$B$62,"CC")+COUNTIF(ASCOPE_PMESII!$D$3:$D$62,"CC")))),""),IF(1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1-(COUNTIF(ASCOPE_PMESII!$B$3:$B$62,"CC")+COUNTIF(ASCOPE_PMESII!$D$3:$D$62,"CC")+COUNTIF(ASCOPE_PMESII!$F$3:$F$62,"CC")))),""),IF(1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1-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1-(COUNTIF(ASCOPE_PMESII!$B$3:$B$62,"CC")+COUNTIF(ASCOPE_PMESII!$D$3:$D$62,"CC")+COUNTIF(ASCOPE_PMESII!$F$3:$F$62,"CC")+COUNTIF(ASCOPE_PMESII!$H$3:$H$62,"CC")+COUNTIF(ASCOPE_PMESII!$J$3:$J$62,"CC")))),"")))))),"")</f>
        <v>ACEH defence is political as well as military</v>
      </c>
      <c r="Q4" s="21" t="str">
        <f t="array" ref="Q4">IFERROR(IF(1&lt;=COUNTIF(ASCOPE_PMESII!$B$3:$B$62,"CR"),IFERROR(INDEX(ASCOPE_PMESII!$C$3:$C$62,_xlfn.AGGREGATE(15,6,(ROW(ASCOPE_PMESII!$B$3:$B$62)-ROW(ASCOPE_PMESII!$B$3)+1)/(ASCOPE_PMESII!$B$3:$B$62="CR"),1)),""),IF(1&lt;=(COUNTIF(ASCOPE_PMESII!$B$3:$B$62,"CR")+COUNTIF(ASCOPE_PMESII!$D$3:$D$62,"CR")),IFERROR(INDEX(ASCOPE_PMESII!$E$3:$E$62,_xlfn.AGGREGATE(15,6,(ROW(ASCOPE_PMESII!$D$3:$D$62)-ROW(ASCOPE_PMESII!$D$3)+1)/(ASCOPE_PMESII!$D$3:$D$62="CR"),1-(COUNTIF(ASCOPE_PMESII!$B$3:$B$62,"CR")))),""),IF(1&lt;=(COUNTIF(ASCOPE_PMESII!$B$3:$B$62,"CR")+COUNTIF(ASCOPE_PMESII!$D$3:$D$62,"CR")+COUNTIF(ASCOPE_PMESII!$F$3:$F$62,"CR")),IFERROR(INDEX(ASCOPE_PMESII!$G$3:$G$62,_xlfn.AGGREGATE(15,6,(ROW(ASCOPE_PMESII!$F$3:$F$62)-ROW(ASCOPE_PMESII!$F$3)+1)/(ASCOPE_PMESII!$F$3:$F$62="CR"),1-(COUNTIF(ASCOPE_PMESII!$B$3:$B$62,"CR")+COUNTIF(ASCOPE_PMESII!$D$3:$D$62,"CR")))),""),IF(1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1-(COUNTIF(ASCOPE_PMESII!$B$3:$B$62,"CR")+COUNTIF(ASCOPE_PMESII!$D$3:$D$62,"CR")+COUNTIF(ASCOPE_PMESII!$F$3:$F$62,"CR")))),""),IF(1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1-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1-(COUNTIF(ASCOPE_PMESII!$B$3:$B$62,"CR")+COUNTIF(ASCOPE_PMESII!$D$3:$D$62,"CR")+COUNTIF(ASCOPE_PMESII!$F$3:$F$62,"CR")+COUNTIF(ASCOPE_PMESII!$H$3:$H$62,"CR")+COUNTIF(ASCOPE_PMESII!$J$3:$J$62,"CR")))),"")))))),"")</f>
        <v>GoIND consent enables NATO legitimacy</v>
      </c>
      <c r="R4" s="94" t="str">
        <f t="array" ref="R4">IFERROR(IF(1&lt;=COUNTIF(ASCOPE_PMESII!$B$3:$B$62,"PCS"),IFERROR(INDEX(ASCOPE_PMESII!$C$3:$C$62,_xlfn.AGGREGATE(15,6,(ROW(ASCOPE_PMESII!$B$3:$B$62)-ROW(ASCOPE_PMESII!$B$3)+1)/(ASCOPE_PMESII!$B$3:$B$62="PCS"),1)),""),IF(1&lt;=(COUNTIF(ASCOPE_PMESII!$B$3:$B$62,"PCS")+COUNTIF(ASCOPE_PMESII!$D$3:$D$62,"PCS")),IFERROR(INDEX(ASCOPE_PMESII!$E$3:$E$62,_xlfn.AGGREGATE(15,6,(ROW(ASCOPE_PMESII!$D$3:$D$62)-ROW(ASCOPE_PMESII!$D$3)+1)/(ASCOPE_PMESII!$D$3:$D$62="PCS"),1-(COUNTIF(ASCOPE_PMESII!$B$3:$B$62,"PCS")))),""),IF(1&lt;=(COUNTIF(ASCOPE_PMESII!$B$3:$B$62,"PCS")+COUNTIF(ASCOPE_PMESII!$D$3:$D$62,"PCS")+COUNTIF(ASCOPE_PMESII!$F$3:$F$62,"PCS")),IFERROR(INDEX(ASCOPE_PMESII!$G$3:$G$62,_xlfn.AGGREGATE(15,6,(ROW(ASCOPE_PMESII!$F$3:$F$62)-ROW(ASCOPE_PMESII!$F$3)+1)/(ASCOPE_PMESII!$F$3:$F$62="PCS"),1-(COUNTIF(ASCOPE_PMESII!$B$3:$B$62,"PCS")+COUNTIF(ASCOPE_PMESII!$D$3:$D$62,"PCS")))),""),IF(1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1-(COUNTIF(ASCOPE_PMESII!$B$3:$B$62,"PCS")+COUNTIF(ASCOPE_PMESII!$D$3:$D$62,"PCS")+COUNTIF(ASCOPE_PMESII!$F$3:$F$62,"PCS")))),""),IF(1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1-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1-(COUNTIF(ASCOPE_PMESII!$B$3:$B$62,"PCS")+COUNTIF(ASCOPE_PMESII!$D$3:$D$62,"PCS")+COUNTIF(ASCOPE_PMESII!$F$3:$F$62,"PCS")+COUNTIF(ASCOPE_PMESII!$H$3:$H$62,"PCS")+COUNTIF(ASCOPE_PMESII!$J$3:$J$62,"PCS")))),"")))))),"")</f>
        <v/>
      </c>
    </row>
    <row r="5" spans="1:18" ht="34.5" customHeight="1">
      <c r="A5" s="22" t="str">
        <f t="array" ref="A5">IFERROR(IF(2&lt;=COUNTIF(ASCOPE_PMESII!$B$3:$B$62,"OE"),IFERROR(INDEX(ASCOPE_PMESII!$C$3:$C$62,_xlfn.AGGREGATE(15,6,(ROW(ASCOPE_PMESII!$B$3:$B$62)-ROW(ASCOPE_PMESII!$B$3)+1)/(ASCOPE_PMESII!$B$3:$B$62="OE"),2)),""),IF(2&lt;=(COUNTIF(ASCOPE_PMESII!$B$3:$B$62,"OE")+COUNTIF(ASCOPE_PMESII!$D$3:$D$62,"OE")),IFERROR(INDEX(ASCOPE_PMESII!$E$3:$E$62,_xlfn.AGGREGATE(15,6,(ROW(ASCOPE_PMESII!$D$3:$D$62)-ROW(ASCOPE_PMESII!$D$3)+1)/(ASCOPE_PMESII!$D$3:$D$62="OE"),2-(COUNTIF(ASCOPE_PMESII!$B$3:$B$62,"OE")))),""),IF(2&lt;=(COUNTIF(ASCOPE_PMESII!$B$3:$B$62,"OE")+COUNTIF(ASCOPE_PMESII!$D$3:$D$62,"OE")+COUNTIF(ASCOPE_PMESII!$F$3:$F$62,"OE")),IFERROR(INDEX(ASCOPE_PMESII!$G$3:$G$62,_xlfn.AGGREGATE(15,6,(ROW(ASCOPE_PMESII!$F$3:$F$62)-ROW(ASCOPE_PMESII!$F$3)+1)/(ASCOPE_PMESII!$F$3:$F$62="OE"),2-(COUNTIF(ASCOPE_PMESII!$B$3:$B$62,"OE")+COUNTIF(ASCOPE_PMESII!$D$3:$D$62,"OE")))),""),IF(2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2-(COUNTIF(ASCOPE_PMESII!$B$3:$B$62,"OE")+COUNTIF(ASCOPE_PMESII!$D$3:$D$62,"OE")+COUNTIF(ASCOPE_PMESII!$F$3:$F$62,"OE")))),""),IF(2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2-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2-(COUNTIF(ASCOPE_PMESII!$B$3:$B$62,"OE")+COUNTIF(ASCOPE_PMESII!$D$3:$D$62,"OE")+COUNTIF(ASCOPE_PMESII!$F$3:$F$62,"OE")+COUNTIF(ASCOPE_PMESII!$H$3:$H$62,"OE")+COUNTIF(ASCOPE_PMESII!$J$3:$J$62,"OE")))),"")))))),"")</f>
        <v>DISCREDIT IRS legitimacy</v>
      </c>
      <c r="B5" s="22" t="str">
        <f t="array" ref="B5">IFERROR(IF(2&lt;=COUNTIF(ASCOPE_PMESII!$B$3:$B$62,"OA"),IFERROR(INDEX(ASCOPE_PMESII!$C$3:$C$62,_xlfn.AGGREGATE(15,6,(ROW(ASCOPE_PMESII!$B$3:$B$62)-ROW(ASCOPE_PMESII!$B$3)+1)/(ASCOPE_PMESII!$B$3:$B$62="OA"),2)),""),IF(2&lt;=(COUNTIF(ASCOPE_PMESII!$B$3:$B$62,"OA")+COUNTIF(ASCOPE_PMESII!$D$3:$D$62,"OA")),IFERROR(INDEX(ASCOPE_PMESII!$E$3:$E$62,_xlfn.AGGREGATE(15,6,(ROW(ASCOPE_PMESII!$D$3:$D$62)-ROW(ASCOPE_PMESII!$D$3)+1)/(ASCOPE_PMESII!$D$3:$D$62="OA"),2-(COUNTIF(ASCOPE_PMESII!$B$3:$B$62,"OA")))),""),IF(2&lt;=(COUNTIF(ASCOPE_PMESII!$B$3:$B$62,"OA")+COUNTIF(ASCOPE_PMESII!$D$3:$D$62,"OA")+COUNTIF(ASCOPE_PMESII!$F$3:$F$62,"OA")),IFERROR(INDEX(ASCOPE_PMESII!$G$3:$G$62,_xlfn.AGGREGATE(15,6,(ROW(ASCOPE_PMESII!$F$3:$F$62)-ROW(ASCOPE_PMESII!$F$3)+1)/(ASCOPE_PMESII!$F$3:$F$62="OA"),2-(COUNTIF(ASCOPE_PMESII!$B$3:$B$62,"OA")+COUNTIF(ASCOPE_PMESII!$D$3:$D$62,"OA")))),""),IF(2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2-(COUNTIF(ASCOPE_PMESII!$B$3:$B$62,"OA")+COUNTIF(ASCOPE_PMESII!$D$3:$D$62,"OA")+COUNTIF(ASCOPE_PMESII!$F$3:$F$62,"OA")))),""),IF(2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2-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2-(COUNTIF(ASCOPE_PMESII!$B$3:$B$62,"OA")+COUNTIF(ASCOPE_PMESII!$D$3:$D$62,"OA")+COUNTIF(ASCOPE_PMESII!$F$3:$F$62,"OA")+COUNTIF(ASCOPE_PMESII!$H$3:$H$62,"OA")+COUNTIF(ASCOPE_PMESII!$J$3:$J$62,"OA")))),"")))))),"")</f>
        <v>ATTACK mines, CDCMs, submarines, radar and air-defence nodes</v>
      </c>
      <c r="C5" s="22" t="str">
        <f t="array" ref="C5">IFERROR(IF(2&lt;=COUNTIF(ASCOPE_PMESII!$B$3:$B$62,"RISK"),IFERROR(INDEX(ASCOPE_PMESII!$C$3:$C$62,_xlfn.AGGREGATE(15,6,(ROW(ASCOPE_PMESII!$B$3:$B$62)-ROW(ASCOPE_PMESII!$B$3)+1)/(ASCOPE_PMESII!$B$3:$B$62="RISK"),2)),""),IF(2&lt;=(COUNTIF(ASCOPE_PMESII!$B$3:$B$62,"RISK")+COUNTIF(ASCOPE_PMESII!$D$3:$D$62,"RISK")),IFERROR(INDEX(ASCOPE_PMESII!$E$3:$E$62,_xlfn.AGGREGATE(15,6,(ROW(ASCOPE_PMESII!$D$3:$D$62)-ROW(ASCOPE_PMESII!$D$3)+1)/(ASCOPE_PMESII!$D$3:$D$62="RISK"),2-(COUNTIF(ASCOPE_PMESII!$B$3:$B$62,"RISK")))),""),IF(2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2-(COUNTIF(ASCOPE_PMESII!$B$3:$B$62,"RISK")+COUNTIF(ASCOPE_PMESII!$D$3:$D$62,"RISK")))),""),IF(2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2-(COUNTIF(ASCOPE_PMESII!$B$3:$B$62,"RISK")+COUNTIF(ASCOPE_PMESII!$D$3:$D$62,"RISK")+COUNTIF(ASCOPE_PMESII!$F$3:$F$62,"RISK")))),""),IF(2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2-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2-(COUNTIF(ASCOPE_PMESII!$B$3:$B$62,"RISK")+COUNTIF(ASCOPE_PMESII!$D$3:$D$62,"RISK")+COUNTIF(ASCOPE_PMESII!$F$3:$F$62,"RISK")+COUNTIF(ASCOPE_PMESII!$H$3:$H$62,"RISK")+COUNTIF(ASCOPE_PMESII!$J$3:$J$62,"RISK")))),"")))))),"")</f>
        <v>Ambush and IED threat rises off main routes</v>
      </c>
      <c r="D5" s="22" t="str">
        <f t="array" ref="D5">IFERROR(IF(2&lt;=COUNTIF(ASCOPE_PMESII!$B$3:$B$62,"CV"),IFERROR(INDEX(ASCOPE_PMESII!$C$3:$C$62,_xlfn.AGGREGATE(15,6,(ROW(ASCOPE_PMESII!$B$3:$B$62)-ROW(ASCOPE_PMESII!$B$3)+1)/(ASCOPE_PMESII!$B$3:$B$62="CV"),2)),""),IF(2&lt;=(COUNTIF(ASCOPE_PMESII!$B$3:$B$62,"CV")+COUNTIF(ASCOPE_PMESII!$D$3:$D$62,"CV")),IFERROR(INDEX(ASCOPE_PMESII!$E$3:$E$62,_xlfn.AGGREGATE(15,6,(ROW(ASCOPE_PMESII!$D$3:$D$62)-ROW(ASCOPE_PMESII!$D$3)+1)/(ASCOPE_PMESII!$D$3:$D$62="CV"),2-(COUNTIF(ASCOPE_PMESII!$B$3:$B$62,"CV")))),""),IF(2&lt;=(COUNTIF(ASCOPE_PMESII!$B$3:$B$62,"CV")+COUNTIF(ASCOPE_PMESII!$D$3:$D$62,"CV")+COUNTIF(ASCOPE_PMESII!$F$3:$F$62,"CV")),IFERROR(INDEX(ASCOPE_PMESII!$G$3:$G$62,_xlfn.AGGREGATE(15,6,(ROW(ASCOPE_PMESII!$F$3:$F$62)-ROW(ASCOPE_PMESII!$F$3)+1)/(ASCOPE_PMESII!$F$3:$F$62="CV"),2-(COUNTIF(ASCOPE_PMESII!$B$3:$B$62,"CV")+COUNTIF(ASCOPE_PMESII!$D$3:$D$62,"CV")))),""),IF(2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2-(COUNTIF(ASCOPE_PMESII!$B$3:$B$62,"CV")+COUNTIF(ASCOPE_PMESII!$D$3:$D$62,"CV")+COUNTIF(ASCOPE_PMESII!$F$3:$F$62,"CV")))),""),IF(2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2-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2-(COUNTIF(ASCOPE_PMESII!$B$3:$B$62,"CV")+COUNTIF(ASCOPE_PMESII!$D$3:$D$62,"CV")+COUNTIF(ASCOPE_PMESII!$F$3:$F$62,"CV")+COUNTIF(ASCOPE_PMESII!$H$3:$H$62,"CV")+COUNTIF(ASCOPE_PMESII!$J$3:$J$62,"CV")))),"")))))),"")</f>
        <v>IRS control creates secession contagion risk</v>
      </c>
      <c r="E5" s="22" t="str">
        <f t="array" ref="E5">IFERROR(IF(2&lt;=COUNTIF(ASCOPE_PMESII!$B$3:$B$62,"COR"),IFERROR(INDEX(ASCOPE_PMESII!$C$3:$C$62,_xlfn.AGGREGATE(15,6,(ROW(ASCOPE_PMESII!$B$3:$B$62)-ROW(ASCOPE_PMESII!$B$3)+1)/(ASCOPE_PMESII!$B$3:$B$62="COR"),2)),""),IF(2&lt;=(COUNTIF(ASCOPE_PMESII!$B$3:$B$62,"COR")+COUNTIF(ASCOPE_PMESII!$D$3:$D$62,"COR")),IFERROR(INDEX(ASCOPE_PMESII!$E$3:$E$62,_xlfn.AGGREGATE(15,6,(ROW(ASCOPE_PMESII!$D$3:$D$62)-ROW(ASCOPE_PMESII!$D$3)+1)/(ASCOPE_PMESII!$D$3:$D$62="COR"),2-(COUNTIF(ASCOPE_PMESII!$B$3:$B$62,"COR")))),""),IF(2&lt;=(COUNTIF(ASCOPE_PMESII!$B$3:$B$62,"COR")+COUNTIF(ASCOPE_PMESII!$D$3:$D$62,"COR")+COUNTIF(ASCOPE_PMESII!$F$3:$F$62,"COR")),IFERROR(INDEX(ASCOPE_PMESII!$G$3:$G$62,_xlfn.AGGREGATE(15,6,(ROW(ASCOPE_PMESII!$F$3:$F$62)-ROW(ASCOPE_PMESII!$F$3)+1)/(ASCOPE_PMESII!$F$3:$F$62="COR"),2-(COUNTIF(ASCOPE_PMESII!$B$3:$B$62,"COR")+COUNTIF(ASCOPE_PMESII!$D$3:$D$62,"COR")))),""),IF(2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2-(COUNTIF(ASCOPE_PMESII!$B$3:$B$62,"COR")+COUNTIF(ASCOPE_PMESII!$D$3:$D$62,"COR")+COUNTIF(ASCOPE_PMESII!$F$3:$F$62,"COR")))),""),IF(2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2-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2-(COUNTIF(ASCOPE_PMESII!$B$3:$B$62,"COR")+COUNTIF(ASCOPE_PMESII!$D$3:$D$62,"COR")+COUNTIF(ASCOPE_PMESII!$F$3:$F$62,"COR")+COUNTIF(ASCOPE_PMESII!$H$3:$H$62,"COR")+COUNTIF(ASCOPE_PMESII!$J$3:$J$62,"COR")))),"")))))),"")</f>
        <v>Ground entry must be airmobile and maritime-enabled</v>
      </c>
      <c r="F5" s="22" t="str">
        <f t="array" ref="F5">IFERROR(IF(2&lt;=COUNTIF(ASCOPE_PMESII!$B$3:$B$62,"REQT"),IFERROR(INDEX(ASCOPE_PMESII!$C$3:$C$62,_xlfn.AGGREGATE(15,6,(ROW(ASCOPE_PMESII!$B$3:$B$62)-ROW(ASCOPE_PMESII!$B$3)+1)/(ASCOPE_PMESII!$B$3:$B$62="REQT"),2)),""),IF(2&lt;=(COUNTIF(ASCOPE_PMESII!$B$3:$B$62,"REQT")+COUNTIF(ASCOPE_PMESII!$D$3:$D$62,"REQT")),IFERROR(INDEX(ASCOPE_PMESII!$E$3:$E$62,_xlfn.AGGREGATE(15,6,(ROW(ASCOPE_PMESII!$D$3:$D$62)-ROW(ASCOPE_PMESII!$D$3)+1)/(ASCOPE_PMESII!$D$3:$D$62="REQT"),2-(COUNTIF(ASCOPE_PMESII!$B$3:$B$62,"REQT")))),""),IF(2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2-(COUNTIF(ASCOPE_PMESII!$B$3:$B$62,"REQT")+COUNTIF(ASCOPE_PMESII!$D$3:$D$62,"REQT")))),""),IF(2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2-(COUNTIF(ASCOPE_PMESII!$B$3:$B$62,"REQT")+COUNTIF(ASCOPE_PMESII!$D$3:$D$62,"REQT")+COUNTIF(ASCOPE_PMESII!$F$3:$F$62,"REQT")))),""),IF(2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2-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2-(COUNTIF(ASCOPE_PMESII!$B$3:$B$62,"REQT")+COUNTIF(ASCOPE_PMESII!$D$3:$D$62,"REQT")+COUNTIF(ASCOPE_PMESII!$F$3:$F$62,"REQT")+COUNTIF(ASCOPE_PMESII!$H$3:$H$62,"REQT")+COUNTIF(ASCOPE_PMESII!$J$3:$J$62,"REQT")))),"")))))),"")</f>
        <v/>
      </c>
      <c r="G5" s="22" t="str">
        <f t="array" ref="G5">IFERROR(IF(2&lt;=COUNTIF(ASCOPE_PMESII!$B$3:$B$62,"REST"),IFERROR(INDEX(ASCOPE_PMESII!$C$3:$C$62,_xlfn.AGGREGATE(15,6,(ROW(ASCOPE_PMESII!$B$3:$B$62)-ROW(ASCOPE_PMESII!$B$3)+1)/(ASCOPE_PMESII!$B$3:$B$62="REST"),2)),""),IF(2&lt;=(COUNTIF(ASCOPE_PMESII!$B$3:$B$62,"REST")+COUNTIF(ASCOPE_PMESII!$D$3:$D$62,"REST")),IFERROR(INDEX(ASCOPE_PMESII!$E$3:$E$62,_xlfn.AGGREGATE(15,6,(ROW(ASCOPE_PMESII!$D$3:$D$62)-ROW(ASCOPE_PMESII!$D$3)+1)/(ASCOPE_PMESII!$D$3:$D$62="REST"),2-(COUNTIF(ASCOPE_PMESII!$B$3:$B$62,"REST")))),""),IF(2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2-(COUNTIF(ASCOPE_PMESII!$B$3:$B$62,"REST")+COUNTIF(ASCOPE_PMESII!$D$3:$D$62,"REST")))),""),IF(2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2-(COUNTIF(ASCOPE_PMESII!$B$3:$B$62,"REST")+COUNTIF(ASCOPE_PMESII!$D$3:$D$62,"REST")+COUNTIF(ASCOPE_PMESII!$F$3:$F$62,"REST")))),""),IF(2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2-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2-(COUNTIF(ASCOPE_PMESII!$B$3:$B$62,"REST")+COUNTIF(ASCOPE_PMESII!$D$3:$D$62,"REST")+COUNTIF(ASCOPE_PMESII!$F$3:$F$62,"REST")+COUNTIF(ASCOPE_PMESII!$H$3:$H$62,"REST")+COUNTIF(ASCOPE_PMESII!$J$3:$J$62,"REST")))),"")))))),"")</f>
        <v/>
      </c>
      <c r="H5" s="22" t="str">
        <f t="array" ref="H5">IFERROR(IF(2&lt;=COUNTIF(ASCOPE_PMESII!$B$3:$B$62,"KCD-MUST"),IFERROR(INDEX(ASCOPE_PMESII!$C$3:$C$62,_xlfn.AGGREGATE(15,6,(ROW(ASCOPE_PMESII!$B$3:$B$62)-ROW(ASCOPE_PMESII!$B$3)+1)/(ASCOPE_PMESII!$B$3:$B$62="KCD-MUST"),2)),""),IF(2&lt;=(COUNTIF(ASCOPE_PMESII!$B$3:$B$62,"KCD-MUST")+COUNTIF(ASCOPE_PMESII!$D$3:$D$62,"KCD-MUST")),IFERROR(INDEX(ASCOPE_PMESII!$E$3:$E$62,_xlfn.AGGREGATE(15,6,(ROW(ASCOPE_PMESII!$D$3:$D$62)-ROW(ASCOPE_PMESII!$D$3)+1)/(ASCOPE_PMESII!$D$3:$D$62="KCD-MUST"),2-(COUNTIF(ASCOPE_PMESII!$B$3:$B$62,"KCD-MUST")))),""),IF(2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2-(COUNTIF(ASCOPE_PMESII!$B$3:$B$62,"KCD-MUST")+COUNTIF(ASCOPE_PMESII!$D$3:$D$62,"KCD-MUST")))),""),IF(2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2-(COUNTIF(ASCOPE_PMESII!$B$3:$B$62,"KCD-MUST")+COUNTIF(ASCOPE_PMESII!$D$3:$D$62,"KCD-MUST")+COUNTIF(ASCOPE_PMESII!$F$3:$F$62,"KCD-MUST")))),""),IF(2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2-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2-(COUNTIF(ASCOPE_PMESII!$B$3:$B$62,"KCD-MUST")+COUNTIF(ASCOPE_PMESII!$D$3:$D$62,"KCD-MUST")+COUNTIF(ASCOPE_PMESII!$F$3:$F$62,"KCD-MUST")+COUNTIF(ASCOPE_PMESII!$H$3:$H$62,"KCD-MUST")+COUNTIF(ASCOPE_PMESII!$J$3:$J$62,"KCD-MUST")))),"")))))),"")</f>
        <v>Secure entry nodes before inland manoeuvre</v>
      </c>
      <c r="I5" s="22" t="str">
        <f t="array" ref="I5">IFERROR(IF(2&lt;=COUNTIF(ASCOPE_PMESII!$B$3:$B$62,"KCD-SHOULD"),IFERROR(INDEX(ASCOPE_PMESII!$C$3:$C$62,_xlfn.AGGREGATE(15,6,(ROW(ASCOPE_PMESII!$B$3:$B$62)-ROW(ASCOPE_PMESII!$B$3)+1)/(ASCOPE_PMESII!$B$3:$B$62="KCD-SHOULD"),2)),""),IF(2&lt;=(COUNTIF(ASCOPE_PMESII!$B$3:$B$62,"KCD-SHOULD")+COUNTIF(ASCOPE_PMESII!$D$3:$D$62,"KCD-SHOULD")),IFERROR(INDEX(ASCOPE_PMESII!$E$3:$E$62,_xlfn.AGGREGATE(15,6,(ROW(ASCOPE_PMESII!$D$3:$D$62)-ROW(ASCOPE_PMESII!$D$3)+1)/(ASCOPE_PMESII!$D$3:$D$62="KCD-SHOULD"),2-(COUNTIF(ASCOPE_PMESII!$B$3:$B$62,"KCD-SHOULD")))),""),IF(2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2-(COUNTIF(ASCOPE_PMESII!$B$3:$B$62,"KCD-SHOULD")+COUNTIF(ASCOPE_PMESII!$D$3:$D$62,"KCD-SHOULD")))),""),IF(2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2-(COUNTIF(ASCOPE_PMESII!$B$3:$B$62,"KCD-SHOULD")+COUNTIF(ASCOPE_PMESII!$D$3:$D$62,"KCD-SHOULD")+COUNTIF(ASCOPE_PMESII!$F$3:$F$62,"KCD-SHOULD")))),""),IF(2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2-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2-(COUNTIF(ASCOPE_PMESII!$B$3:$B$62,"KCD-SHOULD")+COUNTIF(ASCOPE_PMESII!$D$3:$D$62,"KCD-SHOULD")+COUNTIF(ASCOPE_PMESII!$F$3:$F$62,"KCD-SHOULD")+COUNTIF(ASCOPE_PMESII!$H$3:$H$62,"KCD-SHOULD")+COUNTIF(ASCOPE_PMESII!$J$3:$J$62,"KCD-SHOULD")))),"")))))),"")</f>
        <v>Avoid broad sweep through hostile terrain</v>
      </c>
      <c r="J5" s="22" t="str">
        <f t="array" ref="J5">IFERROR(IF(2&lt;=COUNTIF(ASCOPE_PMESII!$B$3:$B$62,"KCD-SHOULD NOT"),IFERROR(INDEX(ASCOPE_PMESII!$C$3:$C$62,_xlfn.AGGREGATE(15,6,(ROW(ASCOPE_PMESII!$B$3:$B$62)-ROW(ASCOPE_PMESII!$B$3)+1)/(ASCOPE_PMESII!$B$3:$B$62="KCD-SHOULD NOT"),2)),""),IF(2&lt;=(COUNTIF(ASCOPE_PMESII!$B$3:$B$62,"KCD-SHOULD NOT")+COUNTIF(ASCOPE_PMESII!$D$3:$D$62,"KCD-SHOULD NOT")),IFERROR(INDEX(ASCOPE_PMESII!$E$3:$E$62,_xlfn.AGGREGATE(15,6,(ROW(ASCOPE_PMESII!$D$3:$D$62)-ROW(ASCOPE_PMESII!$D$3)+1)/(ASCOPE_PMESII!$D$3:$D$62="KCD-SHOULD NOT"),2-(COUNTIF(ASCOPE_PMESII!$B$3:$B$62,"KCD-SHOULD NOT")))),""),IF(2&lt;=(COUNTIF(ASCOPE_PMESII!$B$3:$B$62,"KCD-SHOULD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NOT"),2-(COUNTIF(ASCOPE_PMESII!$B$3:$B$62,"KCD-SHOULD NOT")+COUNTIF(ASCOPE_PMESII!$D$3:$D$62,"KCD-SHOULD NOT")))),""),IF(2&lt;=(COUNTIF(ASCOPE_PMESII!$B$3:$B$62,"KCD-SHOULD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NOT"),2-(COUNTIF(ASCOPE_PMESII!$B$3:$B$62,"KCD-SHOULD NOT")+COUNTIF(ASCOPE_PMESII!$D$3:$D$62,"KCD-SHOULD NOT")+COUNTIF(ASCOPE_PMESII!$F$3:$F$62,"KCD-SHOULD NOT")))),""),IF(2&lt;=(COUNTIF(ASCOPE_PMESII!$B$3:$B$62,"KCD-SHOULD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NOT"),2-(COUNTIF(ASCOPE_PMESII!$B$3:$B$62,"KCD-SHOULD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NOT"),2-(COUNTIF(ASCOPE_PMESII!$B$3:$B$62,"KCD-SHOULD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5" s="22" t="str">
        <f t="array" ref="K5">IFERROR(IF(2&lt;=COUNTIF(ASCOPE_PMESII!$B$3:$B$62,"KCD-CANNOT"),IFERROR(INDEX(ASCOPE_PMESII!$C$3:$C$62,_xlfn.AGGREGATE(15,6,(ROW(ASCOPE_PMESII!$B$3:$B$62)-ROW(ASCOPE_PMESII!$B$3)+1)/(ASCOPE_PMESII!$B$3:$B$62="KCD-CANNOT"),2)),""),IF(2&lt;=(COUNTIF(ASCOPE_PMESII!$B$3:$B$62,"KCD-CANNOT")+COUNTIF(ASCOPE_PMESII!$D$3:$D$62,"KCD-CANNOT")),IFERROR(INDEX(ASCOPE_PMESII!$E$3:$E$62,_xlfn.AGGREGATE(15,6,(ROW(ASCOPE_PMESII!$D$3:$D$62)-ROW(ASCOPE_PMESII!$D$3)+1)/(ASCOPE_PMESII!$D$3:$D$62="KCD-CANNOT"),2-(COUNTIF(ASCOPE_PMESII!$B$3:$B$62,"KCD-CANNOT")))),""),IF(2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2-(COUNTIF(ASCOPE_PMESII!$B$3:$B$62,"KCD-CANNOT")+COUNTIF(ASCOPE_PMESII!$D$3:$D$62,"KCD-CANNOT")))),""),IF(2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2-(COUNTIF(ASCOPE_PMESII!$B$3:$B$62,"KCD-CANNOT")+COUNTIF(ASCOPE_PMESII!$D$3:$D$62,"KCD-CANNOT")+COUNTIF(ASCOPE_PMESII!$F$3:$F$62,"KCD-CANNOT")))),""),IF(2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2-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2-(COUNTIF(ASCOPE_PMESII!$B$3:$B$62,"KCD-CANNOT")+COUNTIF(ASCOPE_PMESII!$D$3:$D$62,"KCD-CANNOT")+COUNTIF(ASCOPE_PMESII!$F$3:$F$62,"KCD-CANNOT")+COUNTIF(ASCOPE_PMESII!$H$3:$H$62,"KCD-CANNOT")+COUNTIF(ASCOPE_PMESII!$J$3:$J$62,"KCD-CANNOT")))),"")))))),"")</f>
        <v>Cannot assume mechanised tempo inland</v>
      </c>
      <c r="L5" s="22" t="str">
        <f t="array" ref="L5">IFERROR(IF(2&lt;=COUNTIF(ASCOPE_PMESII!$B$3:$B$62,"DECISION"),IFERROR(INDEX(ASCOPE_PMESII!$C$3:$C$62,_xlfn.AGGREGATE(15,6,(ROW(ASCOPE_PMESII!$B$3:$B$62)-ROW(ASCOPE_PMESII!$B$3)+1)/(ASCOPE_PMESII!$B$3:$B$62="DECISION"),2)),""),IF(2&lt;=(COUNTIF(ASCOPE_PMESII!$B$3:$B$62,"DECISION")+COUNTIF(ASCOPE_PMESII!$D$3:$D$62,"DECISION")),IFERROR(INDEX(ASCOPE_PMESII!$E$3:$E$62,_xlfn.AGGREGATE(15,6,(ROW(ASCOPE_PMESII!$D$3:$D$62)-ROW(ASCOPE_PMESII!$D$3)+1)/(ASCOPE_PMESII!$D$3:$D$62="DECISION"),2-(COUNTIF(ASCOPE_PMESII!$B$3:$B$62,"DECISION")))),""),IF(2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2-(COUNTIF(ASCOPE_PMESII!$B$3:$B$62,"DECISION")+COUNTIF(ASCOPE_PMESII!$D$3:$D$62,"DECISION")))),""),IF(2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2-(COUNTIF(ASCOPE_PMESII!$B$3:$B$62,"DECISION")+COUNTIF(ASCOPE_PMESII!$D$3:$D$62,"DECISION")+COUNTIF(ASCOPE_PMESII!$F$3:$F$62,"DECISION")))),""),IF(2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2-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2-(COUNTIF(ASCOPE_PMESII!$B$3:$B$62,"DECISION")+COUNTIF(ASCOPE_PMESII!$D$3:$D$62,"DECISION")+COUNTIF(ASCOPE_PMESII!$F$3:$F$62,"DECISION")+COUNTIF(ASCOPE_PMESII!$H$3:$H$62,"DECISION")+COUNTIF(ASCOPE_PMESII!$J$3:$J$62,"DECISION")))),"")))))),"")</f>
        <v>COM needs early political risk tolerance</v>
      </c>
      <c r="M5" s="22" t="str">
        <f t="array" ref="M5">IFERROR(IF(2&lt;=COUNTIF(ASCOPE_PMESII!$B$3:$B$62,"ASSUMPTION"),IFERROR(INDEX(ASCOPE_PMESII!$C$3:$C$62,_xlfn.AGGREGATE(15,6,(ROW(ASCOPE_PMESII!$B$3:$B$62)-ROW(ASCOPE_PMESII!$B$3)+1)/(ASCOPE_PMESII!$B$3:$B$62="ASSUMPTION"),2)),""),IF(2&lt;=(COUNTIF(ASCOPE_PMESII!$B$3:$B$62,"ASSUMPTION")+COUNTIF(ASCOPE_PMESII!$D$3:$D$62,"ASSUMPTION")),IFERROR(INDEX(ASCOPE_PMESII!$E$3:$E$62,_xlfn.AGGREGATE(15,6,(ROW(ASCOPE_PMESII!$D$3:$D$62)-ROW(ASCOPE_PMESII!$D$3)+1)/(ASCOPE_PMESII!$D$3:$D$62="ASSUMPTION"),2-(COUNTIF(ASCOPE_PMESII!$B$3:$B$62,"ASSUMPTION")))),""),IF(2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2-(COUNTIF(ASCOPE_PMESII!$B$3:$B$62,"ASSUMPTION")+COUNTIF(ASCOPE_PMESII!$D$3:$D$62,"ASSUMPTION")))),""),IF(2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2-(COUNTIF(ASCOPE_PMESII!$B$3:$B$62,"ASSUMPTION")+COUNTIF(ASCOPE_PMESII!$D$3:$D$62,"ASSUMPTION")+COUNTIF(ASCOPE_PMESII!$F$3:$F$62,"ASSUMPTION")))),""),IF(2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2-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2-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5" s="22" t="str">
        <f t="array" ref="N5">IFERROR(IF(2&lt;=COUNTIF(ASCOPE_PMESII!$B$3:$B$62,"CONSTRAINT"),IFERROR(INDEX(ASCOPE_PMESII!$C$3:$C$62,_xlfn.AGGREGATE(15,6,(ROW(ASCOPE_PMESII!$B$3:$B$62)-ROW(ASCOPE_PMESII!$B$3)+1)/(ASCOPE_PMESII!$B$3:$B$62="CONSTRAINT"),2)),""),IF(2&lt;=(COUNTIF(ASCOPE_PMESII!$B$3:$B$62,"CONSTRAINT")+COUNTIF(ASCOPE_PMESII!$D$3:$D$62,"CONSTRAINT")),IFERROR(INDEX(ASCOPE_PMESII!$E$3:$E$62,_xlfn.AGGREGATE(15,6,(ROW(ASCOPE_PMESII!$D$3:$D$62)-ROW(ASCOPE_PMESII!$D$3)+1)/(ASCOPE_PMESII!$D$3:$D$62="CONSTRAINT"),2-(COUNTIF(ASCOPE_PMESII!$B$3:$B$62,"CONSTRAINT")))),""),IF(2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2-(COUNTIF(ASCOPE_PMESII!$B$3:$B$62,"CONSTRAINT")+COUNTIF(ASCOPE_PMESII!$D$3:$D$62,"CONSTRAINT")))),""),IF(2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2-(COUNTIF(ASCOPE_PMESII!$B$3:$B$62,"CONSTRAINT")+COUNTIF(ASCOPE_PMESII!$D$3:$D$62,"CONSTRAINT")+COUNTIF(ASCOPE_PMESII!$F$3:$F$62,"CONSTRAINT")))),""),IF(2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2-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2-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5" s="22" t="str">
        <f t="array" ref="O5">IFERROR(IF(2&lt;=COUNTIF(ASCOPE_PMESII!$B$3:$B$62,"LIMITATION"),IFERROR(INDEX(ASCOPE_PMESII!$C$3:$C$62,_xlfn.AGGREGATE(15,6,(ROW(ASCOPE_PMESII!$B$3:$B$62)-ROW(ASCOPE_PMESII!$B$3)+1)/(ASCOPE_PMESII!$B$3:$B$62="LIMITATION"),2)),""),IF(2&lt;=(COUNTIF(ASCOPE_PMESII!$B$3:$B$62,"LIMITATION")+COUNTIF(ASCOPE_PMESII!$D$3:$D$62,"LIMITATION")),IFERROR(INDEX(ASCOPE_PMESII!$E$3:$E$62,_xlfn.AGGREGATE(15,6,(ROW(ASCOPE_PMESII!$D$3:$D$62)-ROW(ASCOPE_PMESII!$D$3)+1)/(ASCOPE_PMESII!$D$3:$D$62="LIMITATION"),2-(COUNTIF(ASCOPE_PMESII!$B$3:$B$62,"LIMITATION")))),""),IF(2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2-(COUNTIF(ASCOPE_PMESII!$B$3:$B$62,"LIMITATION")+COUNTIF(ASCOPE_PMESII!$D$3:$D$62,"LIMITATION")))),""),IF(2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2-(COUNTIF(ASCOPE_PMESII!$B$3:$B$62,"LIMITATION")+COUNTIF(ASCOPE_PMESII!$D$3:$D$62,"LIMITATION")+COUNTIF(ASCOPE_PMESII!$F$3:$F$62,"LIMITATION")))),""),IF(2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2-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2-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5" s="22" t="str">
        <f t="array" ref="P5">IFERROR(IF(2&lt;=COUNTIF(ASCOPE_PMESII!$B$3:$B$62,"CC"),IFERROR(INDEX(ASCOPE_PMESII!$C$3:$C$62,_xlfn.AGGREGATE(15,6,(ROW(ASCOPE_PMESII!$B$3:$B$62)-ROW(ASCOPE_PMESII!$B$3)+1)/(ASCOPE_PMESII!$B$3:$B$62="CC"),2)),""),IF(2&lt;=(COUNTIF(ASCOPE_PMESII!$B$3:$B$62,"CC")+COUNTIF(ASCOPE_PMESII!$D$3:$D$62,"CC")),IFERROR(INDEX(ASCOPE_PMESII!$E$3:$E$62,_xlfn.AGGREGATE(15,6,(ROW(ASCOPE_PMESII!$D$3:$D$62)-ROW(ASCOPE_PMESII!$D$3)+1)/(ASCOPE_PMESII!$D$3:$D$62="CC"),2-(COUNTIF(ASCOPE_PMESII!$B$3:$B$62,"CC")))),""),IF(2&lt;=(COUNTIF(ASCOPE_PMESII!$B$3:$B$62,"CC")+COUNTIF(ASCOPE_PMESII!$D$3:$D$62,"CC")+COUNTIF(ASCOPE_PMESII!$F$3:$F$62,"CC")),IFERROR(INDEX(ASCOPE_PMESII!$G$3:$G$62,_xlfn.AGGREGATE(15,6,(ROW(ASCOPE_PMESII!$F$3:$F$62)-ROW(ASCOPE_PMESII!$F$3)+1)/(ASCOPE_PMESII!$F$3:$F$62="CC"),2-(COUNTIF(ASCOPE_PMESII!$B$3:$B$62,"CC")+COUNTIF(ASCOPE_PMESII!$D$3:$D$62,"CC")))),""),IF(2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2-(COUNTIF(ASCOPE_PMESII!$B$3:$B$62,"CC")+COUNTIF(ASCOPE_PMESII!$D$3:$D$62,"CC")+COUNTIF(ASCOPE_PMESII!$F$3:$F$62,"CC")))),""),IF(2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2-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2-(COUNTIF(ASCOPE_PMESII!$B$3:$B$62,"CC")+COUNTIF(ASCOPE_PMESII!$D$3:$D$62,"CC")+COUNTIF(ASCOPE_PMESII!$F$3:$F$62,"CC")+COUNTIF(ASCOPE_PMESII!$H$3:$H$62,"CC")+COUNTIF(ASCOPE_PMESII!$J$3:$J$62,"CC")))),"")))))),"")</f>
        <v>Aceh approaches are decisive to rebel expansion</v>
      </c>
      <c r="Q5" s="22" t="str">
        <f t="array" ref="Q5">IFERROR(IF(2&lt;=COUNTIF(ASCOPE_PMESII!$B$3:$B$62,"CR"),IFERROR(INDEX(ASCOPE_PMESII!$C$3:$C$62,_xlfn.AGGREGATE(15,6,(ROW(ASCOPE_PMESII!$B$3:$B$62)-ROW(ASCOPE_PMESII!$B$3)+1)/(ASCOPE_PMESII!$B$3:$B$62="CR"),2)),""),IF(2&lt;=(COUNTIF(ASCOPE_PMESII!$B$3:$B$62,"CR")+COUNTIF(ASCOPE_PMESII!$D$3:$D$62,"CR")),IFERROR(INDEX(ASCOPE_PMESII!$E$3:$E$62,_xlfn.AGGREGATE(15,6,(ROW(ASCOPE_PMESII!$D$3:$D$62)-ROW(ASCOPE_PMESII!$D$3)+1)/(ASCOPE_PMESII!$D$3:$D$62="CR"),2-(COUNTIF(ASCOPE_PMESII!$B$3:$B$62,"CR")))),""),IF(2&lt;=(COUNTIF(ASCOPE_PMESII!$B$3:$B$62,"CR")+COUNTIF(ASCOPE_PMESII!$D$3:$D$62,"CR")+COUNTIF(ASCOPE_PMESII!$F$3:$F$62,"CR")),IFERROR(INDEX(ASCOPE_PMESII!$G$3:$G$62,_xlfn.AGGREGATE(15,6,(ROW(ASCOPE_PMESII!$F$3:$F$62)-ROW(ASCOPE_PMESII!$F$3)+1)/(ASCOPE_PMESII!$F$3:$F$62="CR"),2-(COUNTIF(ASCOPE_PMESII!$B$3:$B$62,"CR")+COUNTIF(ASCOPE_PMESII!$D$3:$D$62,"CR")))),""),IF(2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2-(COUNTIF(ASCOPE_PMESII!$B$3:$B$62,"CR")+COUNTIF(ASCOPE_PMESII!$D$3:$D$62,"CR")+COUNTIF(ASCOPE_PMESII!$F$3:$F$62,"CR")))),""),IF(2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2-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2-(COUNTIF(ASCOPE_PMESII!$B$3:$B$62,"CR")+COUNTIF(ASCOPE_PMESII!$D$3:$D$62,"CR")+COUNTIF(ASCOPE_PMESII!$F$3:$F$62,"CR")+COUNTIF(ASCOPE_PMESII!$H$3:$H$62,"CR")+COUNTIF(ASCOPE_PMESII!$J$3:$J$62,"CR")))),"")))))),"")</f>
        <v>Main roads, bridges and APOD/SPOD decide reach</v>
      </c>
      <c r="R5" s="95" t="str">
        <f t="array" ref="R5">IFERROR(IF(2&lt;=COUNTIF(ASCOPE_PMESII!$B$3:$B$62,"PCS"),IFERROR(INDEX(ASCOPE_PMESII!$C$3:$C$62,_xlfn.AGGREGATE(15,6,(ROW(ASCOPE_PMESII!$B$3:$B$62)-ROW(ASCOPE_PMESII!$B$3)+1)/(ASCOPE_PMESII!$B$3:$B$62="PCS"),2)),""),IF(2&lt;=(COUNTIF(ASCOPE_PMESII!$B$3:$B$62,"PCS")+COUNTIF(ASCOPE_PMESII!$D$3:$D$62,"PCS")),IFERROR(INDEX(ASCOPE_PMESII!$E$3:$E$62,_xlfn.AGGREGATE(15,6,(ROW(ASCOPE_PMESII!$D$3:$D$62)-ROW(ASCOPE_PMESII!$D$3)+1)/(ASCOPE_PMESII!$D$3:$D$62="PCS"),2-(COUNTIF(ASCOPE_PMESII!$B$3:$B$62,"PCS")))),""),IF(2&lt;=(COUNTIF(ASCOPE_PMESII!$B$3:$B$62,"PCS")+COUNTIF(ASCOPE_PMESII!$D$3:$D$62,"PCS")+COUNTIF(ASCOPE_PMESII!$F$3:$F$62,"PCS")),IFERROR(INDEX(ASCOPE_PMESII!$G$3:$G$62,_xlfn.AGGREGATE(15,6,(ROW(ASCOPE_PMESII!$F$3:$F$62)-ROW(ASCOPE_PMESII!$F$3)+1)/(ASCOPE_PMESII!$F$3:$F$62="PCS"),2-(COUNTIF(ASCOPE_PMESII!$B$3:$B$62,"PCS")+COUNTIF(ASCOPE_PMESII!$D$3:$D$62,"PCS")))),""),IF(2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2-(COUNTIF(ASCOPE_PMESII!$B$3:$B$62,"PCS")+COUNTIF(ASCOPE_PMESII!$D$3:$D$62,"PCS")+COUNTIF(ASCOPE_PMESII!$F$3:$F$62,"PCS")))),""),IF(2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2-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2-(COUNTIF(ASCOPE_PMESII!$B$3:$B$62,"PCS")+COUNTIF(ASCOPE_PMESII!$D$3:$D$62,"PCS")+COUNTIF(ASCOPE_PMESII!$F$3:$F$62,"PCS")+COUNTIF(ASCOPE_PMESII!$H$3:$H$62,"PCS")+COUNTIF(ASCOPE_PMESII!$J$3:$J$62,"PCS")))),"")))))),"")</f>
        <v/>
      </c>
    </row>
    <row r="6" spans="1:18" ht="34.5" customHeight="1">
      <c r="A6" s="21" t="str">
        <f t="array" ref="A6">IFERROR(IF(3&lt;=COUNTIF(ASCOPE_PMESII!$B$3:$B$62,"OE"),IFERROR(INDEX(ASCOPE_PMESII!$C$3:$C$62,_xlfn.AGGREGATE(15,6,(ROW(ASCOPE_PMESII!$B$3:$B$62)-ROW(ASCOPE_PMESII!$B$3)+1)/(ASCOPE_PMESII!$B$3:$B$62="OE"),3)),""),IF(3&lt;=(COUNTIF(ASCOPE_PMESII!$B$3:$B$62,"OE")+COUNTIF(ASCOPE_PMESII!$D$3:$D$62,"OE")),IFERROR(INDEX(ASCOPE_PMESII!$E$3:$E$62,_xlfn.AGGREGATE(15,6,(ROW(ASCOPE_PMESII!$D$3:$D$62)-ROW(ASCOPE_PMESII!$D$3)+1)/(ASCOPE_PMESII!$D$3:$D$62="OE"),3-(COUNTIF(ASCOPE_PMESII!$B$3:$B$62,"OE")))),""),IF(3&lt;=(COUNTIF(ASCOPE_PMESII!$B$3:$B$62,"OE")+COUNTIF(ASCOPE_PMESII!$D$3:$D$62,"OE")+COUNTIF(ASCOPE_PMESII!$F$3:$F$62,"OE")),IFERROR(INDEX(ASCOPE_PMESII!$G$3:$G$62,_xlfn.AGGREGATE(15,6,(ROW(ASCOPE_PMESII!$F$3:$F$62)-ROW(ASCOPE_PMESII!$F$3)+1)/(ASCOPE_PMESII!$F$3:$F$62="OE"),3-(COUNTIF(ASCOPE_PMESII!$B$3:$B$62,"OE")+COUNTIF(ASCOPE_PMESII!$D$3:$D$62,"OE")))),""),IF(3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3-(COUNTIF(ASCOPE_PMESII!$B$3:$B$62,"OE")+COUNTIF(ASCOPE_PMESII!$D$3:$D$62,"OE")+COUNTIF(ASCOPE_PMESII!$F$3:$F$62,"OE")))),""),IF(3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3-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3-(COUNTIF(ASCOPE_PMESII!$B$3:$B$62,"OE")+COUNTIF(ASCOPE_PMESII!$D$3:$D$62,"OE")+COUNTIF(ASCOPE_PMESII!$F$3:$F$62,"OE")+COUNTIF(ASCOPE_PMESII!$H$3:$H$62,"OE")+COUNTIF(ASCOPE_PMESII!$J$3:$J$62,"OE")))),"")))))),"")</f>
        <v>DEGRADE IRS targeting network</v>
      </c>
      <c r="B6" s="21" t="str">
        <f t="array" ref="B6">IFERROR(IF(3&lt;=COUNTIF(ASCOPE_PMESII!$B$3:$B$62,"OA"),IFERROR(INDEX(ASCOPE_PMESII!$C$3:$C$62,_xlfn.AGGREGATE(15,6,(ROW(ASCOPE_PMESII!$B$3:$B$62)-ROW(ASCOPE_PMESII!$B$3)+1)/(ASCOPE_PMESII!$B$3:$B$62="OA"),3)),""),IF(3&lt;=(COUNTIF(ASCOPE_PMESII!$B$3:$B$62,"OA")+COUNTIF(ASCOPE_PMESII!$D$3:$D$62,"OA")),IFERROR(INDEX(ASCOPE_PMESII!$E$3:$E$62,_xlfn.AGGREGATE(15,6,(ROW(ASCOPE_PMESII!$D$3:$D$62)-ROW(ASCOPE_PMESII!$D$3)+1)/(ASCOPE_PMESII!$D$3:$D$62="OA"),3-(COUNTIF(ASCOPE_PMESII!$B$3:$B$62,"OA")))),""),IF(3&lt;=(COUNTIF(ASCOPE_PMESII!$B$3:$B$62,"OA")+COUNTIF(ASCOPE_PMESII!$D$3:$D$62,"OA")+COUNTIF(ASCOPE_PMESII!$F$3:$F$62,"OA")),IFERROR(INDEX(ASCOPE_PMESII!$G$3:$G$62,_xlfn.AGGREGATE(15,6,(ROW(ASCOPE_PMESII!$F$3:$F$62)-ROW(ASCOPE_PMESII!$F$3)+1)/(ASCOPE_PMESII!$F$3:$F$62="OA"),3-(COUNTIF(ASCOPE_PMESII!$B$3:$B$62,"OA")+COUNTIF(ASCOPE_PMESII!$D$3:$D$62,"OA")))),""),IF(3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3-(COUNTIF(ASCOPE_PMESII!$B$3:$B$62,"OA")+COUNTIF(ASCOPE_PMESII!$D$3:$D$62,"OA")+COUNTIF(ASCOPE_PMESII!$F$3:$F$62,"OA")))),""),IF(3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3-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3-(COUNTIF(ASCOPE_PMESII!$B$3:$B$62,"OA")+COUNTIF(ASCOPE_PMESII!$D$3:$D$62,"OA")+COUNTIF(ASCOPE_PMESII!$F$3:$F$62,"OA")+COUNTIF(ASCOPE_PMESII!$H$3:$H$62,"OA")+COUNTIF(ASCOPE_PMESII!$J$3:$J$62,"OA")))),"")))))),"")</f>
        <v>INTERDICT POL/LNG export, tariff collection and coercive maritime enforcement</v>
      </c>
      <c r="C6" s="21" t="str">
        <f t="array" ref="C6">IFERROR(IF(3&lt;=COUNTIF(ASCOPE_PMESII!$B$3:$B$62,"RISK"),IFERROR(INDEX(ASCOPE_PMESII!$C$3:$C$62,_xlfn.AGGREGATE(15,6,(ROW(ASCOPE_PMESII!$B$3:$B$62)-ROW(ASCOPE_PMESII!$B$3)+1)/(ASCOPE_PMESII!$B$3:$B$62="RISK"),3)),""),IF(3&lt;=(COUNTIF(ASCOPE_PMESII!$B$3:$B$62,"RISK")+COUNTIF(ASCOPE_PMESII!$D$3:$D$62,"RISK")),IFERROR(INDEX(ASCOPE_PMESII!$E$3:$E$62,_xlfn.AGGREGATE(15,6,(ROW(ASCOPE_PMESII!$D$3:$D$62)-ROW(ASCOPE_PMESII!$D$3)+1)/(ASCOPE_PMESII!$D$3:$D$62="RISK"),3-(COUNTIF(ASCOPE_PMESII!$B$3:$B$62,"RISK")))),""),IF(3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3-(COUNTIF(ASCOPE_PMESII!$B$3:$B$62,"RISK")+COUNTIF(ASCOPE_PMESII!$D$3:$D$62,"RISK")))),""),IF(3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3-(COUNTIF(ASCOPE_PMESII!$B$3:$B$62,"RISK")+COUNTIF(ASCOPE_PMESII!$D$3:$D$62,"RISK")+COUNTIF(ASCOPE_PMESII!$F$3:$F$62,"RISK")))),""),IF(3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3-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3-(COUNTIF(ASCOPE_PMESII!$B$3:$B$62,"RISK")+COUNTIF(ASCOPE_PMESII!$D$3:$D$62,"RISK")+COUNTIF(ASCOPE_PMESII!$F$3:$F$62,"RISK")+COUNTIF(ASCOPE_PMESII!$H$3:$H$62,"RISK")+COUNTIF(ASCOPE_PMESII!$J$3:$J$62,"RISK")))),"")))))),"")</f>
        <v>Economic paralysis harms GoIND and civilians</v>
      </c>
      <c r="D6" s="21" t="str">
        <f t="array" ref="D6">IFERROR(IF(3&lt;=COUNTIF(ASCOPE_PMESII!$B$3:$B$62,"CV"),IFERROR(INDEX(ASCOPE_PMESII!$C$3:$C$62,_xlfn.AGGREGATE(15,6,(ROW(ASCOPE_PMESII!$B$3:$B$62)-ROW(ASCOPE_PMESII!$B$3)+1)/(ASCOPE_PMESII!$B$3:$B$62="CV"),3)),""),IF(3&lt;=(COUNTIF(ASCOPE_PMESII!$B$3:$B$62,"CV")+COUNTIF(ASCOPE_PMESII!$D$3:$D$62,"CV")),IFERROR(INDEX(ASCOPE_PMESII!$E$3:$E$62,_xlfn.AGGREGATE(15,6,(ROW(ASCOPE_PMESII!$D$3:$D$62)-ROW(ASCOPE_PMESII!$D$3)+1)/(ASCOPE_PMESII!$D$3:$D$62="CV"),3-(COUNTIF(ASCOPE_PMESII!$B$3:$B$62,"CV")))),""),IF(3&lt;=(COUNTIF(ASCOPE_PMESII!$B$3:$B$62,"CV")+COUNTIF(ASCOPE_PMESII!$D$3:$D$62,"CV")+COUNTIF(ASCOPE_PMESII!$F$3:$F$62,"CV")),IFERROR(INDEX(ASCOPE_PMESII!$G$3:$G$62,_xlfn.AGGREGATE(15,6,(ROW(ASCOPE_PMESII!$F$3:$F$62)-ROW(ASCOPE_PMESII!$F$3)+1)/(ASCOPE_PMESII!$F$3:$F$62="CV"),3-(COUNTIF(ASCOPE_PMESII!$B$3:$B$62,"CV")+COUNTIF(ASCOPE_PMESII!$D$3:$D$62,"CV")))),""),IF(3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3-(COUNTIF(ASCOPE_PMESII!$B$3:$B$62,"CV")+COUNTIF(ASCOPE_PMESII!$D$3:$D$62,"CV")+COUNTIF(ASCOPE_PMESII!$F$3:$F$62,"CV")))),""),IF(3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3-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3-(COUNTIF(ASCOPE_PMESII!$B$3:$B$62,"CV")+COUNTIF(ASCOPE_PMESII!$D$3:$D$62,"CV")+COUNTIF(ASCOPE_PMESII!$F$3:$F$62,"CV")+COUNTIF(ASCOPE_PMESII!$H$3:$H$62,"CV")+COUNTIF(ASCOPE_PMESII!$J$3:$J$62,"CV")))),"")))))),"")</f>
        <v>Sumatra terrain favours defence and guerrilla delay</v>
      </c>
      <c r="E6" s="21" t="str">
        <f t="array" ref="E6">IFERROR(IF(3&lt;=COUNTIF(ASCOPE_PMESII!$B$3:$B$62,"COR"),IFERROR(INDEX(ASCOPE_PMESII!$C$3:$C$62,_xlfn.AGGREGATE(15,6,(ROW(ASCOPE_PMESII!$B$3:$B$62)-ROW(ASCOPE_PMESII!$B$3)+1)/(ASCOPE_PMESII!$B$3:$B$62="COR"),3)),""),IF(3&lt;=(COUNTIF(ASCOPE_PMESII!$B$3:$B$62,"COR")+COUNTIF(ASCOPE_PMESII!$D$3:$D$62,"COR")),IFERROR(INDEX(ASCOPE_PMESII!$E$3:$E$62,_xlfn.AGGREGATE(15,6,(ROW(ASCOPE_PMESII!$D$3:$D$62)-ROW(ASCOPE_PMESII!$D$3)+1)/(ASCOPE_PMESII!$D$3:$D$62="COR"),3-(COUNTIF(ASCOPE_PMESII!$B$3:$B$62,"COR")))),""),IF(3&lt;=(COUNTIF(ASCOPE_PMESII!$B$3:$B$62,"COR")+COUNTIF(ASCOPE_PMESII!$D$3:$D$62,"COR")+COUNTIF(ASCOPE_PMESII!$F$3:$F$62,"COR")),IFERROR(INDEX(ASCOPE_PMESII!$G$3:$G$62,_xlfn.AGGREGATE(15,6,(ROW(ASCOPE_PMESII!$F$3:$F$62)-ROW(ASCOPE_PMESII!$F$3)+1)/(ASCOPE_PMESII!$F$3:$F$62="COR"),3-(COUNTIF(ASCOPE_PMESII!$B$3:$B$62,"COR")+COUNTIF(ASCOPE_PMESII!$D$3:$D$62,"COR")))),""),IF(3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3-(COUNTIF(ASCOPE_PMESII!$B$3:$B$62,"COR")+COUNTIF(ASCOPE_PMESII!$D$3:$D$62,"COR")+COUNTIF(ASCOPE_PMESII!$F$3:$F$62,"COR")))),""),IF(3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3-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3-(COUNTIF(ASCOPE_PMESII!$B$3:$B$62,"COR")+COUNTIF(ASCOPE_PMESII!$D$3:$D$62,"COR")+COUNTIF(ASCOPE_PMESII!$F$3:$F$62,"COR")+COUNTIF(ASCOPE_PMESII!$H$3:$H$62,"COR")+COUNTIF(ASCOPE_PMESII!$J$3:$J$62,"COR")))),"")))))),"")</f>
        <v>Control revenue areas without destroying production</v>
      </c>
      <c r="F6" s="21" t="str">
        <f t="array" ref="F6">IFERROR(IF(3&lt;=COUNTIF(ASCOPE_PMESII!$B$3:$B$62,"REQT"),IFERROR(INDEX(ASCOPE_PMESII!$C$3:$C$62,_xlfn.AGGREGATE(15,6,(ROW(ASCOPE_PMESII!$B$3:$B$62)-ROW(ASCOPE_PMESII!$B$3)+1)/(ASCOPE_PMESII!$B$3:$B$62="REQT"),3)),""),IF(3&lt;=(COUNTIF(ASCOPE_PMESII!$B$3:$B$62,"REQT")+COUNTIF(ASCOPE_PMESII!$D$3:$D$62,"REQT")),IFERROR(INDEX(ASCOPE_PMESII!$E$3:$E$62,_xlfn.AGGREGATE(15,6,(ROW(ASCOPE_PMESII!$D$3:$D$62)-ROW(ASCOPE_PMESII!$D$3)+1)/(ASCOPE_PMESII!$D$3:$D$62="REQT"),3-(COUNTIF(ASCOPE_PMESII!$B$3:$B$62,"REQT")))),""),IF(3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3-(COUNTIF(ASCOPE_PMESII!$B$3:$B$62,"REQT")+COUNTIF(ASCOPE_PMESII!$D$3:$D$62,"REQT")))),""),IF(3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3-(COUNTIF(ASCOPE_PMESII!$B$3:$B$62,"REQT")+COUNTIF(ASCOPE_PMESII!$D$3:$D$62,"REQT")+COUNTIF(ASCOPE_PMESII!$F$3:$F$62,"REQT")))),""),IF(3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3-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3-(COUNTIF(ASCOPE_PMESII!$B$3:$B$62,"REQT")+COUNTIF(ASCOPE_PMESII!$D$3:$D$62,"REQT")+COUNTIF(ASCOPE_PMESII!$F$3:$F$62,"REQT")+COUNTIF(ASCOPE_PMESII!$H$3:$H$62,"REQT")+COUNTIF(ASCOPE_PMESII!$J$3:$J$62,"REQT")))),"")))))),"")</f>
        <v/>
      </c>
      <c r="G6" s="21" t="str">
        <f t="array" ref="G6">IFERROR(IF(3&lt;=COUNTIF(ASCOPE_PMESII!$B$3:$B$62,"REST"),IFERROR(INDEX(ASCOPE_PMESII!$C$3:$C$62,_xlfn.AGGREGATE(15,6,(ROW(ASCOPE_PMESII!$B$3:$B$62)-ROW(ASCOPE_PMESII!$B$3)+1)/(ASCOPE_PMESII!$B$3:$B$62="REST"),3)),""),IF(3&lt;=(COUNTIF(ASCOPE_PMESII!$B$3:$B$62,"REST")+COUNTIF(ASCOPE_PMESII!$D$3:$D$62,"REST")),IFERROR(INDEX(ASCOPE_PMESII!$E$3:$E$62,_xlfn.AGGREGATE(15,6,(ROW(ASCOPE_PMESII!$D$3:$D$62)-ROW(ASCOPE_PMESII!$D$3)+1)/(ASCOPE_PMESII!$D$3:$D$62="REST"),3-(COUNTIF(ASCOPE_PMESII!$B$3:$B$62,"REST")))),""),IF(3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3-(COUNTIF(ASCOPE_PMESII!$B$3:$B$62,"REST")+COUNTIF(ASCOPE_PMESII!$D$3:$D$62,"REST")))),""),IF(3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3-(COUNTIF(ASCOPE_PMESII!$B$3:$B$62,"REST")+COUNTIF(ASCOPE_PMESII!$D$3:$D$62,"REST")+COUNTIF(ASCOPE_PMESII!$F$3:$F$62,"REST")))),""),IF(3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3-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3-(COUNTIF(ASCOPE_PMESII!$B$3:$B$62,"REST")+COUNTIF(ASCOPE_PMESII!$D$3:$D$62,"REST")+COUNTIF(ASCOPE_PMESII!$F$3:$F$62,"REST")+COUNTIF(ASCOPE_PMESII!$H$3:$H$62,"REST")+COUNTIF(ASCOPE_PMESII!$J$3:$J$62,"REST")))),"")))))),"")</f>
        <v/>
      </c>
      <c r="H6" s="21" t="str">
        <f t="array" ref="H6">IFERROR(IF(3&lt;=COUNTIF(ASCOPE_PMESII!$B$3:$B$62,"KCD-MUST"),IFERROR(INDEX(ASCOPE_PMESII!$C$3:$C$62,_xlfn.AGGREGATE(15,6,(ROW(ASCOPE_PMESII!$B$3:$B$62)-ROW(ASCOPE_PMESII!$B$3)+1)/(ASCOPE_PMESII!$B$3:$B$62="KCD-MUST"),3)),""),IF(3&lt;=(COUNTIF(ASCOPE_PMESII!$B$3:$B$62,"KCD-MUST")+COUNTIF(ASCOPE_PMESII!$D$3:$D$62,"KCD-MUST")),IFERROR(INDEX(ASCOPE_PMESII!$E$3:$E$62,_xlfn.AGGREGATE(15,6,(ROW(ASCOPE_PMESII!$D$3:$D$62)-ROW(ASCOPE_PMESII!$D$3)+1)/(ASCOPE_PMESII!$D$3:$D$62="KCD-MUST"),3-(COUNTIF(ASCOPE_PMESII!$B$3:$B$62,"KCD-MUST")))),""),IF(3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3-(COUNTIF(ASCOPE_PMESII!$B$3:$B$62,"KCD-MUST")+COUNTIF(ASCOPE_PMESII!$D$3:$D$62,"KCD-MUST")))),""),IF(3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3-(COUNTIF(ASCOPE_PMESII!$B$3:$B$62,"KCD-MUST")+COUNTIF(ASCOPE_PMESII!$D$3:$D$62,"KCD-MUST")+COUNTIF(ASCOPE_PMESII!$F$3:$F$62,"KCD-MUST")))),""),IF(3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3-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3-(COUNTIF(ASCOPE_PMESII!$B$3:$B$62,"KCD-MUST")+COUNTIF(ASCOPE_PMESII!$D$3:$D$62,"KCD-MUST")+COUNTIF(ASCOPE_PMESII!$F$3:$F$62,"KCD-MUST")+COUNTIF(ASCOPE_PMESII!$H$3:$H$62,"KCD-MUST")+COUNTIF(ASCOPE_PMESII!$J$3:$J$62,"KCD-MUST")))),"")))))),"")</f>
        <v>Deny IRS revenue while preserving GoIND assets</v>
      </c>
      <c r="I6" s="21" t="str">
        <f t="array" ref="I6">IFERROR(IF(3&lt;=COUNTIF(ASCOPE_PMESII!$B$3:$B$62,"KCD-SHOULD"),IFERROR(INDEX(ASCOPE_PMESII!$C$3:$C$62,_xlfn.AGGREGATE(15,6,(ROW(ASCOPE_PMESII!$B$3:$B$62)-ROW(ASCOPE_PMESII!$B$3)+1)/(ASCOPE_PMESII!$B$3:$B$62="KCD-SHOULD"),3)),""),IF(3&lt;=(COUNTIF(ASCOPE_PMESII!$B$3:$B$62,"KCD-SHOULD")+COUNTIF(ASCOPE_PMESII!$D$3:$D$62,"KCD-SHOULD")),IFERROR(INDEX(ASCOPE_PMESII!$E$3:$E$62,_xlfn.AGGREGATE(15,6,(ROW(ASCOPE_PMESII!$D$3:$D$62)-ROW(ASCOPE_PMESII!$D$3)+1)/(ASCOPE_PMESII!$D$3:$D$62="KCD-SHOULD"),3-(COUNTIF(ASCOPE_PMESII!$B$3:$B$62,"KCD-SHOULD")))),""),IF(3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3-(COUNTIF(ASCOPE_PMESII!$B$3:$B$62,"KCD-SHOULD")+COUNTIF(ASCOPE_PMESII!$D$3:$D$62,"KCD-SHOULD")))),""),IF(3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3-(COUNTIF(ASCOPE_PMESII!$B$3:$B$62,"KCD-SHOULD")+COUNTIF(ASCOPE_PMESII!$D$3:$D$62,"KCD-SHOULD")+COUNTIF(ASCOPE_PMESII!$F$3:$F$62,"KCD-SHOULD")))),""),IF(3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3-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3-(COUNTIF(ASCOPE_PMESII!$B$3:$B$62,"KCD-SHOULD")+COUNTIF(ASCOPE_PMESII!$D$3:$D$62,"KCD-SHOULD")+COUNTIF(ASCOPE_PMESII!$F$3:$F$62,"KCD-SHOULD")+COUNTIF(ASCOPE_PMESII!$H$3:$H$62,"KCD-SHOULD")+COUNTIF(ASCOPE_PMESII!$J$3:$J$62,"KCD-SHOULD")))),"")))))),"")</f>
        <v>Target coercive export mechanisms, not livelihoods</v>
      </c>
      <c r="J6" s="21" t="str">
        <f t="array" ref="J6">IFERROR(IF(3&lt;=COUNTIF(ASCOPE_PMESII!$B$3:$B$62,"KCD-SHOULD NOT"),IFERROR(INDEX(ASCOPE_PMESII!$C$3:$C$62,_xlfn.AGGREGATE(15,6,(ROW(ASCOPE_PMESII!$B$3:$B$62)-ROW(ASCOPE_PMESII!$B$3)+1)/(ASCOPE_PMESII!$B$3:$B$62="KCD-SHOULD NOT"),3)),""),IF(3&lt;=(COUNTIF(ASCOPE_PMESII!$B$3:$B$62,"KCD-SHOULD NOT")+COUNTIF(ASCOPE_PMESII!$D$3:$D$62,"KCD-SHOULD NOT")),IFERROR(INDEX(ASCOPE_PMESII!$E$3:$E$62,_xlfn.AGGREGATE(15,6,(ROW(ASCOPE_PMESII!$D$3:$D$62)-ROW(ASCOPE_PMESII!$D$3)+1)/(ASCOPE_PMESII!$D$3:$D$62="KCD-SHOULD NOT"),3-(COUNTIF(ASCOPE_PMESII!$B$3:$B$62,"KCD-SHOULD NOT")))),""),IF(3&lt;=(COUNTIF(ASCOPE_PMESII!$B$3:$B$62,"KCD-SHOULD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NOT"),3-(COUNTIF(ASCOPE_PMESII!$B$3:$B$62,"KCD-SHOULD NOT")+COUNTIF(ASCOPE_PMESII!$D$3:$D$62,"KCD-SHOULD NOT")))),""),IF(3&lt;=(COUNTIF(ASCOPE_PMESII!$B$3:$B$62,"KCD-SHOULD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NOT"),3-(COUNTIF(ASCOPE_PMESII!$B$3:$B$62,"KCD-SHOULD NOT")+COUNTIF(ASCOPE_PMESII!$D$3:$D$62,"KCD-SHOULD NOT")+COUNTIF(ASCOPE_PMESII!$F$3:$F$62,"KCD-SHOULD NOT")))),""),IF(3&lt;=(COUNTIF(ASCOPE_PMESII!$B$3:$B$62,"KCD-SHOULD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NOT"),3-(COUNTIF(ASCOPE_PMESII!$B$3:$B$62,"KCD-SHOULD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NOT"),3-(COUNTIF(ASCOPE_PMESII!$B$3:$B$62,"KCD-SHOULD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6" s="21" t="str">
        <f t="array" ref="K6">IFERROR(IF(3&lt;=COUNTIF(ASCOPE_PMESII!$B$3:$B$62,"KCD-CANNOT"),IFERROR(INDEX(ASCOPE_PMESII!$C$3:$C$62,_xlfn.AGGREGATE(15,6,(ROW(ASCOPE_PMESII!$B$3:$B$62)-ROW(ASCOPE_PMESII!$B$3)+1)/(ASCOPE_PMESII!$B$3:$B$62="KCD-CANNOT"),3)),""),IF(3&lt;=(COUNTIF(ASCOPE_PMESII!$B$3:$B$62,"KCD-CANNOT")+COUNTIF(ASCOPE_PMESII!$D$3:$D$62,"KCD-CANNOT")),IFERROR(INDEX(ASCOPE_PMESII!$E$3:$E$62,_xlfn.AGGREGATE(15,6,(ROW(ASCOPE_PMESII!$D$3:$D$62)-ROW(ASCOPE_PMESII!$D$3)+1)/(ASCOPE_PMESII!$D$3:$D$62="KCD-CANNOT"),3-(COUNTIF(ASCOPE_PMESII!$B$3:$B$62,"KCD-CANNOT")))),""),IF(3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3-(COUNTIF(ASCOPE_PMESII!$B$3:$B$62,"KCD-CANNOT")+COUNTIF(ASCOPE_PMESII!$D$3:$D$62,"KCD-CANNOT")))),""),IF(3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3-(COUNTIF(ASCOPE_PMESII!$B$3:$B$62,"KCD-CANNOT")+COUNTIF(ASCOPE_PMESII!$D$3:$D$62,"KCD-CANNOT")+COUNTIF(ASCOPE_PMESII!$F$3:$F$62,"KCD-CANNOT")))),""),IF(3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3-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3-(COUNTIF(ASCOPE_PMESII!$B$3:$B$62,"KCD-CANNOT")+COUNTIF(ASCOPE_PMESII!$D$3:$D$62,"KCD-CANNOT")+COUNTIF(ASCOPE_PMESII!$F$3:$F$62,"KCD-CANNOT")+COUNTIF(ASCOPE_PMESII!$H$3:$H$62,"KCD-CANNOT")+COUNTIF(ASCOPE_PMESII!$J$3:$J$62,"KCD-CANNOT")))),"")))))),"")</f>
        <v>Cannot blockade without humanitarian and legal effects</v>
      </c>
      <c r="L6" s="21" t="str">
        <f t="array" ref="L6">IFERROR(IF(3&lt;=COUNTIF(ASCOPE_PMESII!$B$3:$B$62,"DECISION"),IFERROR(INDEX(ASCOPE_PMESII!$C$3:$C$62,_xlfn.AGGREGATE(15,6,(ROW(ASCOPE_PMESII!$B$3:$B$62)-ROW(ASCOPE_PMESII!$B$3)+1)/(ASCOPE_PMESII!$B$3:$B$62="DECISION"),3)),""),IF(3&lt;=(COUNTIF(ASCOPE_PMESII!$B$3:$B$62,"DECISION")+COUNTIF(ASCOPE_PMESII!$D$3:$D$62,"DECISION")),IFERROR(INDEX(ASCOPE_PMESII!$E$3:$E$62,_xlfn.AGGREGATE(15,6,(ROW(ASCOPE_PMESII!$D$3:$D$62)-ROW(ASCOPE_PMESII!$D$3)+1)/(ASCOPE_PMESII!$D$3:$D$62="DECISION"),3-(COUNTIF(ASCOPE_PMESII!$B$3:$B$62,"DECISION")))),""),IF(3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3-(COUNTIF(ASCOPE_PMESII!$B$3:$B$62,"DECISION")+COUNTIF(ASCOPE_PMESII!$D$3:$D$62,"DECISION")))),""),IF(3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3-(COUNTIF(ASCOPE_PMESII!$B$3:$B$62,"DECISION")+COUNTIF(ASCOPE_PMESII!$D$3:$D$62,"DECISION")+COUNTIF(ASCOPE_PMESII!$F$3:$F$62,"DECISION")))),""),IF(3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3-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3-(COUNTIF(ASCOPE_PMESII!$B$3:$B$62,"DECISION")+COUNTIF(ASCOPE_PMESII!$D$3:$D$62,"DECISION")+COUNTIF(ASCOPE_PMESII!$F$3:$F$62,"DECISION")+COUNTIF(ASCOPE_PMESII!$H$3:$H$62,"DECISION")+COUNTIF(ASCOPE_PMESII!$J$3:$J$62,"DECISION")))),"")))))),"")</f>
        <v>IRS crossing Aceh LD or mining Malacca</v>
      </c>
      <c r="M6" s="21" t="str">
        <f t="array" ref="M6">IFERROR(IF(3&lt;=COUNTIF(ASCOPE_PMESII!$B$3:$B$62,"ASSUMPTION"),IFERROR(INDEX(ASCOPE_PMESII!$C$3:$C$62,_xlfn.AGGREGATE(15,6,(ROW(ASCOPE_PMESII!$B$3:$B$62)-ROW(ASCOPE_PMESII!$B$3)+1)/(ASCOPE_PMESII!$B$3:$B$62="ASSUMPTION"),3)),""),IF(3&lt;=(COUNTIF(ASCOPE_PMESII!$B$3:$B$62,"ASSUMPTION")+COUNTIF(ASCOPE_PMESII!$D$3:$D$62,"ASSUMPTION")),IFERROR(INDEX(ASCOPE_PMESII!$E$3:$E$62,_xlfn.AGGREGATE(15,6,(ROW(ASCOPE_PMESII!$D$3:$D$62)-ROW(ASCOPE_PMESII!$D$3)+1)/(ASCOPE_PMESII!$D$3:$D$62="ASSUMPTION"),3-(COUNTIF(ASCOPE_PMESII!$B$3:$B$62,"ASSUMPTION")))),""),IF(3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3-(COUNTIF(ASCOPE_PMESII!$B$3:$B$62,"ASSUMPTION")+COUNTIF(ASCOPE_PMESII!$D$3:$D$62,"ASSUMPTION")))),""),IF(3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3-(COUNTIF(ASCOPE_PMESII!$B$3:$B$62,"ASSUMPTION")+COUNTIF(ASCOPE_PMESII!$D$3:$D$62,"ASSUMPTION")+COUNTIF(ASCOPE_PMESII!$F$3:$F$62,"ASSUMPTION")))),""),IF(3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3-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3-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6" s="21" t="str">
        <f t="array" ref="N6">IFERROR(IF(3&lt;=COUNTIF(ASCOPE_PMESII!$B$3:$B$62,"CONSTRAINT"),IFERROR(INDEX(ASCOPE_PMESII!$C$3:$C$62,_xlfn.AGGREGATE(15,6,(ROW(ASCOPE_PMESII!$B$3:$B$62)-ROW(ASCOPE_PMESII!$B$3)+1)/(ASCOPE_PMESII!$B$3:$B$62="CONSTRAINT"),3)),""),IF(3&lt;=(COUNTIF(ASCOPE_PMESII!$B$3:$B$62,"CONSTRAINT")+COUNTIF(ASCOPE_PMESII!$D$3:$D$62,"CONSTRAINT")),IFERROR(INDEX(ASCOPE_PMESII!$E$3:$E$62,_xlfn.AGGREGATE(15,6,(ROW(ASCOPE_PMESII!$D$3:$D$62)-ROW(ASCOPE_PMESII!$D$3)+1)/(ASCOPE_PMESII!$D$3:$D$62="CONSTRAINT"),3-(COUNTIF(ASCOPE_PMESII!$B$3:$B$62,"CONSTRAINT")))),""),IF(3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3-(COUNTIF(ASCOPE_PMESII!$B$3:$B$62,"CONSTRAINT")+COUNTIF(ASCOPE_PMESII!$D$3:$D$62,"CONSTRAINT")))),""),IF(3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3-(COUNTIF(ASCOPE_PMESII!$B$3:$B$62,"CONSTRAINT")+COUNTIF(ASCOPE_PMESII!$D$3:$D$62,"CONSTRAINT")+COUNTIF(ASCOPE_PMESII!$F$3:$F$62,"CONSTRAINT")))),""),IF(3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3-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3-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6" s="21" t="str">
        <f t="array" ref="O6">IFERROR(IF(3&lt;=COUNTIF(ASCOPE_PMESII!$B$3:$B$62,"LIMITATION"),IFERROR(INDEX(ASCOPE_PMESII!$C$3:$C$62,_xlfn.AGGREGATE(15,6,(ROW(ASCOPE_PMESII!$B$3:$B$62)-ROW(ASCOPE_PMESII!$B$3)+1)/(ASCOPE_PMESII!$B$3:$B$62="LIMITATION"),3)),""),IF(3&lt;=(COUNTIF(ASCOPE_PMESII!$B$3:$B$62,"LIMITATION")+COUNTIF(ASCOPE_PMESII!$D$3:$D$62,"LIMITATION")),IFERROR(INDEX(ASCOPE_PMESII!$E$3:$E$62,_xlfn.AGGREGATE(15,6,(ROW(ASCOPE_PMESII!$D$3:$D$62)-ROW(ASCOPE_PMESII!$D$3)+1)/(ASCOPE_PMESII!$D$3:$D$62="LIMITATION"),3-(COUNTIF(ASCOPE_PMESII!$B$3:$B$62,"LIMITATION")))),""),IF(3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3-(COUNTIF(ASCOPE_PMESII!$B$3:$B$62,"LIMITATION")+COUNTIF(ASCOPE_PMESII!$D$3:$D$62,"LIMITATION")))),""),IF(3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3-(COUNTIF(ASCOPE_PMESII!$B$3:$B$62,"LIMITATION")+COUNTIF(ASCOPE_PMESII!$D$3:$D$62,"LIMITATION")+COUNTIF(ASCOPE_PMESII!$F$3:$F$62,"LIMITATION")))),""),IF(3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3-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3-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6" s="21" t="str">
        <f t="array" ref="P6">IFERROR(IF(3&lt;=COUNTIF(ASCOPE_PMESII!$B$3:$B$62,"CC"),IFERROR(INDEX(ASCOPE_PMESII!$C$3:$C$62,_xlfn.AGGREGATE(15,6,(ROW(ASCOPE_PMESII!$B$3:$B$62)-ROW(ASCOPE_PMESII!$B$3)+1)/(ASCOPE_PMESII!$B$3:$B$62="CC"),3)),""),IF(3&lt;=(COUNTIF(ASCOPE_PMESII!$B$3:$B$62,"CC")+COUNTIF(ASCOPE_PMESII!$D$3:$D$62,"CC")),IFERROR(INDEX(ASCOPE_PMESII!$E$3:$E$62,_xlfn.AGGREGATE(15,6,(ROW(ASCOPE_PMESII!$D$3:$D$62)-ROW(ASCOPE_PMESII!$D$3)+1)/(ASCOPE_PMESII!$D$3:$D$62="CC"),3-(COUNTIF(ASCOPE_PMESII!$B$3:$B$62,"CC")))),""),IF(3&lt;=(COUNTIF(ASCOPE_PMESII!$B$3:$B$62,"CC")+COUNTIF(ASCOPE_PMESII!$D$3:$D$62,"CC")+COUNTIF(ASCOPE_PMESII!$F$3:$F$62,"CC")),IFERROR(INDEX(ASCOPE_PMESII!$G$3:$G$62,_xlfn.AGGREGATE(15,6,(ROW(ASCOPE_PMESII!$F$3:$F$62)-ROW(ASCOPE_PMESII!$F$3)+1)/(ASCOPE_PMESII!$F$3:$F$62="CC"),3-(COUNTIF(ASCOPE_PMESII!$B$3:$B$62,"CC")+COUNTIF(ASCOPE_PMESII!$D$3:$D$62,"CC")))),""),IF(3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3-(COUNTIF(ASCOPE_PMESII!$B$3:$B$62,"CC")+COUNTIF(ASCOPE_PMESII!$D$3:$D$62,"CC")+COUNTIF(ASCOPE_PMESII!$F$3:$F$62,"CC")))),""),IF(3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3-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3-(COUNTIF(ASCOPE_PMESII!$B$3:$B$62,"CC")+COUNTIF(ASCOPE_PMESII!$D$3:$D$62,"CC")+COUNTIF(ASCOPE_PMESII!$F$3:$F$62,"CC")+COUNTIF(ASCOPE_PMESII!$H$3:$H$62,"CC")+COUNTIF(ASCOPE_PMESII!$J$3:$J$62,"CC")))),"")))))),"")</f>
        <v>Sumatra holds critical oil, LNG and export base</v>
      </c>
      <c r="Q6" s="21" t="str">
        <f t="array" ref="Q6">IFERROR(IF(3&lt;=COUNTIF(ASCOPE_PMESII!$B$3:$B$62,"CR"),IFERROR(INDEX(ASCOPE_PMESII!$C$3:$C$62,_xlfn.AGGREGATE(15,6,(ROW(ASCOPE_PMESII!$B$3:$B$62)-ROW(ASCOPE_PMESII!$B$3)+1)/(ASCOPE_PMESII!$B$3:$B$62="CR"),3)),""),IF(3&lt;=(COUNTIF(ASCOPE_PMESII!$B$3:$B$62,"CR")+COUNTIF(ASCOPE_PMESII!$D$3:$D$62,"CR")),IFERROR(INDEX(ASCOPE_PMESII!$E$3:$E$62,_xlfn.AGGREGATE(15,6,(ROW(ASCOPE_PMESII!$D$3:$D$62)-ROW(ASCOPE_PMESII!$D$3)+1)/(ASCOPE_PMESII!$D$3:$D$62="CR"),3-(COUNTIF(ASCOPE_PMESII!$B$3:$B$62,"CR")))),""),IF(3&lt;=(COUNTIF(ASCOPE_PMESII!$B$3:$B$62,"CR")+COUNTIF(ASCOPE_PMESII!$D$3:$D$62,"CR")+COUNTIF(ASCOPE_PMESII!$F$3:$F$62,"CR")),IFERROR(INDEX(ASCOPE_PMESII!$G$3:$G$62,_xlfn.AGGREGATE(15,6,(ROW(ASCOPE_PMESII!$F$3:$F$62)-ROW(ASCOPE_PMESII!$F$3)+1)/(ASCOPE_PMESII!$F$3:$F$62="CR"),3-(COUNTIF(ASCOPE_PMESII!$B$3:$B$62,"CR")+COUNTIF(ASCOPE_PMESII!$D$3:$D$62,"CR")))),""),IF(3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3-(COUNTIF(ASCOPE_PMESII!$B$3:$B$62,"CR")+COUNTIF(ASCOPE_PMESII!$D$3:$D$62,"CR")+COUNTIF(ASCOPE_PMESII!$F$3:$F$62,"CR")))),""),IF(3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3-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3-(COUNTIF(ASCOPE_PMESII!$B$3:$B$62,"CR")+COUNTIF(ASCOPE_PMESII!$D$3:$D$62,"CR")+COUNTIF(ASCOPE_PMESII!$F$3:$F$62,"CR")+COUNTIF(ASCOPE_PMESII!$H$3:$H$62,"CR")+COUNTIF(ASCOPE_PMESII!$J$3:$J$62,"CR")))),"")))))),"")</f>
        <v>BELAWAN-DUMAI-POL corridor must be mapped</v>
      </c>
      <c r="R6" s="94" t="str">
        <f t="array" ref="R6">IFERROR(IF(3&lt;=COUNTIF(ASCOPE_PMESII!$B$3:$B$62,"PCS"),IFERROR(INDEX(ASCOPE_PMESII!$C$3:$C$62,_xlfn.AGGREGATE(15,6,(ROW(ASCOPE_PMESII!$B$3:$B$62)-ROW(ASCOPE_PMESII!$B$3)+1)/(ASCOPE_PMESII!$B$3:$B$62="PCS"),3)),""),IF(3&lt;=(COUNTIF(ASCOPE_PMESII!$B$3:$B$62,"PCS")+COUNTIF(ASCOPE_PMESII!$D$3:$D$62,"PCS")),IFERROR(INDEX(ASCOPE_PMESII!$E$3:$E$62,_xlfn.AGGREGATE(15,6,(ROW(ASCOPE_PMESII!$D$3:$D$62)-ROW(ASCOPE_PMESII!$D$3)+1)/(ASCOPE_PMESII!$D$3:$D$62="PCS"),3-(COUNTIF(ASCOPE_PMESII!$B$3:$B$62,"PCS")))),""),IF(3&lt;=(COUNTIF(ASCOPE_PMESII!$B$3:$B$62,"PCS")+COUNTIF(ASCOPE_PMESII!$D$3:$D$62,"PCS")+COUNTIF(ASCOPE_PMESII!$F$3:$F$62,"PCS")),IFERROR(INDEX(ASCOPE_PMESII!$G$3:$G$62,_xlfn.AGGREGATE(15,6,(ROW(ASCOPE_PMESII!$F$3:$F$62)-ROW(ASCOPE_PMESII!$F$3)+1)/(ASCOPE_PMESII!$F$3:$F$62="PCS"),3-(COUNTIF(ASCOPE_PMESII!$B$3:$B$62,"PCS")+COUNTIF(ASCOPE_PMESII!$D$3:$D$62,"PCS")))),""),IF(3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3-(COUNTIF(ASCOPE_PMESII!$B$3:$B$62,"PCS")+COUNTIF(ASCOPE_PMESII!$D$3:$D$62,"PCS")+COUNTIF(ASCOPE_PMESII!$F$3:$F$62,"PCS")))),""),IF(3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3-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3-(COUNTIF(ASCOPE_PMESII!$B$3:$B$62,"PCS")+COUNTIF(ASCOPE_PMESII!$D$3:$D$62,"PCS")+COUNTIF(ASCOPE_PMESII!$F$3:$F$62,"PCS")+COUNTIF(ASCOPE_PMESII!$H$3:$H$62,"PCS")+COUNTIF(ASCOPE_PMESII!$J$3:$J$62,"PCS")))),"")))))),"")</f>
        <v/>
      </c>
    </row>
    <row r="7" spans="1:18" ht="34.5" customHeight="1">
      <c r="A7" s="22" t="str">
        <f t="array" ref="A7">IFERROR(IF(4&lt;=COUNTIF(ASCOPE_PMESII!$B$3:$B$62,"OE"),IFERROR(INDEX(ASCOPE_PMESII!$C$3:$C$62,_xlfn.AGGREGATE(15,6,(ROW(ASCOPE_PMESII!$B$3:$B$62)-ROW(ASCOPE_PMESII!$B$3)+1)/(ASCOPE_PMESII!$B$3:$B$62="OE"),4)),""),IF(4&lt;=(COUNTIF(ASCOPE_PMESII!$B$3:$B$62,"OE")+COUNTIF(ASCOPE_PMESII!$D$3:$D$62,"OE")),IFERROR(INDEX(ASCOPE_PMESII!$E$3:$E$62,_xlfn.AGGREGATE(15,6,(ROW(ASCOPE_PMESII!$D$3:$D$62)-ROW(ASCOPE_PMESII!$D$3)+1)/(ASCOPE_PMESII!$D$3:$D$62="OE"),4-(COUNTIF(ASCOPE_PMESII!$B$3:$B$62,"OE")))),""),IF(4&lt;=(COUNTIF(ASCOPE_PMESII!$B$3:$B$62,"OE")+COUNTIF(ASCOPE_PMESII!$D$3:$D$62,"OE")+COUNTIF(ASCOPE_PMESII!$F$3:$F$62,"OE")),IFERROR(INDEX(ASCOPE_PMESII!$G$3:$G$62,_xlfn.AGGREGATE(15,6,(ROW(ASCOPE_PMESII!$F$3:$F$62)-ROW(ASCOPE_PMESII!$F$3)+1)/(ASCOPE_PMESII!$F$3:$F$62="OE"),4-(COUNTIF(ASCOPE_PMESII!$B$3:$B$62,"OE")+COUNTIF(ASCOPE_PMESII!$D$3:$D$62,"OE")))),""),IF(4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4-(COUNTIF(ASCOPE_PMESII!$B$3:$B$62,"OE")+COUNTIF(ASCOPE_PMESII!$D$3:$D$62,"OE")+COUNTIF(ASCOPE_PMESII!$F$3:$F$62,"OE")))),""),IF(4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4-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4-(COUNTIF(ASCOPE_PMESII!$B$3:$B$62,"OE")+COUNTIF(ASCOPE_PMESII!$D$3:$D$62,"OE")+COUNTIF(ASCOPE_PMESII!$F$3:$F$62,"OE")+COUNTIF(ASCOPE_PMESII!$H$3:$H$62,"OE")+COUNTIF(ASCOPE_PMESII!$J$3:$J$62,"OE")))),"")))))),"")</f>
        <v>MANIPULATE IRS coalition</v>
      </c>
      <c r="B7" s="22" t="str">
        <f t="array" ref="B7">IFERROR(IF(4&lt;=COUNTIF(ASCOPE_PMESII!$B$3:$B$62,"OA"),IFERROR(INDEX(ASCOPE_PMESII!$C$3:$C$62,_xlfn.AGGREGATE(15,6,(ROW(ASCOPE_PMESII!$B$3:$B$62)-ROW(ASCOPE_PMESII!$B$3)+1)/(ASCOPE_PMESII!$B$3:$B$62="OA"),4)),""),IF(4&lt;=(COUNTIF(ASCOPE_PMESII!$B$3:$B$62,"OA")+COUNTIF(ASCOPE_PMESII!$D$3:$D$62,"OA")),IFERROR(INDEX(ASCOPE_PMESII!$E$3:$E$62,_xlfn.AGGREGATE(15,6,(ROW(ASCOPE_PMESII!$D$3:$D$62)-ROW(ASCOPE_PMESII!$D$3)+1)/(ASCOPE_PMESII!$D$3:$D$62="OA"),4-(COUNTIF(ASCOPE_PMESII!$B$3:$B$62,"OA")))),""),IF(4&lt;=(COUNTIF(ASCOPE_PMESII!$B$3:$B$62,"OA")+COUNTIF(ASCOPE_PMESII!$D$3:$D$62,"OA")+COUNTIF(ASCOPE_PMESII!$F$3:$F$62,"OA")),IFERROR(INDEX(ASCOPE_PMESII!$G$3:$G$62,_xlfn.AGGREGATE(15,6,(ROW(ASCOPE_PMESII!$F$3:$F$62)-ROW(ASCOPE_PMESII!$F$3)+1)/(ASCOPE_PMESII!$F$3:$F$62="OA"),4-(COUNTIF(ASCOPE_PMESII!$B$3:$B$62,"OA")+COUNTIF(ASCOPE_PMESII!$D$3:$D$62,"OA")))),""),IF(4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4-(COUNTIF(ASCOPE_PMESII!$B$3:$B$62,"OA")+COUNTIF(ASCOPE_PMESII!$D$3:$D$62,"OA")+COUNTIF(ASCOPE_PMESII!$F$3:$F$62,"OA")))),""),IF(4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4-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4-(COUNTIF(ASCOPE_PMESII!$B$3:$B$62,"OA")+COUNTIF(ASCOPE_PMESII!$D$3:$D$62,"OA")+COUNTIF(ASCOPE_PMESII!$F$3:$F$62,"OA")+COUNTIF(ASCOPE_PMESII!$H$3:$H$62,"OA")+COUNTIF(ASCOPE_PMESII!$J$3:$J$62,"OA")))),"")))))),"")</f>
        <v>CHANNEL local-language evidence through trusted intermediaries</v>
      </c>
      <c r="C7" s="22" t="str">
        <f t="array" ref="C7">IFERROR(IF(4&lt;=COUNTIF(ASCOPE_PMESII!$B$3:$B$62,"RISK"),IFERROR(INDEX(ASCOPE_PMESII!$C$3:$C$62,_xlfn.AGGREGATE(15,6,(ROW(ASCOPE_PMESII!$B$3:$B$62)-ROW(ASCOPE_PMESII!$B$3)+1)/(ASCOPE_PMESII!$B$3:$B$62="RISK"),4)),""),IF(4&lt;=(COUNTIF(ASCOPE_PMESII!$B$3:$B$62,"RISK")+COUNTIF(ASCOPE_PMESII!$D$3:$D$62,"RISK")),IFERROR(INDEX(ASCOPE_PMESII!$E$3:$E$62,_xlfn.AGGREGATE(15,6,(ROW(ASCOPE_PMESII!$D$3:$D$62)-ROW(ASCOPE_PMESII!$D$3)+1)/(ASCOPE_PMESII!$D$3:$D$62="RISK"),4-(COUNTIF(ASCOPE_PMESII!$B$3:$B$62,"RISK")))),""),IF(4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4-(COUNTIF(ASCOPE_PMESII!$B$3:$B$62,"RISK")+COUNTIF(ASCOPE_PMESII!$D$3:$D$62,"RISK")))),""),IF(4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4-(COUNTIF(ASCOPE_PMESII!$B$3:$B$62,"RISK")+COUNTIF(ASCOPE_PMESII!$D$3:$D$62,"RISK")+COUNTIF(ASCOPE_PMESII!$F$3:$F$62,"RISK")))),""),IF(4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4-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4-(COUNTIF(ASCOPE_PMESII!$B$3:$B$62,"RISK")+COUNTIF(ASCOPE_PMESII!$D$3:$D$62,"RISK")+COUNTIF(ASCOPE_PMESII!$F$3:$F$62,"RISK")+COUNTIF(ASCOPE_PMESII!$H$3:$H$62,"RISK")+COUNTIF(ASCOPE_PMESII!$J$3:$J$62,"RISK")))),"")))))),"")</f>
        <v>One-size messaging alienates key audiences</v>
      </c>
      <c r="D7" s="22" t="str">
        <f t="array" ref="D7">IFERROR(IF(4&lt;=COUNTIF(ASCOPE_PMESII!$B$3:$B$62,"CV"),IFERROR(INDEX(ASCOPE_PMESII!$C$3:$C$62,_xlfn.AGGREGATE(15,6,(ROW(ASCOPE_PMESII!$B$3:$B$62)-ROW(ASCOPE_PMESII!$B$3)+1)/(ASCOPE_PMESII!$B$3:$B$62="CV"),4)),""),IF(4&lt;=(COUNTIF(ASCOPE_PMESII!$B$3:$B$62,"CV")+COUNTIF(ASCOPE_PMESII!$D$3:$D$62,"CV")),IFERROR(INDEX(ASCOPE_PMESII!$E$3:$E$62,_xlfn.AGGREGATE(15,6,(ROW(ASCOPE_PMESII!$D$3:$D$62)-ROW(ASCOPE_PMESII!$D$3)+1)/(ASCOPE_PMESII!$D$3:$D$62="CV"),4-(COUNTIF(ASCOPE_PMESII!$B$3:$B$62,"CV")))),""),IF(4&lt;=(COUNTIF(ASCOPE_PMESII!$B$3:$B$62,"CV")+COUNTIF(ASCOPE_PMESII!$D$3:$D$62,"CV")+COUNTIF(ASCOPE_PMESII!$F$3:$F$62,"CV")),IFERROR(INDEX(ASCOPE_PMESII!$G$3:$G$62,_xlfn.AGGREGATE(15,6,(ROW(ASCOPE_PMESII!$F$3:$F$62)-ROW(ASCOPE_PMESII!$F$3)+1)/(ASCOPE_PMESII!$F$3:$F$62="CV"),4-(COUNTIF(ASCOPE_PMESII!$B$3:$B$62,"CV")+COUNTIF(ASCOPE_PMESII!$D$3:$D$62,"CV")))),""),IF(4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4-(COUNTIF(ASCOPE_PMESII!$B$3:$B$62,"CV")+COUNTIF(ASCOPE_PMESII!$D$3:$D$62,"CV")+COUNTIF(ASCOPE_PMESII!$F$3:$F$62,"CV")))),""),IF(4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4-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4-(COUNTIF(ASCOPE_PMESII!$B$3:$B$62,"CV")+COUNTIF(ASCOPE_PMESII!$D$3:$D$62,"CV")+COUNTIF(ASCOPE_PMESII!$F$3:$F$62,"CV")+COUNTIF(ASCOPE_PMESII!$H$3:$H$62,"CV")+COUNTIF(ASCOPE_PMESII!$J$3:$J$62,"CV")))),"")))))),"")</f>
        <v>75 percent hinders cross-country manoeuvre</v>
      </c>
      <c r="E7" s="22" t="str">
        <f t="array" ref="E7">IFERROR(IF(4&lt;=COUNTIF(ASCOPE_PMESII!$B$3:$B$62,"COR"),IFERROR(INDEX(ASCOPE_PMESII!$C$3:$C$62,_xlfn.AGGREGATE(15,6,(ROW(ASCOPE_PMESII!$B$3:$B$62)-ROW(ASCOPE_PMESII!$B$3)+1)/(ASCOPE_PMESII!$B$3:$B$62="COR"),4)),""),IF(4&lt;=(COUNTIF(ASCOPE_PMESII!$B$3:$B$62,"COR")+COUNTIF(ASCOPE_PMESII!$D$3:$D$62,"COR")),IFERROR(INDEX(ASCOPE_PMESII!$E$3:$E$62,_xlfn.AGGREGATE(15,6,(ROW(ASCOPE_PMESII!$D$3:$D$62)-ROW(ASCOPE_PMESII!$D$3)+1)/(ASCOPE_PMESII!$D$3:$D$62="COR"),4-(COUNTIF(ASCOPE_PMESII!$B$3:$B$62,"COR")))),""),IF(4&lt;=(COUNTIF(ASCOPE_PMESII!$B$3:$B$62,"COR")+COUNTIF(ASCOPE_PMESII!$D$3:$D$62,"COR")+COUNTIF(ASCOPE_PMESII!$F$3:$F$62,"COR")),IFERROR(INDEX(ASCOPE_PMESII!$G$3:$G$62,_xlfn.AGGREGATE(15,6,(ROW(ASCOPE_PMESII!$F$3:$F$62)-ROW(ASCOPE_PMESII!$F$3)+1)/(ASCOPE_PMESII!$F$3:$F$62="COR"),4-(COUNTIF(ASCOPE_PMESII!$B$3:$B$62,"COR")+COUNTIF(ASCOPE_PMESII!$D$3:$D$62,"COR")))),""),IF(4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4-(COUNTIF(ASCOPE_PMESII!$B$3:$B$62,"COR")+COUNTIF(ASCOPE_PMESII!$D$3:$D$62,"COR")+COUNTIF(ASCOPE_PMESII!$F$3:$F$62,"COR")))),""),IF(4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4-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4-(COUNTIF(ASCOPE_PMESII!$B$3:$B$62,"COR")+COUNTIF(ASCOPE_PMESII!$D$3:$D$62,"COR")+COUNTIF(ASCOPE_PMESII!$F$3:$F$62,"COR")+COUNTIF(ASCOPE_PMESII!$H$3:$H$62,"COR")+COUNTIF(ASCOPE_PMESII!$J$3:$J$62,"COR")))),"")))))),"")</f>
        <v>Segment engagement by province and culture</v>
      </c>
      <c r="F7" s="22" t="str">
        <f t="array" ref="F7">IFERROR(IF(4&lt;=COUNTIF(ASCOPE_PMESII!$B$3:$B$62,"REQT"),IFERROR(INDEX(ASCOPE_PMESII!$C$3:$C$62,_xlfn.AGGREGATE(15,6,(ROW(ASCOPE_PMESII!$B$3:$B$62)-ROW(ASCOPE_PMESII!$B$3)+1)/(ASCOPE_PMESII!$B$3:$B$62="REQT"),4)),""),IF(4&lt;=(COUNTIF(ASCOPE_PMESII!$B$3:$B$62,"REQT")+COUNTIF(ASCOPE_PMESII!$D$3:$D$62,"REQT")),IFERROR(INDEX(ASCOPE_PMESII!$E$3:$E$62,_xlfn.AGGREGATE(15,6,(ROW(ASCOPE_PMESII!$D$3:$D$62)-ROW(ASCOPE_PMESII!$D$3)+1)/(ASCOPE_PMESII!$D$3:$D$62="REQT"),4-(COUNTIF(ASCOPE_PMESII!$B$3:$B$62,"REQT")))),""),IF(4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4-(COUNTIF(ASCOPE_PMESII!$B$3:$B$62,"REQT")+COUNTIF(ASCOPE_PMESII!$D$3:$D$62,"REQT")))),""),IF(4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4-(COUNTIF(ASCOPE_PMESII!$B$3:$B$62,"REQT")+COUNTIF(ASCOPE_PMESII!$D$3:$D$62,"REQT")+COUNTIF(ASCOPE_PMESII!$F$3:$F$62,"REQT")))),""),IF(4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4-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4-(COUNTIF(ASCOPE_PMESII!$B$3:$B$62,"REQT")+COUNTIF(ASCOPE_PMESII!$D$3:$D$62,"REQT")+COUNTIF(ASCOPE_PMESII!$F$3:$F$62,"REQT")+COUNTIF(ASCOPE_PMESII!$H$3:$H$62,"REQT")+COUNTIF(ASCOPE_PMESII!$J$3:$J$62,"REQT")))),"")))))),"")</f>
        <v/>
      </c>
      <c r="G7" s="22" t="str">
        <f t="array" ref="G7">IFERROR(IF(4&lt;=COUNTIF(ASCOPE_PMESII!$B$3:$B$62,"REST"),IFERROR(INDEX(ASCOPE_PMESII!$C$3:$C$62,_xlfn.AGGREGATE(15,6,(ROW(ASCOPE_PMESII!$B$3:$B$62)-ROW(ASCOPE_PMESII!$B$3)+1)/(ASCOPE_PMESII!$B$3:$B$62="REST"),4)),""),IF(4&lt;=(COUNTIF(ASCOPE_PMESII!$B$3:$B$62,"REST")+COUNTIF(ASCOPE_PMESII!$D$3:$D$62,"REST")),IFERROR(INDEX(ASCOPE_PMESII!$E$3:$E$62,_xlfn.AGGREGATE(15,6,(ROW(ASCOPE_PMESII!$D$3:$D$62)-ROW(ASCOPE_PMESII!$D$3)+1)/(ASCOPE_PMESII!$D$3:$D$62="REST"),4-(COUNTIF(ASCOPE_PMESII!$B$3:$B$62,"REST")))),""),IF(4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4-(COUNTIF(ASCOPE_PMESII!$B$3:$B$62,"REST")+COUNTIF(ASCOPE_PMESII!$D$3:$D$62,"REST")))),""),IF(4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4-(COUNTIF(ASCOPE_PMESII!$B$3:$B$62,"REST")+COUNTIF(ASCOPE_PMESII!$D$3:$D$62,"REST")+COUNTIF(ASCOPE_PMESII!$F$3:$F$62,"REST")))),""),IF(4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4-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4-(COUNTIF(ASCOPE_PMESII!$B$3:$B$62,"REST")+COUNTIF(ASCOPE_PMESII!$D$3:$D$62,"REST")+COUNTIF(ASCOPE_PMESII!$F$3:$F$62,"REST")+COUNTIF(ASCOPE_PMESII!$H$3:$H$62,"REST")+COUNTIF(ASCOPE_PMESII!$J$3:$J$62,"REST")))),"")))))),"")</f>
        <v/>
      </c>
      <c r="H7" s="22" t="str">
        <f t="array" ref="H7">IFERROR(IF(4&lt;=COUNTIF(ASCOPE_PMESII!$B$3:$B$62,"KCD-MUST"),IFERROR(INDEX(ASCOPE_PMESII!$C$3:$C$62,_xlfn.AGGREGATE(15,6,(ROW(ASCOPE_PMESII!$B$3:$B$62)-ROW(ASCOPE_PMESII!$B$3)+1)/(ASCOPE_PMESII!$B$3:$B$62="KCD-MUST"),4)),""),IF(4&lt;=(COUNTIF(ASCOPE_PMESII!$B$3:$B$62,"KCD-MUST")+COUNTIF(ASCOPE_PMESII!$D$3:$D$62,"KCD-MUST")),IFERROR(INDEX(ASCOPE_PMESII!$E$3:$E$62,_xlfn.AGGREGATE(15,6,(ROW(ASCOPE_PMESII!$D$3:$D$62)-ROW(ASCOPE_PMESII!$D$3)+1)/(ASCOPE_PMESII!$D$3:$D$62="KCD-MUST"),4-(COUNTIF(ASCOPE_PMESII!$B$3:$B$62,"KCD-MUST")))),""),IF(4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4-(COUNTIF(ASCOPE_PMESII!$B$3:$B$62,"KCD-MUST")+COUNTIF(ASCOPE_PMESII!$D$3:$D$62,"KCD-MUST")))),""),IF(4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4-(COUNTIF(ASCOPE_PMESII!$B$3:$B$62,"KCD-MUST")+COUNTIF(ASCOPE_PMESII!$D$3:$D$62,"KCD-MUST")+COUNTIF(ASCOPE_PMESII!$F$3:$F$62,"KCD-MUST")))),""),IF(4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4-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4-(COUNTIF(ASCOPE_PMESII!$B$3:$B$62,"KCD-MUST")+COUNTIF(ASCOPE_PMESII!$D$3:$D$62,"KCD-MUST")+COUNTIF(ASCOPE_PMESII!$F$3:$F$62,"KCD-MUST")+COUNTIF(ASCOPE_PMESII!$H$3:$H$62,"KCD-MUST")+COUNTIF(ASCOPE_PMESII!$J$3:$J$62,"KCD-MUST")))),"")))))),"")</f>
        <v>Treat identity as operational terrain</v>
      </c>
      <c r="I7" s="22" t="str">
        <f t="array" ref="I7">IFERROR(IF(4&lt;=COUNTIF(ASCOPE_PMESII!$B$3:$B$62,"KCD-SHOULD"),IFERROR(INDEX(ASCOPE_PMESII!$C$3:$C$62,_xlfn.AGGREGATE(15,6,(ROW(ASCOPE_PMESII!$B$3:$B$62)-ROW(ASCOPE_PMESII!$B$3)+1)/(ASCOPE_PMESII!$B$3:$B$62="KCD-SHOULD"),4)),""),IF(4&lt;=(COUNTIF(ASCOPE_PMESII!$B$3:$B$62,"KCD-SHOULD")+COUNTIF(ASCOPE_PMESII!$D$3:$D$62,"KCD-SHOULD")),IFERROR(INDEX(ASCOPE_PMESII!$E$3:$E$62,_xlfn.AGGREGATE(15,6,(ROW(ASCOPE_PMESII!$D$3:$D$62)-ROW(ASCOPE_PMESII!$D$3)+1)/(ASCOPE_PMESII!$D$3:$D$62="KCD-SHOULD"),4-(COUNTIF(ASCOPE_PMESII!$B$3:$B$62,"KCD-SHOULD")))),""),IF(4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4-(COUNTIF(ASCOPE_PMESII!$B$3:$B$62,"KCD-SHOULD")+COUNTIF(ASCOPE_PMESII!$D$3:$D$62,"KCD-SHOULD")))),""),IF(4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4-(COUNTIF(ASCOPE_PMESII!$B$3:$B$62,"KCD-SHOULD")+COUNTIF(ASCOPE_PMESII!$D$3:$D$62,"KCD-SHOULD")+COUNTIF(ASCOPE_PMESII!$F$3:$F$62,"KCD-SHOULD")))),""),IF(4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4-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4-(COUNTIF(ASCOPE_PMESII!$B$3:$B$62,"KCD-SHOULD")+COUNTIF(ASCOPE_PMESII!$D$3:$D$62,"KCD-SHOULD")+COUNTIF(ASCOPE_PMESII!$F$3:$F$62,"KCD-SHOULD")+COUNTIF(ASCOPE_PMESII!$H$3:$H$62,"KCD-SHOULD")+COUNTIF(ASCOPE_PMESII!$J$3:$J$62,"KCD-SHOULD")))),"")))))),"")</f>
        <v>Prioritise Medan, Aceh and energy communities</v>
      </c>
      <c r="J7" s="22" t="str">
        <f t="array" ref="J7">IFERROR(IF(4&lt;=COUNTIF(ASCOPE_PMESII!$B$3:$B$62,"KCD-SHOULD NOT"),IFERROR(INDEX(ASCOPE_PMESII!$C$3:$C$62,_xlfn.AGGREGATE(15,6,(ROW(ASCOPE_PMESII!$B$3:$B$62)-ROW(ASCOPE_PMESII!$B$3)+1)/(ASCOPE_PMESII!$B$3:$B$62="KCD-SHOULD NOT"),4)),""),IF(4&lt;=(COUNTIF(ASCOPE_PMESII!$B$3:$B$62,"KCD-SHOULD NOT")+COUNTIF(ASCOPE_PMESII!$D$3:$D$62,"KCD-SHOULD NOT")),IFERROR(INDEX(ASCOPE_PMESII!$E$3:$E$62,_xlfn.AGGREGATE(15,6,(ROW(ASCOPE_PMESII!$D$3:$D$62)-ROW(ASCOPE_PMESII!$D$3)+1)/(ASCOPE_PMESII!$D$3:$D$62="KCD-SHOULD NOT"),4-(COUNTIF(ASCOPE_PMESII!$B$3:$B$62,"KCD-SHOULD NOT")))),""),IF(4&lt;=(COUNTIF(ASCOPE_PMESII!$B$3:$B$62,"KCD-SHOULD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NOT"),4-(COUNTIF(ASCOPE_PMESII!$B$3:$B$62,"KCD-SHOULD NOT")+COUNTIF(ASCOPE_PMESII!$D$3:$D$62,"KCD-SHOULD NOT")))),""),IF(4&lt;=(COUNTIF(ASCOPE_PMESII!$B$3:$B$62,"KCD-SHOULD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NOT"),4-(COUNTIF(ASCOPE_PMESII!$B$3:$B$62,"KCD-SHOULD NOT")+COUNTIF(ASCOPE_PMESII!$D$3:$D$62,"KCD-SHOULD NOT")+COUNTIF(ASCOPE_PMESII!$F$3:$F$62,"KCD-SHOULD NOT")))),""),IF(4&lt;=(COUNTIF(ASCOPE_PMESII!$B$3:$B$62,"KCD-SHOULD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NOT"),4-(COUNTIF(ASCOPE_PMESII!$B$3:$B$62,"KCD-SHOULD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NOT"),4-(COUNTIF(ASCOPE_PMESII!$B$3:$B$62,"KCD-SHOULD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7" s="22" t="str">
        <f t="array" ref="K7">IFERROR(IF(4&lt;=COUNTIF(ASCOPE_PMESII!$B$3:$B$62,"KCD-CANNOT"),IFERROR(INDEX(ASCOPE_PMESII!$C$3:$C$62,_xlfn.AGGREGATE(15,6,(ROW(ASCOPE_PMESII!$B$3:$B$62)-ROW(ASCOPE_PMESII!$B$3)+1)/(ASCOPE_PMESII!$B$3:$B$62="KCD-CANNOT"),4)),""),IF(4&lt;=(COUNTIF(ASCOPE_PMESII!$B$3:$B$62,"KCD-CANNOT")+COUNTIF(ASCOPE_PMESII!$D$3:$D$62,"KCD-CANNOT")),IFERROR(INDEX(ASCOPE_PMESII!$E$3:$E$62,_xlfn.AGGREGATE(15,6,(ROW(ASCOPE_PMESII!$D$3:$D$62)-ROW(ASCOPE_PMESII!$D$3)+1)/(ASCOPE_PMESII!$D$3:$D$62="KCD-CANNOT"),4-(COUNTIF(ASCOPE_PMESII!$B$3:$B$62,"KCD-CANNOT")))),""),IF(4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4-(COUNTIF(ASCOPE_PMESII!$B$3:$B$62,"KCD-CANNOT")+COUNTIF(ASCOPE_PMESII!$D$3:$D$62,"KCD-CANNOT")))),""),IF(4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4-(COUNTIF(ASCOPE_PMESII!$B$3:$B$62,"KCD-CANNOT")+COUNTIF(ASCOPE_PMESII!$D$3:$D$62,"KCD-CANNOT")+COUNTIF(ASCOPE_PMESII!$F$3:$F$62,"KCD-CANNOT")))),""),IF(4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4-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4-(COUNTIF(ASCOPE_PMESII!$B$3:$B$62,"KCD-CANNOT")+COUNTIF(ASCOPE_PMESII!$D$3:$D$62,"KCD-CANNOT")+COUNTIF(ASCOPE_PMESII!$F$3:$F$62,"KCD-CANNOT")+COUNTIF(ASCOPE_PMESII!$H$3:$H$62,"KCD-CANNOT")+COUNTIF(ASCOPE_PMESII!$J$3:$J$62,"KCD-CANNOT")))),"")))))),"")</f>
        <v>Cannot assume anti-Java equals pro-IRS</v>
      </c>
      <c r="L7" s="22" t="str">
        <f t="array" ref="L7">IFERROR(IF(4&lt;=COUNTIF(ASCOPE_PMESII!$B$3:$B$62,"DECISION"),IFERROR(INDEX(ASCOPE_PMESII!$C$3:$C$62,_xlfn.AGGREGATE(15,6,(ROW(ASCOPE_PMESII!$B$3:$B$62)-ROW(ASCOPE_PMESII!$B$3)+1)/(ASCOPE_PMESII!$B$3:$B$62="DECISION"),4)),""),IF(4&lt;=(COUNTIF(ASCOPE_PMESII!$B$3:$B$62,"DECISION")+COUNTIF(ASCOPE_PMESII!$D$3:$D$62,"DECISION")),IFERROR(INDEX(ASCOPE_PMESII!$E$3:$E$62,_xlfn.AGGREGATE(15,6,(ROW(ASCOPE_PMESII!$D$3:$D$62)-ROW(ASCOPE_PMESII!$D$3)+1)/(ASCOPE_PMESII!$D$3:$D$62="DECISION"),4-(COUNTIF(ASCOPE_PMESII!$B$3:$B$62,"DECISION")))),""),IF(4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4-(COUNTIF(ASCOPE_PMESII!$B$3:$B$62,"DECISION")+COUNTIF(ASCOPE_PMESII!$D$3:$D$62,"DECISION")))),""),IF(4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4-(COUNTIF(ASCOPE_PMESII!$B$3:$B$62,"DECISION")+COUNTIF(ASCOPE_PMESII!$D$3:$D$62,"DECISION")+COUNTIF(ASCOPE_PMESII!$F$3:$F$62,"DECISION")))),""),IF(4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4-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4-(COUNTIF(ASCOPE_PMESII!$B$3:$B$62,"DECISION")+COUNTIF(ASCOPE_PMESII!$D$3:$D$62,"DECISION")+COUNTIF(ASCOPE_PMESII!$F$3:$F$62,"DECISION")+COUNTIF(ASCOPE_PMESII!$H$3:$H$62,"DECISION")+COUNTIF(ASCOPE_PMESII!$J$3:$J$62,"DECISION")))),"")))))),"")</f>
        <v>COM needs economic target tolerance guidance</v>
      </c>
      <c r="M7" s="22" t="str">
        <f t="array" ref="M7">IFERROR(IF(4&lt;=COUNTIF(ASCOPE_PMESII!$B$3:$B$62,"ASSUMPTION"),IFERROR(INDEX(ASCOPE_PMESII!$C$3:$C$62,_xlfn.AGGREGATE(15,6,(ROW(ASCOPE_PMESII!$B$3:$B$62)-ROW(ASCOPE_PMESII!$B$3)+1)/(ASCOPE_PMESII!$B$3:$B$62="ASSUMPTION"),4)),""),IF(4&lt;=(COUNTIF(ASCOPE_PMESII!$B$3:$B$62,"ASSUMPTION")+COUNTIF(ASCOPE_PMESII!$D$3:$D$62,"ASSUMPTION")),IFERROR(INDEX(ASCOPE_PMESII!$E$3:$E$62,_xlfn.AGGREGATE(15,6,(ROW(ASCOPE_PMESII!$D$3:$D$62)-ROW(ASCOPE_PMESII!$D$3)+1)/(ASCOPE_PMESII!$D$3:$D$62="ASSUMPTION"),4-(COUNTIF(ASCOPE_PMESII!$B$3:$B$62,"ASSUMPTION")))),""),IF(4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4-(COUNTIF(ASCOPE_PMESII!$B$3:$B$62,"ASSUMPTION")+COUNTIF(ASCOPE_PMESII!$D$3:$D$62,"ASSUMPTION")))),""),IF(4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4-(COUNTIF(ASCOPE_PMESII!$B$3:$B$62,"ASSUMPTION")+COUNTIF(ASCOPE_PMESII!$D$3:$D$62,"ASSUMPTION")+COUNTIF(ASCOPE_PMESII!$F$3:$F$62,"ASSUMPTION")))),""),IF(4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4-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4-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7" s="22" t="str">
        <f t="array" ref="N7">IFERROR(IF(4&lt;=COUNTIF(ASCOPE_PMESII!$B$3:$B$62,"CONSTRAINT"),IFERROR(INDEX(ASCOPE_PMESII!$C$3:$C$62,_xlfn.AGGREGATE(15,6,(ROW(ASCOPE_PMESII!$B$3:$B$62)-ROW(ASCOPE_PMESII!$B$3)+1)/(ASCOPE_PMESII!$B$3:$B$62="CONSTRAINT"),4)),""),IF(4&lt;=(COUNTIF(ASCOPE_PMESII!$B$3:$B$62,"CONSTRAINT")+COUNTIF(ASCOPE_PMESII!$D$3:$D$62,"CONSTRAINT")),IFERROR(INDEX(ASCOPE_PMESII!$E$3:$E$62,_xlfn.AGGREGATE(15,6,(ROW(ASCOPE_PMESII!$D$3:$D$62)-ROW(ASCOPE_PMESII!$D$3)+1)/(ASCOPE_PMESII!$D$3:$D$62="CONSTRAINT"),4-(COUNTIF(ASCOPE_PMESII!$B$3:$B$62,"CONSTRAINT")))),""),IF(4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4-(COUNTIF(ASCOPE_PMESII!$B$3:$B$62,"CONSTRAINT")+COUNTIF(ASCOPE_PMESII!$D$3:$D$62,"CONSTRAINT")))),""),IF(4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4-(COUNTIF(ASCOPE_PMESII!$B$3:$B$62,"CONSTRAINT")+COUNTIF(ASCOPE_PMESII!$D$3:$D$62,"CONSTRAINT")+COUNTIF(ASCOPE_PMESII!$F$3:$F$62,"CONSTRAINT")))),""),IF(4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4-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4-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7" s="22" t="str">
        <f t="array" ref="O7">IFERROR(IF(4&lt;=COUNTIF(ASCOPE_PMESII!$B$3:$B$62,"LIMITATION"),IFERROR(INDEX(ASCOPE_PMESII!$C$3:$C$62,_xlfn.AGGREGATE(15,6,(ROW(ASCOPE_PMESII!$B$3:$B$62)-ROW(ASCOPE_PMESII!$B$3)+1)/(ASCOPE_PMESII!$B$3:$B$62="LIMITATION"),4)),""),IF(4&lt;=(COUNTIF(ASCOPE_PMESII!$B$3:$B$62,"LIMITATION")+COUNTIF(ASCOPE_PMESII!$D$3:$D$62,"LIMITATION")),IFERROR(INDEX(ASCOPE_PMESII!$E$3:$E$62,_xlfn.AGGREGATE(15,6,(ROW(ASCOPE_PMESII!$D$3:$D$62)-ROW(ASCOPE_PMESII!$D$3)+1)/(ASCOPE_PMESII!$D$3:$D$62="LIMITATION"),4-(COUNTIF(ASCOPE_PMESII!$B$3:$B$62,"LIMITATION")))),""),IF(4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4-(COUNTIF(ASCOPE_PMESII!$B$3:$B$62,"LIMITATION")+COUNTIF(ASCOPE_PMESII!$D$3:$D$62,"LIMITATION")))),""),IF(4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4-(COUNTIF(ASCOPE_PMESII!$B$3:$B$62,"LIMITATION")+COUNTIF(ASCOPE_PMESII!$D$3:$D$62,"LIMITATION")+COUNTIF(ASCOPE_PMESII!$F$3:$F$62,"LIMITATION")))),""),IF(4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4-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4-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7" s="22" t="str">
        <f t="array" ref="P7">IFERROR(IF(4&lt;=COUNTIF(ASCOPE_PMESII!$B$3:$B$62,"CC"),IFERROR(INDEX(ASCOPE_PMESII!$C$3:$C$62,_xlfn.AGGREGATE(15,6,(ROW(ASCOPE_PMESII!$B$3:$B$62)-ROW(ASCOPE_PMESII!$B$3)+1)/(ASCOPE_PMESII!$B$3:$B$62="CC"),4)),""),IF(4&lt;=(COUNTIF(ASCOPE_PMESII!$B$3:$B$62,"CC")+COUNTIF(ASCOPE_PMESII!$D$3:$D$62,"CC")),IFERROR(INDEX(ASCOPE_PMESII!$E$3:$E$62,_xlfn.AGGREGATE(15,6,(ROW(ASCOPE_PMESII!$D$3:$D$62)-ROW(ASCOPE_PMESII!$D$3)+1)/(ASCOPE_PMESII!$D$3:$D$62="CC"),4-(COUNTIF(ASCOPE_PMESII!$B$3:$B$62,"CC")))),""),IF(4&lt;=(COUNTIF(ASCOPE_PMESII!$B$3:$B$62,"CC")+COUNTIF(ASCOPE_PMESII!$D$3:$D$62,"CC")+COUNTIF(ASCOPE_PMESII!$F$3:$F$62,"CC")),IFERROR(INDEX(ASCOPE_PMESII!$G$3:$G$62,_xlfn.AGGREGATE(15,6,(ROW(ASCOPE_PMESII!$F$3:$F$62)-ROW(ASCOPE_PMESII!$F$3)+1)/(ASCOPE_PMESII!$F$3:$F$62="CC"),4-(COUNTIF(ASCOPE_PMESII!$B$3:$B$62,"CC")+COUNTIF(ASCOPE_PMESII!$D$3:$D$62,"CC")))),""),IF(4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4-(COUNTIF(ASCOPE_PMESII!$B$3:$B$62,"CC")+COUNTIF(ASCOPE_PMESII!$D$3:$D$62,"CC")+COUNTIF(ASCOPE_PMESII!$F$3:$F$62,"CC")))),""),IF(4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4-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4-(COUNTIF(ASCOPE_PMESII!$B$3:$B$62,"CC")+COUNTIF(ASCOPE_PMESII!$D$3:$D$62,"CC")+COUNTIF(ASCOPE_PMESII!$F$3:$F$62,"CC")+COUNTIF(ASCOPE_PMESII!$H$3:$H$62,"CC")+COUNTIF(ASCOPE_PMESII!$J$3:$J$62,"CC")))),"")))))),"")</f>
        <v>Strait tariffs convert coercion into cash</v>
      </c>
      <c r="Q7" s="22" t="str">
        <f t="array" ref="Q7">IFERROR(IF(4&lt;=COUNTIF(ASCOPE_PMESII!$B$3:$B$62,"CR"),IFERROR(INDEX(ASCOPE_PMESII!$C$3:$C$62,_xlfn.AGGREGATE(15,6,(ROW(ASCOPE_PMESII!$B$3:$B$62)-ROW(ASCOPE_PMESII!$B$3)+1)/(ASCOPE_PMESII!$B$3:$B$62="CR"),4)),""),IF(4&lt;=(COUNTIF(ASCOPE_PMESII!$B$3:$B$62,"CR")+COUNTIF(ASCOPE_PMESII!$D$3:$D$62,"CR")),IFERROR(INDEX(ASCOPE_PMESII!$E$3:$E$62,_xlfn.AGGREGATE(15,6,(ROW(ASCOPE_PMESII!$D$3:$D$62)-ROW(ASCOPE_PMESII!$D$3)+1)/(ASCOPE_PMESII!$D$3:$D$62="CR"),4-(COUNTIF(ASCOPE_PMESII!$B$3:$B$62,"CR")))),""),IF(4&lt;=(COUNTIF(ASCOPE_PMESII!$B$3:$B$62,"CR")+COUNTIF(ASCOPE_PMESII!$D$3:$D$62,"CR")+COUNTIF(ASCOPE_PMESII!$F$3:$F$62,"CR")),IFERROR(INDEX(ASCOPE_PMESII!$G$3:$G$62,_xlfn.AGGREGATE(15,6,(ROW(ASCOPE_PMESII!$F$3:$F$62)-ROW(ASCOPE_PMESII!$F$3)+1)/(ASCOPE_PMESII!$F$3:$F$62="CR"),4-(COUNTIF(ASCOPE_PMESII!$B$3:$B$62,"CR")+COUNTIF(ASCOPE_PMESII!$D$3:$D$62,"CR")))),""),IF(4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4-(COUNTIF(ASCOPE_PMESII!$B$3:$B$62,"CR")+COUNTIF(ASCOPE_PMESII!$D$3:$D$62,"CR")+COUNTIF(ASCOPE_PMESII!$F$3:$F$62,"CR")))),""),IF(4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4-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4-(COUNTIF(ASCOPE_PMESII!$B$3:$B$62,"CR")+COUNTIF(ASCOPE_PMESII!$D$3:$D$62,"CR")+COUNTIF(ASCOPE_PMESII!$F$3:$F$62,"CR")+COUNTIF(ASCOPE_PMESII!$H$3:$H$62,"CR")+COUNTIF(ASCOPE_PMESII!$J$3:$J$62,"CR")))),"")))))),"")</f>
        <v>Cultural advisers and local language support required</v>
      </c>
      <c r="R7" s="95" t="str">
        <f t="array" ref="R7">IFERROR(IF(4&lt;=COUNTIF(ASCOPE_PMESII!$B$3:$B$62,"PCS"),IFERROR(INDEX(ASCOPE_PMESII!$C$3:$C$62,_xlfn.AGGREGATE(15,6,(ROW(ASCOPE_PMESII!$B$3:$B$62)-ROW(ASCOPE_PMESII!$B$3)+1)/(ASCOPE_PMESII!$B$3:$B$62="PCS"),4)),""),IF(4&lt;=(COUNTIF(ASCOPE_PMESII!$B$3:$B$62,"PCS")+COUNTIF(ASCOPE_PMESII!$D$3:$D$62,"PCS")),IFERROR(INDEX(ASCOPE_PMESII!$E$3:$E$62,_xlfn.AGGREGATE(15,6,(ROW(ASCOPE_PMESII!$D$3:$D$62)-ROW(ASCOPE_PMESII!$D$3)+1)/(ASCOPE_PMESII!$D$3:$D$62="PCS"),4-(COUNTIF(ASCOPE_PMESII!$B$3:$B$62,"PCS")))),""),IF(4&lt;=(COUNTIF(ASCOPE_PMESII!$B$3:$B$62,"PCS")+COUNTIF(ASCOPE_PMESII!$D$3:$D$62,"PCS")+COUNTIF(ASCOPE_PMESII!$F$3:$F$62,"PCS")),IFERROR(INDEX(ASCOPE_PMESII!$G$3:$G$62,_xlfn.AGGREGATE(15,6,(ROW(ASCOPE_PMESII!$F$3:$F$62)-ROW(ASCOPE_PMESII!$F$3)+1)/(ASCOPE_PMESII!$F$3:$F$62="PCS"),4-(COUNTIF(ASCOPE_PMESII!$B$3:$B$62,"PCS")+COUNTIF(ASCOPE_PMESII!$D$3:$D$62,"PCS")))),""),IF(4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4-(COUNTIF(ASCOPE_PMESII!$B$3:$B$62,"PCS")+COUNTIF(ASCOPE_PMESII!$D$3:$D$62,"PCS")+COUNTIF(ASCOPE_PMESII!$F$3:$F$62,"PCS")))),""),IF(4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4-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4-(COUNTIF(ASCOPE_PMESII!$B$3:$B$62,"PCS")+COUNTIF(ASCOPE_PMESII!$D$3:$D$62,"PCS")+COUNTIF(ASCOPE_PMESII!$F$3:$F$62,"PCS")+COUNTIF(ASCOPE_PMESII!$H$3:$H$62,"PCS")+COUNTIF(ASCOPE_PMESII!$J$3:$J$62,"PCS")))),"")))))),"")</f>
        <v/>
      </c>
    </row>
    <row r="8" spans="1:18" ht="34.5" customHeight="1">
      <c r="A8" s="21" t="str">
        <f t="array" ref="A8">IFERROR(IF(5&lt;=COUNTIF(ASCOPE_PMESII!$B$3:$B$62,"OE"),IFERROR(INDEX(ASCOPE_PMESII!$C$3:$C$62,_xlfn.AGGREGATE(15,6,(ROW(ASCOPE_PMESII!$B$3:$B$62)-ROW(ASCOPE_PMESII!$B$3)+1)/(ASCOPE_PMESII!$B$3:$B$62="OE"),5)),""),IF(5&lt;=(COUNTIF(ASCOPE_PMESII!$B$3:$B$62,"OE")+COUNTIF(ASCOPE_PMESII!$D$3:$D$62,"OE")),IFERROR(INDEX(ASCOPE_PMESII!$E$3:$E$62,_xlfn.AGGREGATE(15,6,(ROW(ASCOPE_PMESII!$D$3:$D$62)-ROW(ASCOPE_PMESII!$D$3)+1)/(ASCOPE_PMESII!$D$3:$D$62="OE"),5-(COUNTIF(ASCOPE_PMESII!$B$3:$B$62,"OE")))),""),IF(5&lt;=(COUNTIF(ASCOPE_PMESII!$B$3:$B$62,"OE")+COUNTIF(ASCOPE_PMESII!$D$3:$D$62,"OE")+COUNTIF(ASCOPE_PMESII!$F$3:$F$62,"OE")),IFERROR(INDEX(ASCOPE_PMESII!$G$3:$G$62,_xlfn.AGGREGATE(15,6,(ROW(ASCOPE_PMESII!$F$3:$F$62)-ROW(ASCOPE_PMESII!$F$3)+1)/(ASCOPE_PMESII!$F$3:$F$62="OE"),5-(COUNTIF(ASCOPE_PMESII!$B$3:$B$62,"OE")+COUNTIF(ASCOPE_PMESII!$D$3:$D$62,"OE")))),""),IF(5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5-(COUNTIF(ASCOPE_PMESII!$B$3:$B$62,"OE")+COUNTIF(ASCOPE_PMESII!$D$3:$D$62,"OE")+COUNTIF(ASCOPE_PMESII!$F$3:$F$62,"OE")))),""),IF(5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5-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5-(COUNTIF(ASCOPE_PMESII!$B$3:$B$62,"OE")+COUNTIF(ASCOPE_PMESII!$D$3:$D$62,"OE")+COUNTIF(ASCOPE_PMESII!$F$3:$F$62,"OE")+COUNTIF(ASCOPE_PMESII!$H$3:$H$62,"OE")+COUNTIF(ASCOPE_PMESII!$J$3:$J$62,"OE")))),"")))))),"")</f>
        <v>UNDERMINE IRS in MEDAN-BELAWAN</v>
      </c>
      <c r="B8" s="21" t="str">
        <f t="array" ref="B8">IFERROR(IF(5&lt;=COUNTIF(ASCOPE_PMESII!$B$3:$B$62,"OA"),IFERROR(INDEX(ASCOPE_PMESII!$C$3:$C$62,_xlfn.AGGREGATE(15,6,(ROW(ASCOPE_PMESII!$B$3:$B$62)-ROW(ASCOPE_PMESII!$B$3)+1)/(ASCOPE_PMESII!$B$3:$B$62="OA"),5)),""),IF(5&lt;=(COUNTIF(ASCOPE_PMESII!$B$3:$B$62,"OA")+COUNTIF(ASCOPE_PMESII!$D$3:$D$62,"OA")),IFERROR(INDEX(ASCOPE_PMESII!$E$3:$E$62,_xlfn.AGGREGATE(15,6,(ROW(ASCOPE_PMESII!$D$3:$D$62)-ROW(ASCOPE_PMESII!$D$3)+1)/(ASCOPE_PMESII!$D$3:$D$62="OA"),5-(COUNTIF(ASCOPE_PMESII!$B$3:$B$62,"OA")))),""),IF(5&lt;=(COUNTIF(ASCOPE_PMESII!$B$3:$B$62,"OA")+COUNTIF(ASCOPE_PMESII!$D$3:$D$62,"OA")+COUNTIF(ASCOPE_PMESII!$F$3:$F$62,"OA")),IFERROR(INDEX(ASCOPE_PMESII!$G$3:$G$62,_xlfn.AGGREGATE(15,6,(ROW(ASCOPE_PMESII!$F$3:$F$62)-ROW(ASCOPE_PMESII!$F$3)+1)/(ASCOPE_PMESII!$F$3:$F$62="OA"),5-(COUNTIF(ASCOPE_PMESII!$B$3:$B$62,"OA")+COUNTIF(ASCOPE_PMESII!$D$3:$D$62,"OA")))),""),IF(5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5-(COUNTIF(ASCOPE_PMESII!$B$3:$B$62,"OA")+COUNTIF(ASCOPE_PMESII!$D$3:$D$62,"OA")+COUNTIF(ASCOPE_PMESII!$F$3:$F$62,"OA")))),""),IF(5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5-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5-(COUNTIF(ASCOPE_PMESII!$B$3:$B$62,"OA")+COUNTIF(ASCOPE_PMESII!$D$3:$D$62,"OA")+COUNTIF(ASCOPE_PMESII!$F$3:$F$62,"OA")+COUNTIF(ASCOPE_PMESII!$H$3:$H$62,"OA")+COUNTIF(ASCOPE_PMESII!$J$3:$J$62,"OA")))),"")))))),"")</f>
        <v/>
      </c>
      <c r="C8" s="21" t="str">
        <f t="array" ref="C8">IFERROR(IF(5&lt;=COUNTIF(ASCOPE_PMESII!$B$3:$B$62,"RISK"),IFERROR(INDEX(ASCOPE_PMESII!$C$3:$C$62,_xlfn.AGGREGATE(15,6,(ROW(ASCOPE_PMESII!$B$3:$B$62)-ROW(ASCOPE_PMESII!$B$3)+1)/(ASCOPE_PMESII!$B$3:$B$62="RISK"),5)),""),IF(5&lt;=(COUNTIF(ASCOPE_PMESII!$B$3:$B$62,"RISK")+COUNTIF(ASCOPE_PMESII!$D$3:$D$62,"RISK")),IFERROR(INDEX(ASCOPE_PMESII!$E$3:$E$62,_xlfn.AGGREGATE(15,6,(ROW(ASCOPE_PMESII!$D$3:$D$62)-ROW(ASCOPE_PMESII!$D$3)+1)/(ASCOPE_PMESII!$D$3:$D$62="RISK"),5-(COUNTIF(ASCOPE_PMESII!$B$3:$B$62,"RISK")))),""),IF(5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5-(COUNTIF(ASCOPE_PMESII!$B$3:$B$62,"RISK")+COUNTIF(ASCOPE_PMESII!$D$3:$D$62,"RISK")))),""),IF(5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5-(COUNTIF(ASCOPE_PMESII!$B$3:$B$62,"RISK")+COUNTIF(ASCOPE_PMESII!$D$3:$D$62,"RISK")+COUNTIF(ASCOPE_PMESII!$F$3:$F$62,"RISK")))),""),IF(5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5-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5-(COUNTIF(ASCOPE_PMESII!$B$3:$B$62,"RISK")+COUNTIF(ASCOPE_PMESII!$D$3:$D$62,"RISK")+COUNTIF(ASCOPE_PMESII!$F$3:$F$62,"RISK")+COUNTIF(ASCOPE_PMESII!$H$3:$H$62,"RISK")+COUNTIF(ASCOPE_PMESII!$J$3:$J$62,"RISK")))),"")))))),"")</f>
        <v>Congestion amplifies mining and missile risk</v>
      </c>
      <c r="D8" s="21" t="str">
        <f t="array" ref="D8">IFERROR(IF(5&lt;=COUNTIF(ASCOPE_PMESII!$B$3:$B$62,"CV"),IFERROR(INDEX(ASCOPE_PMESII!$C$3:$C$62,_xlfn.AGGREGATE(15,6,(ROW(ASCOPE_PMESII!$B$3:$B$62)-ROW(ASCOPE_PMESII!$B$3)+1)/(ASCOPE_PMESII!$B$3:$B$62="CV"),5)),""),IF(5&lt;=(COUNTIF(ASCOPE_PMESII!$B$3:$B$62,"CV")+COUNTIF(ASCOPE_PMESII!$D$3:$D$62,"CV")),IFERROR(INDEX(ASCOPE_PMESII!$E$3:$E$62,_xlfn.AGGREGATE(15,6,(ROW(ASCOPE_PMESII!$D$3:$D$62)-ROW(ASCOPE_PMESII!$D$3)+1)/(ASCOPE_PMESII!$D$3:$D$62="CV"),5-(COUNTIF(ASCOPE_PMESII!$B$3:$B$62,"CV")))),""),IF(5&lt;=(COUNTIF(ASCOPE_PMESII!$B$3:$B$62,"CV")+COUNTIF(ASCOPE_PMESII!$D$3:$D$62,"CV")+COUNTIF(ASCOPE_PMESII!$F$3:$F$62,"CV")),IFERROR(INDEX(ASCOPE_PMESII!$G$3:$G$62,_xlfn.AGGREGATE(15,6,(ROW(ASCOPE_PMESII!$F$3:$F$62)-ROW(ASCOPE_PMESII!$F$3)+1)/(ASCOPE_PMESII!$F$3:$F$62="CV"),5-(COUNTIF(ASCOPE_PMESII!$B$3:$B$62,"CV")+COUNTIF(ASCOPE_PMESII!$D$3:$D$62,"CV")))),""),IF(5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5-(COUNTIF(ASCOPE_PMESII!$B$3:$B$62,"CV")+COUNTIF(ASCOPE_PMESII!$D$3:$D$62,"CV")+COUNTIF(ASCOPE_PMESII!$F$3:$F$62,"CV")))),""),IF(5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5-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5-(COUNTIF(ASCOPE_PMESII!$B$3:$B$62,"CV")+COUNTIF(ASCOPE_PMESII!$D$3:$D$62,"CV")+COUNTIF(ASCOPE_PMESII!$F$3:$F$62,"CV")+COUNTIF(ASCOPE_PMESII!$H$3:$H$62,"CV")+COUNTIF(ASCOPE_PMESII!$J$3:$J$62,"CV")))),"")))))),"")</f>
        <v>IRS economy depends on east-coast maritime access</v>
      </c>
      <c r="E8" s="21" t="str">
        <f t="array" ref="E8">IFERROR(IF(5&lt;=COUNTIF(ASCOPE_PMESII!$B$3:$B$62,"COR"),IFERROR(INDEX(ASCOPE_PMESII!$C$3:$C$62,_xlfn.AGGREGATE(15,6,(ROW(ASCOPE_PMESII!$B$3:$B$62)-ROW(ASCOPE_PMESII!$B$3)+1)/(ASCOPE_PMESII!$B$3:$B$62="COR"),5)),""),IF(5&lt;=(COUNTIF(ASCOPE_PMESII!$B$3:$B$62,"COR")+COUNTIF(ASCOPE_PMESII!$D$3:$D$62,"COR")),IFERROR(INDEX(ASCOPE_PMESII!$E$3:$E$62,_xlfn.AGGREGATE(15,6,(ROW(ASCOPE_PMESII!$D$3:$D$62)-ROW(ASCOPE_PMESII!$D$3)+1)/(ASCOPE_PMESII!$D$3:$D$62="COR"),5-(COUNTIF(ASCOPE_PMESII!$B$3:$B$62,"COR")))),""),IF(5&lt;=(COUNTIF(ASCOPE_PMESII!$B$3:$B$62,"COR")+COUNTIF(ASCOPE_PMESII!$D$3:$D$62,"COR")+COUNTIF(ASCOPE_PMESII!$F$3:$F$62,"COR")),IFERROR(INDEX(ASCOPE_PMESII!$G$3:$G$62,_xlfn.AGGREGATE(15,6,(ROW(ASCOPE_PMESII!$F$3:$F$62)-ROW(ASCOPE_PMESII!$F$3)+1)/(ASCOPE_PMESII!$F$3:$F$62="COR"),5-(COUNTIF(ASCOPE_PMESII!$B$3:$B$62,"COR")+COUNTIF(ASCOPE_PMESII!$D$3:$D$62,"COR")))),""),IF(5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5-(COUNTIF(ASCOPE_PMESII!$B$3:$B$62,"COR")+COUNTIF(ASCOPE_PMESII!$D$3:$D$62,"COR")+COUNTIF(ASCOPE_PMESII!$F$3:$F$62,"COR")))),""),IF(5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5-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5-(COUNTIF(ASCOPE_PMESII!$B$3:$B$62,"COR")+COUNTIF(ASCOPE_PMESII!$D$3:$D$62,"COR")+COUNTIF(ASCOPE_PMESII!$F$3:$F$62,"COR")+COUNTIF(ASCOPE_PMESII!$H$3:$H$62,"COR")+COUNTIF(ASCOPE_PMESII!$J$3:$J$62,"COR")))),"")))))),"")</f>
        <v>Secure XLOCs before inland operational expansion</v>
      </c>
      <c r="F8" s="21" t="str">
        <f t="array" ref="F8">IFERROR(IF(5&lt;=COUNTIF(ASCOPE_PMESII!$B$3:$B$62,"REQT"),IFERROR(INDEX(ASCOPE_PMESII!$C$3:$C$62,_xlfn.AGGREGATE(15,6,(ROW(ASCOPE_PMESII!$B$3:$B$62)-ROW(ASCOPE_PMESII!$B$3)+1)/(ASCOPE_PMESII!$B$3:$B$62="REQT"),5)),""),IF(5&lt;=(COUNTIF(ASCOPE_PMESII!$B$3:$B$62,"REQT")+COUNTIF(ASCOPE_PMESII!$D$3:$D$62,"REQT")),IFERROR(INDEX(ASCOPE_PMESII!$E$3:$E$62,_xlfn.AGGREGATE(15,6,(ROW(ASCOPE_PMESII!$D$3:$D$62)-ROW(ASCOPE_PMESII!$D$3)+1)/(ASCOPE_PMESII!$D$3:$D$62="REQT"),5-(COUNTIF(ASCOPE_PMESII!$B$3:$B$62,"REQT")))),""),IF(5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5-(COUNTIF(ASCOPE_PMESII!$B$3:$B$62,"REQT")+COUNTIF(ASCOPE_PMESII!$D$3:$D$62,"REQT")))),""),IF(5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5-(COUNTIF(ASCOPE_PMESII!$B$3:$B$62,"REQT")+COUNTIF(ASCOPE_PMESII!$D$3:$D$62,"REQT")+COUNTIF(ASCOPE_PMESII!$F$3:$F$62,"REQT")))),""),IF(5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5-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5-(COUNTIF(ASCOPE_PMESII!$B$3:$B$62,"REQT")+COUNTIF(ASCOPE_PMESII!$D$3:$D$62,"REQT")+COUNTIF(ASCOPE_PMESII!$F$3:$F$62,"REQT")+COUNTIF(ASCOPE_PMESII!$H$3:$H$62,"REQT")+COUNTIF(ASCOPE_PMESII!$J$3:$J$62,"REQT")))),"")))))),"")</f>
        <v/>
      </c>
      <c r="G8" s="21" t="str">
        <f t="array" ref="G8">IFERROR(IF(5&lt;=COUNTIF(ASCOPE_PMESII!$B$3:$B$62,"REST"),IFERROR(INDEX(ASCOPE_PMESII!$C$3:$C$62,_xlfn.AGGREGATE(15,6,(ROW(ASCOPE_PMESII!$B$3:$B$62)-ROW(ASCOPE_PMESII!$B$3)+1)/(ASCOPE_PMESII!$B$3:$B$62="REST"),5)),""),IF(5&lt;=(COUNTIF(ASCOPE_PMESII!$B$3:$B$62,"REST")+COUNTIF(ASCOPE_PMESII!$D$3:$D$62,"REST")),IFERROR(INDEX(ASCOPE_PMESII!$E$3:$E$62,_xlfn.AGGREGATE(15,6,(ROW(ASCOPE_PMESII!$D$3:$D$62)-ROW(ASCOPE_PMESII!$D$3)+1)/(ASCOPE_PMESII!$D$3:$D$62="REST"),5-(COUNTIF(ASCOPE_PMESII!$B$3:$B$62,"REST")))),""),IF(5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5-(COUNTIF(ASCOPE_PMESII!$B$3:$B$62,"REST")+COUNTIF(ASCOPE_PMESII!$D$3:$D$62,"REST")))),""),IF(5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5-(COUNTIF(ASCOPE_PMESII!$B$3:$B$62,"REST")+COUNTIF(ASCOPE_PMESII!$D$3:$D$62,"REST")+COUNTIF(ASCOPE_PMESII!$F$3:$F$62,"REST")))),""),IF(5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5-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5-(COUNTIF(ASCOPE_PMESII!$B$3:$B$62,"REST")+COUNTIF(ASCOPE_PMESII!$D$3:$D$62,"REST")+COUNTIF(ASCOPE_PMESII!$F$3:$F$62,"REST")+COUNTIF(ASCOPE_PMESII!$H$3:$H$62,"REST")+COUNTIF(ASCOPE_PMESII!$J$3:$J$62,"REST")))),"")))))),"")</f>
        <v/>
      </c>
      <c r="H8" s="21" t="str">
        <f t="array" ref="H8">IFERROR(IF(5&lt;=COUNTIF(ASCOPE_PMESII!$B$3:$B$62,"KCD-MUST"),IFERROR(INDEX(ASCOPE_PMESII!$C$3:$C$62,_xlfn.AGGREGATE(15,6,(ROW(ASCOPE_PMESII!$B$3:$B$62)-ROW(ASCOPE_PMESII!$B$3)+1)/(ASCOPE_PMESII!$B$3:$B$62="KCD-MUST"),5)),""),IF(5&lt;=(COUNTIF(ASCOPE_PMESII!$B$3:$B$62,"KCD-MUST")+COUNTIF(ASCOPE_PMESII!$D$3:$D$62,"KCD-MUST")),IFERROR(INDEX(ASCOPE_PMESII!$E$3:$E$62,_xlfn.AGGREGATE(15,6,(ROW(ASCOPE_PMESII!$D$3:$D$62)-ROW(ASCOPE_PMESII!$D$3)+1)/(ASCOPE_PMESII!$D$3:$D$62="KCD-MUST"),5-(COUNTIF(ASCOPE_PMESII!$B$3:$B$62,"KCD-MUST")))),""),IF(5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5-(COUNTIF(ASCOPE_PMESII!$B$3:$B$62,"KCD-MUST")+COUNTIF(ASCOPE_PMESII!$D$3:$D$62,"KCD-MUST")))),""),IF(5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5-(COUNTIF(ASCOPE_PMESII!$B$3:$B$62,"KCD-MUST")+COUNTIF(ASCOPE_PMESII!$D$3:$D$62,"KCD-MUST")+COUNTIF(ASCOPE_PMESII!$F$3:$F$62,"KCD-MUST")))),""),IF(5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5-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5-(COUNTIF(ASCOPE_PMESII!$B$3:$B$62,"KCD-MUST")+COUNTIF(ASCOPE_PMESII!$D$3:$D$62,"KCD-MUST")+COUNTIF(ASCOPE_PMESII!$F$3:$F$62,"KCD-MUST")+COUNTIF(ASCOPE_PMESII!$H$3:$H$62,"KCD-MUST")+COUNTIF(ASCOPE_PMESII!$J$3:$J$62,"KCD-MUST")))),"")))))),"")</f>
        <v>Prioritise access corridors, not whole island control</v>
      </c>
      <c r="I8" s="21" t="str">
        <f t="array" ref="I8">IFERROR(IF(5&lt;=COUNTIF(ASCOPE_PMESII!$B$3:$B$62,"KCD-SHOULD"),IFERROR(INDEX(ASCOPE_PMESII!$C$3:$C$62,_xlfn.AGGREGATE(15,6,(ROW(ASCOPE_PMESII!$B$3:$B$62)-ROW(ASCOPE_PMESII!$B$3)+1)/(ASCOPE_PMESII!$B$3:$B$62="KCD-SHOULD"),5)),""),IF(5&lt;=(COUNTIF(ASCOPE_PMESII!$B$3:$B$62,"KCD-SHOULD")+COUNTIF(ASCOPE_PMESII!$D$3:$D$62,"KCD-SHOULD")),IFERROR(INDEX(ASCOPE_PMESII!$E$3:$E$62,_xlfn.AGGREGATE(15,6,(ROW(ASCOPE_PMESII!$D$3:$D$62)-ROW(ASCOPE_PMESII!$D$3)+1)/(ASCOPE_PMESII!$D$3:$D$62="KCD-SHOULD"),5-(COUNTIF(ASCOPE_PMESII!$B$3:$B$62,"KCD-SHOULD")))),""),IF(5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5-(COUNTIF(ASCOPE_PMESII!$B$3:$B$62,"KCD-SHOULD")+COUNTIF(ASCOPE_PMESII!$D$3:$D$62,"KCD-SHOULD")))),""),IF(5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5-(COUNTIF(ASCOPE_PMESII!$B$3:$B$62,"KCD-SHOULD")+COUNTIF(ASCOPE_PMESII!$D$3:$D$62,"KCD-SHOULD")+COUNTIF(ASCOPE_PMESII!$F$3:$F$62,"KCD-SHOULD")))),""),IF(5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5-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5-(COUNTIF(ASCOPE_PMESII!$B$3:$B$62,"KCD-SHOULD")+COUNTIF(ASCOPE_PMESII!$D$3:$D$62,"KCD-SHOULD")+COUNTIF(ASCOPE_PMESII!$F$3:$F$62,"KCD-SHOULD")+COUNTIF(ASCOPE_PMESII!$H$3:$H$62,"KCD-SHOULD")+COUNTIF(ASCOPE_PMESII!$J$3:$J$62,"KCD-SHOULD")))),"")))))),"")</f>
        <v>Use sea/air mobility to bypass poor roads</v>
      </c>
      <c r="J8" s="21" t="str">
        <f t="array" ref="J8">IFERROR(IF(5&lt;=COUNTIF(ASCOPE_PMESII!$B$3:$B$62,"KCD-SHOULD NOT"),IFERROR(INDEX(ASCOPE_PMESII!$C$3:$C$62,_xlfn.AGGREGATE(15,6,(ROW(ASCOPE_PMESII!$B$3:$B$62)-ROW(ASCOPE_PMESII!$B$3)+1)/(ASCOPE_PMESII!$B$3:$B$62="KCD-SHOULD NOT"),5)),""),IF(5&lt;=(COUNTIF(ASCOPE_PMESII!$B$3:$B$62,"KCD-SHOULD NOT")+COUNTIF(ASCOPE_PMESII!$D$3:$D$62,"KCD-SHOULD NOT")),IFERROR(INDEX(ASCOPE_PMESII!$E$3:$E$62,_xlfn.AGGREGATE(15,6,(ROW(ASCOPE_PMESII!$D$3:$D$62)-ROW(ASCOPE_PMESII!$D$3)+1)/(ASCOPE_PMESII!$D$3:$D$62="KCD-SHOULD NOT"),5-(COUNTIF(ASCOPE_PMESII!$B$3:$B$62,"KCD-SHOULD NOT")))),""),IF(5&lt;=(COUNTIF(ASCOPE_PMESII!$B$3:$B$62,"KCD-SHOULD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NOT"),5-(COUNTIF(ASCOPE_PMESII!$B$3:$B$62,"KCD-SHOULD NOT")+COUNTIF(ASCOPE_PMESII!$D$3:$D$62,"KCD-SHOULD NOT")))),""),IF(5&lt;=(COUNTIF(ASCOPE_PMESII!$B$3:$B$62,"KCD-SHOULD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NOT"),5-(COUNTIF(ASCOPE_PMESII!$B$3:$B$62,"KCD-SHOULD NOT")+COUNTIF(ASCOPE_PMESII!$D$3:$D$62,"KCD-SHOULD NOT")+COUNTIF(ASCOPE_PMESII!$F$3:$F$62,"KCD-SHOULD NOT")))),""),IF(5&lt;=(COUNTIF(ASCOPE_PMESII!$B$3:$B$62,"KCD-SHOULD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NOT"),5-(COUNTIF(ASCOPE_PMESII!$B$3:$B$62,"KCD-SHOULD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NOT"),5-(COUNTIF(ASCOPE_PMESII!$B$3:$B$62,"KCD-SHOULD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8" s="21" t="str">
        <f t="array" ref="K8">IFERROR(IF(5&lt;=COUNTIF(ASCOPE_PMESII!$B$3:$B$62,"KCD-CANNOT"),IFERROR(INDEX(ASCOPE_PMESII!$C$3:$C$62,_xlfn.AGGREGATE(15,6,(ROW(ASCOPE_PMESII!$B$3:$B$62)-ROW(ASCOPE_PMESII!$B$3)+1)/(ASCOPE_PMESII!$B$3:$B$62="KCD-CANNOT"),5)),""),IF(5&lt;=(COUNTIF(ASCOPE_PMESII!$B$3:$B$62,"KCD-CANNOT")+COUNTIF(ASCOPE_PMESII!$D$3:$D$62,"KCD-CANNOT")),IFERROR(INDEX(ASCOPE_PMESII!$E$3:$E$62,_xlfn.AGGREGATE(15,6,(ROW(ASCOPE_PMESII!$D$3:$D$62)-ROW(ASCOPE_PMESII!$D$3)+1)/(ASCOPE_PMESII!$D$3:$D$62="KCD-CANNOT"),5-(COUNTIF(ASCOPE_PMESII!$B$3:$B$62,"KCD-CANNOT")))),""),IF(5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5-(COUNTIF(ASCOPE_PMESII!$B$3:$B$62,"KCD-CANNOT")+COUNTIF(ASCOPE_PMESII!$D$3:$D$62,"KCD-CANNOT")))),""),IF(5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5-(COUNTIF(ASCOPE_PMESII!$B$3:$B$62,"KCD-CANNOT")+COUNTIF(ASCOPE_PMESII!$D$3:$D$62,"KCD-CANNOT")+COUNTIF(ASCOPE_PMESII!$F$3:$F$62,"KCD-CANNOT")))),""),IF(5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5-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5-(COUNTIF(ASCOPE_PMESII!$B$3:$B$62,"KCD-CANNOT")+COUNTIF(ASCOPE_PMESII!$D$3:$D$62,"KCD-CANNOT")+COUNTIF(ASCOPE_PMESII!$F$3:$F$62,"KCD-CANNOT")+COUNTIF(ASCOPE_PMESII!$H$3:$H$62,"KCD-CANNOT")+COUNTIF(ASCOPE_PMESII!$J$3:$J$62,"KCD-CANNOT")))),"")))))),"")</f>
        <v>Cannot secure all infrastructure simultaneously</v>
      </c>
      <c r="L8" s="21" t="str">
        <f t="array" ref="L8">IFERROR(IF(5&lt;=COUNTIF(ASCOPE_PMESII!$B$3:$B$62,"DECISION"),IFERROR(INDEX(ASCOPE_PMESII!$C$3:$C$62,_xlfn.AGGREGATE(15,6,(ROW(ASCOPE_PMESII!$B$3:$B$62)-ROW(ASCOPE_PMESII!$B$3)+1)/(ASCOPE_PMESII!$B$3:$B$62="DECISION"),5)),""),IF(5&lt;=(COUNTIF(ASCOPE_PMESII!$B$3:$B$62,"DECISION")+COUNTIF(ASCOPE_PMESII!$D$3:$D$62,"DECISION")),IFERROR(INDEX(ASCOPE_PMESII!$E$3:$E$62,_xlfn.AGGREGATE(15,6,(ROW(ASCOPE_PMESII!$D$3:$D$62)-ROW(ASCOPE_PMESII!$D$3)+1)/(ASCOPE_PMESII!$D$3:$D$62="DECISION"),5-(COUNTIF(ASCOPE_PMESII!$B$3:$B$62,"DECISION")))),""),IF(5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5-(COUNTIF(ASCOPE_PMESII!$B$3:$B$62,"DECISION")+COUNTIF(ASCOPE_PMESII!$D$3:$D$62,"DECISION")))),""),IF(5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5-(COUNTIF(ASCOPE_PMESII!$B$3:$B$62,"DECISION")+COUNTIF(ASCOPE_PMESII!$D$3:$D$62,"DECISION")+COUNTIF(ASCOPE_PMESII!$F$3:$F$62,"DECISION")))),""),IF(5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5-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5-(COUNTIF(ASCOPE_PMESII!$B$3:$B$62,"DECISION")+COUNTIF(ASCOPE_PMESII!$D$3:$D$62,"DECISION")+COUNTIF(ASCOPE_PMESII!$F$3:$F$62,"DECISION")+COUNTIF(ASCOPE_PMESII!$H$3:$H$62,"DECISION")+COUNTIF(ASCOPE_PMESII!$J$3:$J$62,"DECISION")))),"")))))),"")</f>
        <v>IRS begins demolition preparation at port/energy nodes</v>
      </c>
      <c r="M8" s="21" t="str">
        <f t="array" ref="M8">IFERROR(IF(5&lt;=COUNTIF(ASCOPE_PMESII!$B$3:$B$62,"ASSUMPTION"),IFERROR(INDEX(ASCOPE_PMESII!$C$3:$C$62,_xlfn.AGGREGATE(15,6,(ROW(ASCOPE_PMESII!$B$3:$B$62)-ROW(ASCOPE_PMESII!$B$3)+1)/(ASCOPE_PMESII!$B$3:$B$62="ASSUMPTION"),5)),""),IF(5&lt;=(COUNTIF(ASCOPE_PMESII!$B$3:$B$62,"ASSUMPTION")+COUNTIF(ASCOPE_PMESII!$D$3:$D$62,"ASSUMPTION")),IFERROR(INDEX(ASCOPE_PMESII!$E$3:$E$62,_xlfn.AGGREGATE(15,6,(ROW(ASCOPE_PMESII!$D$3:$D$62)-ROW(ASCOPE_PMESII!$D$3)+1)/(ASCOPE_PMESII!$D$3:$D$62="ASSUMPTION"),5-(COUNTIF(ASCOPE_PMESII!$B$3:$B$62,"ASSUMPTION")))),""),IF(5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5-(COUNTIF(ASCOPE_PMESII!$B$3:$B$62,"ASSUMPTION")+COUNTIF(ASCOPE_PMESII!$D$3:$D$62,"ASSUMPTION")))),""),IF(5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5-(COUNTIF(ASCOPE_PMESII!$B$3:$B$62,"ASSUMPTION")+COUNTIF(ASCOPE_PMESII!$D$3:$D$62,"ASSUMPTION")+COUNTIF(ASCOPE_PMESII!$F$3:$F$62,"ASSUMPTION")))),""),IF(5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5-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5-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8" s="21" t="str">
        <f t="array" ref="N8">IFERROR(IF(5&lt;=COUNTIF(ASCOPE_PMESII!$B$3:$B$62,"CONSTRAINT"),IFERROR(INDEX(ASCOPE_PMESII!$C$3:$C$62,_xlfn.AGGREGATE(15,6,(ROW(ASCOPE_PMESII!$B$3:$B$62)-ROW(ASCOPE_PMESII!$B$3)+1)/(ASCOPE_PMESII!$B$3:$B$62="CONSTRAINT"),5)),""),IF(5&lt;=(COUNTIF(ASCOPE_PMESII!$B$3:$B$62,"CONSTRAINT")+COUNTIF(ASCOPE_PMESII!$D$3:$D$62,"CONSTRAINT")),IFERROR(INDEX(ASCOPE_PMESII!$E$3:$E$62,_xlfn.AGGREGATE(15,6,(ROW(ASCOPE_PMESII!$D$3:$D$62)-ROW(ASCOPE_PMESII!$D$3)+1)/(ASCOPE_PMESII!$D$3:$D$62="CONSTRAINT"),5-(COUNTIF(ASCOPE_PMESII!$B$3:$B$62,"CONSTRAINT")))),""),IF(5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5-(COUNTIF(ASCOPE_PMESII!$B$3:$B$62,"CONSTRAINT")+COUNTIF(ASCOPE_PMESII!$D$3:$D$62,"CONSTRAINT")))),""),IF(5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5-(COUNTIF(ASCOPE_PMESII!$B$3:$B$62,"CONSTRAINT")+COUNTIF(ASCOPE_PMESII!$D$3:$D$62,"CONSTRAINT")+COUNTIF(ASCOPE_PMESII!$F$3:$F$62,"CONSTRAINT")))),""),IF(5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5-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5-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8" s="21" t="str">
        <f t="array" ref="O8">IFERROR(IF(5&lt;=COUNTIF(ASCOPE_PMESII!$B$3:$B$62,"LIMITATION"),IFERROR(INDEX(ASCOPE_PMESII!$C$3:$C$62,_xlfn.AGGREGATE(15,6,(ROW(ASCOPE_PMESII!$B$3:$B$62)-ROW(ASCOPE_PMESII!$B$3)+1)/(ASCOPE_PMESII!$B$3:$B$62="LIMITATION"),5)),""),IF(5&lt;=(COUNTIF(ASCOPE_PMESII!$B$3:$B$62,"LIMITATION")+COUNTIF(ASCOPE_PMESII!$D$3:$D$62,"LIMITATION")),IFERROR(INDEX(ASCOPE_PMESII!$E$3:$E$62,_xlfn.AGGREGATE(15,6,(ROW(ASCOPE_PMESII!$D$3:$D$62)-ROW(ASCOPE_PMESII!$D$3)+1)/(ASCOPE_PMESII!$D$3:$D$62="LIMITATION"),5-(COUNTIF(ASCOPE_PMESII!$B$3:$B$62,"LIMITATION")))),""),IF(5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5-(COUNTIF(ASCOPE_PMESII!$B$3:$B$62,"LIMITATION")+COUNTIF(ASCOPE_PMESII!$D$3:$D$62,"LIMITATION")))),""),IF(5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5-(COUNTIF(ASCOPE_PMESII!$B$3:$B$62,"LIMITATION")+COUNTIF(ASCOPE_PMESII!$D$3:$D$62,"LIMITATION")+COUNTIF(ASCOPE_PMESII!$F$3:$F$62,"LIMITATION")))),""),IF(5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5-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5-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8" s="21" t="str">
        <f t="array" ref="P8">IFERROR(IF(5&lt;=COUNTIF(ASCOPE_PMESII!$B$3:$B$62,"CC"),IFERROR(INDEX(ASCOPE_PMESII!$C$3:$C$62,_xlfn.AGGREGATE(15,6,(ROW(ASCOPE_PMESII!$B$3:$B$62)-ROW(ASCOPE_PMESII!$B$3)+1)/(ASCOPE_PMESII!$B$3:$B$62="CC"),5)),""),IF(5&lt;=(COUNTIF(ASCOPE_PMESII!$B$3:$B$62,"CC")+COUNTIF(ASCOPE_PMESII!$D$3:$D$62,"CC")),IFERROR(INDEX(ASCOPE_PMESII!$E$3:$E$62,_xlfn.AGGREGATE(15,6,(ROW(ASCOPE_PMESII!$D$3:$D$62)-ROW(ASCOPE_PMESII!$D$3)+1)/(ASCOPE_PMESII!$D$3:$D$62="CC"),5-(COUNTIF(ASCOPE_PMESII!$B$3:$B$62,"CC")))),""),IF(5&lt;=(COUNTIF(ASCOPE_PMESII!$B$3:$B$62,"CC")+COUNTIF(ASCOPE_PMESII!$D$3:$D$62,"CC")+COUNTIF(ASCOPE_PMESII!$F$3:$F$62,"CC")),IFERROR(INDEX(ASCOPE_PMESII!$G$3:$G$62,_xlfn.AGGREGATE(15,6,(ROW(ASCOPE_PMESII!$F$3:$F$62)-ROW(ASCOPE_PMESII!$F$3)+1)/(ASCOPE_PMESII!$F$3:$F$62="CC"),5-(COUNTIF(ASCOPE_PMESII!$B$3:$B$62,"CC")+COUNTIF(ASCOPE_PMESII!$D$3:$D$62,"CC")))),""),IF(5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5-(COUNTIF(ASCOPE_PMESII!$B$3:$B$62,"CC")+COUNTIF(ASCOPE_PMESII!$D$3:$D$62,"CC")+COUNTIF(ASCOPE_PMESII!$F$3:$F$62,"CC")))),""),IF(5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5-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5-(COUNTIF(ASCOPE_PMESII!$B$3:$B$62,"CC")+COUNTIF(ASCOPE_PMESII!$D$3:$D$62,"CC")+COUNTIF(ASCOPE_PMESII!$F$3:$F$62,"CC")+COUNTIF(ASCOPE_PMESII!$H$3:$H$62,"CC")+COUNTIF(ASCOPE_PMESII!$J$3:$J$62,"CC")))),"")))))),"")</f>
        <v>Urban/coastal populations shape perceived legitimacy</v>
      </c>
      <c r="Q8" s="21" t="str">
        <f t="array" ref="Q8">IFERROR(IF(5&lt;=COUNTIF(ASCOPE_PMESII!$B$3:$B$62,"CR"),IFERROR(INDEX(ASCOPE_PMESII!$C$3:$C$62,_xlfn.AGGREGATE(15,6,(ROW(ASCOPE_PMESII!$B$3:$B$62)-ROW(ASCOPE_PMESII!$B$3)+1)/(ASCOPE_PMESII!$B$3:$B$62="CR"),5)),""),IF(5&lt;=(COUNTIF(ASCOPE_PMESII!$B$3:$B$62,"CR")+COUNTIF(ASCOPE_PMESII!$D$3:$D$62,"CR")),IFERROR(INDEX(ASCOPE_PMESII!$E$3:$E$62,_xlfn.AGGREGATE(15,6,(ROW(ASCOPE_PMESII!$D$3:$D$62)-ROW(ASCOPE_PMESII!$D$3)+1)/(ASCOPE_PMESII!$D$3:$D$62="CR"),5-(COUNTIF(ASCOPE_PMESII!$B$3:$B$62,"CR")))),""),IF(5&lt;=(COUNTIF(ASCOPE_PMESII!$B$3:$B$62,"CR")+COUNTIF(ASCOPE_PMESII!$D$3:$D$62,"CR")+COUNTIF(ASCOPE_PMESII!$F$3:$F$62,"CR")),IFERROR(INDEX(ASCOPE_PMESII!$G$3:$G$62,_xlfn.AGGREGATE(15,6,(ROW(ASCOPE_PMESII!$F$3:$F$62)-ROW(ASCOPE_PMESII!$F$3)+1)/(ASCOPE_PMESII!$F$3:$F$62="CR"),5-(COUNTIF(ASCOPE_PMESII!$B$3:$B$62,"CR")+COUNTIF(ASCOPE_PMESII!$D$3:$D$62,"CR")))),""),IF(5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5-(COUNTIF(ASCOPE_PMESII!$B$3:$B$62,"CR")+COUNTIF(ASCOPE_PMESII!$D$3:$D$62,"CR")+COUNTIF(ASCOPE_PMESII!$F$3:$F$62,"CR")))),""),IF(5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5-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5-(COUNTIF(ASCOPE_PMESII!$B$3:$B$62,"CR")+COUNTIF(ASCOPE_PMESII!$D$3:$D$62,"CR")+COUNTIF(ASCOPE_PMESII!$F$3:$F$62,"CR")+COUNTIF(ASCOPE_PMESII!$H$3:$H$62,"CR")+COUNTIF(ASCOPE_PMESII!$J$3:$J$62,"CR")))),"")))))),"")</f>
        <v>MDA, MCM, ASW and shipping liaison required</v>
      </c>
      <c r="R8" s="94" t="str">
        <f t="array" ref="R8">IFERROR(IF(5&lt;=COUNTIF(ASCOPE_PMESII!$B$3:$B$62,"PCS"),IFERROR(INDEX(ASCOPE_PMESII!$C$3:$C$62,_xlfn.AGGREGATE(15,6,(ROW(ASCOPE_PMESII!$B$3:$B$62)-ROW(ASCOPE_PMESII!$B$3)+1)/(ASCOPE_PMESII!$B$3:$B$62="PCS"),5)),""),IF(5&lt;=(COUNTIF(ASCOPE_PMESII!$B$3:$B$62,"PCS")+COUNTIF(ASCOPE_PMESII!$D$3:$D$62,"PCS")),IFERROR(INDEX(ASCOPE_PMESII!$E$3:$E$62,_xlfn.AGGREGATE(15,6,(ROW(ASCOPE_PMESII!$D$3:$D$62)-ROW(ASCOPE_PMESII!$D$3)+1)/(ASCOPE_PMESII!$D$3:$D$62="PCS"),5-(COUNTIF(ASCOPE_PMESII!$B$3:$B$62,"PCS")))),""),IF(5&lt;=(COUNTIF(ASCOPE_PMESII!$B$3:$B$62,"PCS")+COUNTIF(ASCOPE_PMESII!$D$3:$D$62,"PCS")+COUNTIF(ASCOPE_PMESII!$F$3:$F$62,"PCS")),IFERROR(INDEX(ASCOPE_PMESII!$G$3:$G$62,_xlfn.AGGREGATE(15,6,(ROW(ASCOPE_PMESII!$F$3:$F$62)-ROW(ASCOPE_PMESII!$F$3)+1)/(ASCOPE_PMESII!$F$3:$F$62="PCS"),5-(COUNTIF(ASCOPE_PMESII!$B$3:$B$62,"PCS")+COUNTIF(ASCOPE_PMESII!$D$3:$D$62,"PCS")))),""),IF(5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5-(COUNTIF(ASCOPE_PMESII!$B$3:$B$62,"PCS")+COUNTIF(ASCOPE_PMESII!$D$3:$D$62,"PCS")+COUNTIF(ASCOPE_PMESII!$F$3:$F$62,"PCS")))),""),IF(5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5-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5-(COUNTIF(ASCOPE_PMESII!$B$3:$B$62,"PCS")+COUNTIF(ASCOPE_PMESII!$D$3:$D$62,"PCS")+COUNTIF(ASCOPE_PMESII!$F$3:$F$62,"PCS")+COUNTIF(ASCOPE_PMESII!$H$3:$H$62,"PCS")+COUNTIF(ASCOPE_PMESII!$J$3:$J$62,"PCS")))),"")))))),"")</f>
        <v/>
      </c>
    </row>
    <row r="9" spans="1:18" ht="34.5" customHeight="1">
      <c r="A9" s="22" t="str">
        <f t="array" ref="A9">IFERROR(IF(6&lt;=COUNTIF(ASCOPE_PMESII!$B$3:$B$62,"OE"),IFERROR(INDEX(ASCOPE_PMESII!$C$3:$C$62,_xlfn.AGGREGATE(15,6,(ROW(ASCOPE_PMESII!$B$3:$B$62)-ROW(ASCOPE_PMESII!$B$3)+1)/(ASCOPE_PMESII!$B$3:$B$62="OE"),6)),""),IF(6&lt;=(COUNTIF(ASCOPE_PMESII!$B$3:$B$62,"OE")+COUNTIF(ASCOPE_PMESII!$D$3:$D$62,"OE")),IFERROR(INDEX(ASCOPE_PMESII!$E$3:$E$62,_xlfn.AGGREGATE(15,6,(ROW(ASCOPE_PMESII!$D$3:$D$62)-ROW(ASCOPE_PMESII!$D$3)+1)/(ASCOPE_PMESII!$D$3:$D$62="OE"),6-(COUNTIF(ASCOPE_PMESII!$B$3:$B$62,"OE")))),""),IF(6&lt;=(COUNTIF(ASCOPE_PMESII!$B$3:$B$62,"OE")+COUNTIF(ASCOPE_PMESII!$D$3:$D$62,"OE")+COUNTIF(ASCOPE_PMESII!$F$3:$F$62,"OE")),IFERROR(INDEX(ASCOPE_PMESII!$G$3:$G$62,_xlfn.AGGREGATE(15,6,(ROW(ASCOPE_PMESII!$F$3:$F$62)-ROW(ASCOPE_PMESII!$F$3)+1)/(ASCOPE_PMESII!$F$3:$F$62="OE"),6-(COUNTIF(ASCOPE_PMESII!$B$3:$B$62,"OE")+COUNTIF(ASCOPE_PMESII!$D$3:$D$62,"OE")))),""),IF(6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6-(COUNTIF(ASCOPE_PMESII!$B$3:$B$62,"OE")+COUNTIF(ASCOPE_PMESII!$D$3:$D$62,"OE")+COUNTIF(ASCOPE_PMESII!$F$3:$F$62,"OE")))),""),IF(6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6-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6-(COUNTIF(ASCOPE_PMESII!$B$3:$B$62,"OE")+COUNTIF(ASCOPE_PMESII!$D$3:$D$62,"OE")+COUNTIF(ASCOPE_PMESII!$F$3:$F$62,"OE")+COUNTIF(ASCOPE_PMESII!$H$3:$H$62,"OE")+COUNTIF(ASCOPE_PMESII!$J$3:$J$62,"OE")))),"")))))),"")</f>
        <v>MANIPULATE IRS coalition</v>
      </c>
      <c r="B9" s="22" t="str">
        <f t="array" ref="B9">IFERROR(IF(6&lt;=COUNTIF(ASCOPE_PMESII!$B$3:$B$62,"OA"),IFERROR(INDEX(ASCOPE_PMESII!$C$3:$C$62,_xlfn.AGGREGATE(15,6,(ROW(ASCOPE_PMESII!$B$3:$B$62)-ROW(ASCOPE_PMESII!$B$3)+1)/(ASCOPE_PMESII!$B$3:$B$62="OA"),6)),""),IF(6&lt;=(COUNTIF(ASCOPE_PMESII!$B$3:$B$62,"OA")+COUNTIF(ASCOPE_PMESII!$D$3:$D$62,"OA")),IFERROR(INDEX(ASCOPE_PMESII!$E$3:$E$62,_xlfn.AGGREGATE(15,6,(ROW(ASCOPE_PMESII!$D$3:$D$62)-ROW(ASCOPE_PMESII!$D$3)+1)/(ASCOPE_PMESII!$D$3:$D$62="OA"),6-(COUNTIF(ASCOPE_PMESII!$B$3:$B$62,"OA")))),""),IF(6&lt;=(COUNTIF(ASCOPE_PMESII!$B$3:$B$62,"OA")+COUNTIF(ASCOPE_PMESII!$D$3:$D$62,"OA")+COUNTIF(ASCOPE_PMESII!$F$3:$F$62,"OA")),IFERROR(INDEX(ASCOPE_PMESII!$G$3:$G$62,_xlfn.AGGREGATE(15,6,(ROW(ASCOPE_PMESII!$F$3:$F$62)-ROW(ASCOPE_PMESII!$F$3)+1)/(ASCOPE_PMESII!$F$3:$F$62="OA"),6-(COUNTIF(ASCOPE_PMESII!$B$3:$B$62,"OA")+COUNTIF(ASCOPE_PMESII!$D$3:$D$62,"OA")))),""),IF(6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6-(COUNTIF(ASCOPE_PMESII!$B$3:$B$62,"OA")+COUNTIF(ASCOPE_PMESII!$D$3:$D$62,"OA")+COUNTIF(ASCOPE_PMESII!$F$3:$F$62,"OA")))),""),IF(6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6-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6-(COUNTIF(ASCOPE_PMESII!$B$3:$B$62,"OA")+COUNTIF(ASCOPE_PMESII!$D$3:$D$62,"OA")+COUNTIF(ASCOPE_PMESII!$F$3:$F$62,"OA")+COUNTIF(ASCOPE_PMESII!$H$3:$H$62,"OA")+COUNTIF(ASCOPE_PMESII!$J$3:$J$62,"OA")))),"")))))),"")</f>
        <v/>
      </c>
      <c r="C9" s="22" t="str">
        <f t="array" ref="C9">IFERROR(IF(6&lt;=COUNTIF(ASCOPE_PMESII!$B$3:$B$62,"RISK"),IFERROR(INDEX(ASCOPE_PMESII!$C$3:$C$62,_xlfn.AGGREGATE(15,6,(ROW(ASCOPE_PMESII!$B$3:$B$62)-ROW(ASCOPE_PMESII!$B$3)+1)/(ASCOPE_PMESII!$B$3:$B$62="RISK"),6)),""),IF(6&lt;=(COUNTIF(ASCOPE_PMESII!$B$3:$B$62,"RISK")+COUNTIF(ASCOPE_PMESII!$D$3:$D$62,"RISK")),IFERROR(INDEX(ASCOPE_PMESII!$E$3:$E$62,_xlfn.AGGREGATE(15,6,(ROW(ASCOPE_PMESII!$D$3:$D$62)-ROW(ASCOPE_PMESII!$D$3)+1)/(ASCOPE_PMESII!$D$3:$D$62="RISK"),6-(COUNTIF(ASCOPE_PMESII!$B$3:$B$62,"RISK")))),""),IF(6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6-(COUNTIF(ASCOPE_PMESII!$B$3:$B$62,"RISK")+COUNTIF(ASCOPE_PMESII!$D$3:$D$62,"RISK")))),""),IF(6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6-(COUNTIF(ASCOPE_PMESII!$B$3:$B$62,"RISK")+COUNTIF(ASCOPE_PMESII!$D$3:$D$62,"RISK")+COUNTIF(ASCOPE_PMESII!$F$3:$F$62,"RISK")))),""),IF(6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6-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6-(COUNTIF(ASCOPE_PMESII!$B$3:$B$62,"RISK")+COUNTIF(ASCOPE_PMESII!$D$3:$D$62,"RISK")+COUNTIF(ASCOPE_PMESII!$F$3:$F$62,"RISK")+COUNTIF(ASCOPE_PMESII!$H$3:$H$62,"RISK")+COUNTIF(ASCOPE_PMESII!$J$3:$J$62,"RISK")))),"")))))),"")</f>
        <v>NATO silence lets IRS define first contact</v>
      </c>
      <c r="D9" s="22" t="str">
        <f t="array" ref="D9">IFERROR(IF(6&lt;=COUNTIF(ASCOPE_PMESII!$B$3:$B$62,"CV"),IFERROR(INDEX(ASCOPE_PMESII!$C$3:$C$62,_xlfn.AGGREGATE(15,6,(ROW(ASCOPE_PMESII!$B$3:$B$62)-ROW(ASCOPE_PMESII!$B$3)+1)/(ASCOPE_PMESII!$B$3:$B$62="CV"),6)),""),IF(6&lt;=(COUNTIF(ASCOPE_PMESII!$B$3:$B$62,"CV")+COUNTIF(ASCOPE_PMESII!$D$3:$D$62,"CV")),IFERROR(INDEX(ASCOPE_PMESII!$E$3:$E$62,_xlfn.AGGREGATE(15,6,(ROW(ASCOPE_PMESII!$D$3:$D$62)-ROW(ASCOPE_PMESII!$D$3)+1)/(ASCOPE_PMESII!$D$3:$D$62="CV"),6-(COUNTIF(ASCOPE_PMESII!$B$3:$B$62,"CV")))),""),IF(6&lt;=(COUNTIF(ASCOPE_PMESII!$B$3:$B$62,"CV")+COUNTIF(ASCOPE_PMESII!$D$3:$D$62,"CV")+COUNTIF(ASCOPE_PMESII!$F$3:$F$62,"CV")),IFERROR(INDEX(ASCOPE_PMESII!$G$3:$G$62,_xlfn.AGGREGATE(15,6,(ROW(ASCOPE_PMESII!$F$3:$F$62)-ROW(ASCOPE_PMESII!$F$3)+1)/(ASCOPE_PMESII!$F$3:$F$62="CV"),6-(COUNTIF(ASCOPE_PMESII!$B$3:$B$62,"CV")+COUNTIF(ASCOPE_PMESII!$D$3:$D$62,"CV")))),""),IF(6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6-(COUNTIF(ASCOPE_PMESII!$B$3:$B$62,"CV")+COUNTIF(ASCOPE_PMESII!$D$3:$D$62,"CV")+COUNTIF(ASCOPE_PMESII!$F$3:$F$62,"CV")))),""),IF(6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6-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6-(COUNTIF(ASCOPE_PMESII!$B$3:$B$62,"CV")+COUNTIF(ASCOPE_PMESII!$D$3:$D$62,"CV")+COUNTIF(ASCOPE_PMESII!$F$3:$F$62,"CV")+COUNTIF(ASCOPE_PMESII!$H$3:$H$62,"CV")+COUNTIF(ASCOPE_PMESII!$J$3:$J$62,"CV")))),"")))))),"")</f>
        <v>Sumatra is ethnically and culturally segmented</v>
      </c>
      <c r="E9" s="22" t="str">
        <f t="array" ref="E9">IFERROR(IF(6&lt;=COUNTIF(ASCOPE_PMESII!$B$3:$B$62,"COR"),IFERROR(INDEX(ASCOPE_PMESII!$C$3:$C$62,_xlfn.AGGREGATE(15,6,(ROW(ASCOPE_PMESII!$B$3:$B$62)-ROW(ASCOPE_PMESII!$B$3)+1)/(ASCOPE_PMESII!$B$3:$B$62="COR"),6)),""),IF(6&lt;=(COUNTIF(ASCOPE_PMESII!$B$3:$B$62,"COR")+COUNTIF(ASCOPE_PMESII!$D$3:$D$62,"COR")),IFERROR(INDEX(ASCOPE_PMESII!$E$3:$E$62,_xlfn.AGGREGATE(15,6,(ROW(ASCOPE_PMESII!$D$3:$D$62)-ROW(ASCOPE_PMESII!$D$3)+1)/(ASCOPE_PMESII!$D$3:$D$62="COR"),6-(COUNTIF(ASCOPE_PMESII!$B$3:$B$62,"COR")))),""),IF(6&lt;=(COUNTIF(ASCOPE_PMESII!$B$3:$B$62,"COR")+COUNTIF(ASCOPE_PMESII!$D$3:$D$62,"COR")+COUNTIF(ASCOPE_PMESII!$F$3:$F$62,"COR")),IFERROR(INDEX(ASCOPE_PMESII!$G$3:$G$62,_xlfn.AGGREGATE(15,6,(ROW(ASCOPE_PMESII!$F$3:$F$62)-ROW(ASCOPE_PMESII!$F$3)+1)/(ASCOPE_PMESII!$F$3:$F$62="COR"),6-(COUNTIF(ASCOPE_PMESII!$B$3:$B$62,"COR")+COUNTIF(ASCOPE_PMESII!$D$3:$D$62,"COR")))),""),IF(6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6-(COUNTIF(ASCOPE_PMESII!$B$3:$B$62,"COR")+COUNTIF(ASCOPE_PMESII!$D$3:$D$62,"COR")+COUNTIF(ASCOPE_PMESII!$F$3:$F$62,"COR")))),""),IF(6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6-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6-(COUNTIF(ASCOPE_PMESII!$B$3:$B$62,"COR")+COUNTIF(ASCOPE_PMESII!$D$3:$D$62,"COR")+COUNTIF(ASCOPE_PMESII!$F$3:$F$62,"COR")+COUNTIF(ASCOPE_PMESII!$H$3:$H$62,"COR")+COUNTIF(ASCOPE_PMESII!$J$3:$J$62,"COR")))),"")))))),"")</f>
        <v>Contest recognition without denying legitimate grievance</v>
      </c>
      <c r="F9" s="22" t="str">
        <f t="array" ref="F9">IFERROR(IF(6&lt;=COUNTIF(ASCOPE_PMESII!$B$3:$B$62,"REQT"),IFERROR(INDEX(ASCOPE_PMESII!$C$3:$C$62,_xlfn.AGGREGATE(15,6,(ROW(ASCOPE_PMESII!$B$3:$B$62)-ROW(ASCOPE_PMESII!$B$3)+1)/(ASCOPE_PMESII!$B$3:$B$62="REQT"),6)),""),IF(6&lt;=(COUNTIF(ASCOPE_PMESII!$B$3:$B$62,"REQT")+COUNTIF(ASCOPE_PMESII!$D$3:$D$62,"REQT")),IFERROR(INDEX(ASCOPE_PMESII!$E$3:$E$62,_xlfn.AGGREGATE(15,6,(ROW(ASCOPE_PMESII!$D$3:$D$62)-ROW(ASCOPE_PMESII!$D$3)+1)/(ASCOPE_PMESII!$D$3:$D$62="REQT"),6-(COUNTIF(ASCOPE_PMESII!$B$3:$B$62,"REQT")))),""),IF(6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6-(COUNTIF(ASCOPE_PMESII!$B$3:$B$62,"REQT")+COUNTIF(ASCOPE_PMESII!$D$3:$D$62,"REQT")))),""),IF(6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6-(COUNTIF(ASCOPE_PMESII!$B$3:$B$62,"REQT")+COUNTIF(ASCOPE_PMESII!$D$3:$D$62,"REQT")+COUNTIF(ASCOPE_PMESII!$F$3:$F$62,"REQT")))),""),IF(6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6-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6-(COUNTIF(ASCOPE_PMESII!$B$3:$B$62,"REQT")+COUNTIF(ASCOPE_PMESII!$D$3:$D$62,"REQT")+COUNTIF(ASCOPE_PMESII!$F$3:$F$62,"REQT")+COUNTIF(ASCOPE_PMESII!$H$3:$H$62,"REQT")+COUNTIF(ASCOPE_PMESII!$J$3:$J$62,"REQT")))),"")))))),"")</f>
        <v/>
      </c>
      <c r="G9" s="22" t="str">
        <f t="array" ref="G9">IFERROR(IF(6&lt;=COUNTIF(ASCOPE_PMESII!$B$3:$B$62,"REST"),IFERROR(INDEX(ASCOPE_PMESII!$C$3:$C$62,_xlfn.AGGREGATE(15,6,(ROW(ASCOPE_PMESII!$B$3:$B$62)-ROW(ASCOPE_PMESII!$B$3)+1)/(ASCOPE_PMESII!$B$3:$B$62="REST"),6)),""),IF(6&lt;=(COUNTIF(ASCOPE_PMESII!$B$3:$B$62,"REST")+COUNTIF(ASCOPE_PMESII!$D$3:$D$62,"REST")),IFERROR(INDEX(ASCOPE_PMESII!$E$3:$E$62,_xlfn.AGGREGATE(15,6,(ROW(ASCOPE_PMESII!$D$3:$D$62)-ROW(ASCOPE_PMESII!$D$3)+1)/(ASCOPE_PMESII!$D$3:$D$62="REST"),6-(COUNTIF(ASCOPE_PMESII!$B$3:$B$62,"REST")))),""),IF(6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6-(COUNTIF(ASCOPE_PMESII!$B$3:$B$62,"REST")+COUNTIF(ASCOPE_PMESII!$D$3:$D$62,"REST")))),""),IF(6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6-(COUNTIF(ASCOPE_PMESII!$B$3:$B$62,"REST")+COUNTIF(ASCOPE_PMESII!$D$3:$D$62,"REST")+COUNTIF(ASCOPE_PMESII!$F$3:$F$62,"REST")))),""),IF(6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6-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6-(COUNTIF(ASCOPE_PMESII!$B$3:$B$62,"REST")+COUNTIF(ASCOPE_PMESII!$D$3:$D$62,"REST")+COUNTIF(ASCOPE_PMESII!$F$3:$F$62,"REST")+COUNTIF(ASCOPE_PMESII!$H$3:$H$62,"REST")+COUNTIF(ASCOPE_PMESII!$J$3:$J$62,"REST")))),"")))))),"")</f>
        <v/>
      </c>
      <c r="H9" s="22" t="str">
        <f t="array" ref="H9">IFERROR(IF(6&lt;=COUNTIF(ASCOPE_PMESII!$B$3:$B$62,"KCD-MUST"),IFERROR(INDEX(ASCOPE_PMESII!$C$3:$C$62,_xlfn.AGGREGATE(15,6,(ROW(ASCOPE_PMESII!$B$3:$B$62)-ROW(ASCOPE_PMESII!$B$3)+1)/(ASCOPE_PMESII!$B$3:$B$62="KCD-MUST"),6)),""),IF(6&lt;=(COUNTIF(ASCOPE_PMESII!$B$3:$B$62,"KCD-MUST")+COUNTIF(ASCOPE_PMESII!$D$3:$D$62,"KCD-MUST")),IFERROR(INDEX(ASCOPE_PMESII!$E$3:$E$62,_xlfn.AGGREGATE(15,6,(ROW(ASCOPE_PMESII!$D$3:$D$62)-ROW(ASCOPE_PMESII!$D$3)+1)/(ASCOPE_PMESII!$D$3:$D$62="KCD-MUST"),6-(COUNTIF(ASCOPE_PMESII!$B$3:$B$62,"KCD-MUST")))),""),IF(6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6-(COUNTIF(ASCOPE_PMESII!$B$3:$B$62,"KCD-MUST")+COUNTIF(ASCOPE_PMESII!$D$3:$D$62,"KCD-MUST")))),""),IF(6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6-(COUNTIF(ASCOPE_PMESII!$B$3:$B$62,"KCD-MUST")+COUNTIF(ASCOPE_PMESII!$D$3:$D$62,"KCD-MUST")+COUNTIF(ASCOPE_PMESII!$F$3:$F$62,"KCD-MUST")))),""),IF(6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6-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6-(COUNTIF(ASCOPE_PMESII!$B$3:$B$62,"KCD-MUST")+COUNTIF(ASCOPE_PMESII!$D$3:$D$62,"KCD-MUST")+COUNTIF(ASCOPE_PMESII!$F$3:$F$62,"KCD-MUST")+COUNTIF(ASCOPE_PMESII!$H$3:$H$62,"KCD-MUST")+COUNTIF(ASCOPE_PMESII!$J$3:$J$62,"KCD-MUST")))),"")))))),"")</f>
        <v>Pair action with proof and legal framing</v>
      </c>
      <c r="I9" s="22" t="str">
        <f t="array" ref="I9">IFERROR(IF(6&lt;=COUNTIF(ASCOPE_PMESII!$B$3:$B$62,"KCD-SHOULD"),IFERROR(INDEX(ASCOPE_PMESII!$C$3:$C$62,_xlfn.AGGREGATE(15,6,(ROW(ASCOPE_PMESII!$B$3:$B$62)-ROW(ASCOPE_PMESII!$B$3)+1)/(ASCOPE_PMESII!$B$3:$B$62="KCD-SHOULD"),6)),""),IF(6&lt;=(COUNTIF(ASCOPE_PMESII!$B$3:$B$62,"KCD-SHOULD")+COUNTIF(ASCOPE_PMESII!$D$3:$D$62,"KCD-SHOULD")),IFERROR(INDEX(ASCOPE_PMESII!$E$3:$E$62,_xlfn.AGGREGATE(15,6,(ROW(ASCOPE_PMESII!$D$3:$D$62)-ROW(ASCOPE_PMESII!$D$3)+1)/(ASCOPE_PMESII!$D$3:$D$62="KCD-SHOULD"),6-(COUNTIF(ASCOPE_PMESII!$B$3:$B$62,"KCD-SHOULD")))),""),IF(6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6-(COUNTIF(ASCOPE_PMESII!$B$3:$B$62,"KCD-SHOULD")+COUNTIF(ASCOPE_PMESII!$D$3:$D$62,"KCD-SHOULD")))),""),IF(6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6-(COUNTIF(ASCOPE_PMESII!$B$3:$B$62,"KCD-SHOULD")+COUNTIF(ASCOPE_PMESII!$D$3:$D$62,"KCD-SHOULD")+COUNTIF(ASCOPE_PMESII!$F$3:$F$62,"KCD-SHOULD")))),""),IF(6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6-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6-(COUNTIF(ASCOPE_PMESII!$B$3:$B$62,"KCD-SHOULD")+COUNTIF(ASCOPE_PMESII!$D$3:$D$62,"KCD-SHOULD")+COUNTIF(ASCOPE_PMESII!$F$3:$F$62,"KCD-SHOULD")+COUNTIF(ASCOPE_PMESII!$H$3:$H$62,"KCD-SHOULD")+COUNTIF(ASCOPE_PMESII!$J$3:$J$62,"KCD-SHOULD")))),"")))))),"")</f>
        <v>Separate sovereignty, trade and civilian protection narratives</v>
      </c>
      <c r="J9" s="22" t="str">
        <f t="array" ref="J9">IFERROR(IF(6&lt;=COUNTIF(ASCOPE_PMESII!$B$3:$B$62,"KCD-SHOULD NOT"),IFERROR(INDEX(ASCOPE_PMESII!$C$3:$C$62,_xlfn.AGGREGATE(15,6,(ROW(ASCOPE_PMESII!$B$3:$B$62)-ROW(ASCOPE_PMESII!$B$3)+1)/(ASCOPE_PMESII!$B$3:$B$62="KCD-SHOULD NOT"),6)),""),IF(6&lt;=(COUNTIF(ASCOPE_PMESII!$B$3:$B$62,"KCD-SHOULD NOT")+COUNTIF(ASCOPE_PMESII!$D$3:$D$62,"KCD-SHOULD NOT")),IFERROR(INDEX(ASCOPE_PMESII!$E$3:$E$62,_xlfn.AGGREGATE(15,6,(ROW(ASCOPE_PMESII!$D$3:$D$62)-ROW(ASCOPE_PMESII!$D$3)+1)/(ASCOPE_PMESII!$D$3:$D$62="KCD-SHOULD NOT"),6-(COUNTIF(ASCOPE_PMESII!$B$3:$B$62,"KCD-SHOULD NOT")))),""),IF(6&lt;=(COUNTIF(ASCOPE_PMESII!$B$3:$B$62,"KCD-SHOULD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NOT"),6-(COUNTIF(ASCOPE_PMESII!$B$3:$B$62,"KCD-SHOULD NOT")+COUNTIF(ASCOPE_PMESII!$D$3:$D$62,"KCD-SHOULD NOT")))),""),IF(6&lt;=(COUNTIF(ASCOPE_PMESII!$B$3:$B$62,"KCD-SHOULD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NOT"),6-(COUNTIF(ASCOPE_PMESII!$B$3:$B$62,"KCD-SHOULD NOT")+COUNTIF(ASCOPE_PMESII!$D$3:$D$62,"KCD-SHOULD NOT")+COUNTIF(ASCOPE_PMESII!$F$3:$F$62,"KCD-SHOULD NOT")))),""),IF(6&lt;=(COUNTIF(ASCOPE_PMESII!$B$3:$B$62,"KCD-SHOULD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NOT"),6-(COUNTIF(ASCOPE_PMESII!$B$3:$B$62,"KCD-SHOULD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NOT"),6-(COUNTIF(ASCOPE_PMESII!$B$3:$B$62,"KCD-SHOULD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9" s="22" t="str">
        <f t="array" ref="K9">IFERROR(IF(6&lt;=COUNTIF(ASCOPE_PMESII!$B$3:$B$62,"KCD-CANNOT"),IFERROR(INDEX(ASCOPE_PMESII!$C$3:$C$62,_xlfn.AGGREGATE(15,6,(ROW(ASCOPE_PMESII!$B$3:$B$62)-ROW(ASCOPE_PMESII!$B$3)+1)/(ASCOPE_PMESII!$B$3:$B$62="KCD-CANNOT"),6)),""),IF(6&lt;=(COUNTIF(ASCOPE_PMESII!$B$3:$B$62,"KCD-CANNOT")+COUNTIF(ASCOPE_PMESII!$D$3:$D$62,"KCD-CANNOT")),IFERROR(INDEX(ASCOPE_PMESII!$E$3:$E$62,_xlfn.AGGREGATE(15,6,(ROW(ASCOPE_PMESII!$D$3:$D$62)-ROW(ASCOPE_PMESII!$D$3)+1)/(ASCOPE_PMESII!$D$3:$D$62="KCD-CANNOT"),6-(COUNTIF(ASCOPE_PMESII!$B$3:$B$62,"KCD-CANNOT")))),""),IF(6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6-(COUNTIF(ASCOPE_PMESII!$B$3:$B$62,"KCD-CANNOT")+COUNTIF(ASCOPE_PMESII!$D$3:$D$62,"KCD-CANNOT")))),""),IF(6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6-(COUNTIF(ASCOPE_PMESII!$B$3:$B$62,"KCD-CANNOT")+COUNTIF(ASCOPE_PMESII!$D$3:$D$62,"KCD-CANNOT")+COUNTIF(ASCOPE_PMESII!$F$3:$F$62,"KCD-CANNOT")))),""),IF(6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6-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6-(COUNTIF(ASCOPE_PMESII!$B$3:$B$62,"KCD-CANNOT")+COUNTIF(ASCOPE_PMESII!$D$3:$D$62,"KCD-CANNOT")+COUNTIF(ASCOPE_PMESII!$F$3:$F$62,"KCD-CANNOT")+COUNTIF(ASCOPE_PMESII!$H$3:$H$62,"KCD-CANNOT")+COUNTIF(ASCOPE_PMESII!$J$3:$J$62,"KCD-CANNOT")))),"")))))),"")</f>
        <v>Cannot win narrative by generic anti-rebel messaging</v>
      </c>
      <c r="L9" s="22" t="str">
        <f t="array" ref="L9">IFERROR(IF(6&lt;=COUNTIF(ASCOPE_PMESII!$B$3:$B$62,"DECISION"),IFERROR(INDEX(ASCOPE_PMESII!$C$3:$C$62,_xlfn.AGGREGATE(15,6,(ROW(ASCOPE_PMESII!$B$3:$B$62)-ROW(ASCOPE_PMESII!$B$3)+1)/(ASCOPE_PMESII!$B$3:$B$62="DECISION"),6)),""),IF(6&lt;=(COUNTIF(ASCOPE_PMESII!$B$3:$B$62,"DECISION")+COUNTIF(ASCOPE_PMESII!$D$3:$D$62,"DECISION")),IFERROR(INDEX(ASCOPE_PMESII!$E$3:$E$62,_xlfn.AGGREGATE(15,6,(ROW(ASCOPE_PMESII!$D$3:$D$62)-ROW(ASCOPE_PMESII!$D$3)+1)/(ASCOPE_PMESII!$D$3:$D$62="DECISION"),6-(COUNTIF(ASCOPE_PMESII!$B$3:$B$62,"DECISION")))),""),IF(6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6-(COUNTIF(ASCOPE_PMESII!$B$3:$B$62,"DECISION")+COUNTIF(ASCOPE_PMESII!$D$3:$D$62,"DECISION")))),""),IF(6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6-(COUNTIF(ASCOPE_PMESII!$B$3:$B$62,"DECISION")+COUNTIF(ASCOPE_PMESII!$D$3:$D$62,"DECISION")+COUNTIF(ASCOPE_PMESII!$F$3:$F$62,"DECISION")))),""),IF(6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6-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6-(COUNTIF(ASCOPE_PMESII!$B$3:$B$62,"DECISION")+COUNTIF(ASCOPE_PMESII!$D$3:$D$62,"DECISION")+COUNTIF(ASCOPE_PMESII!$F$3:$F$62,"DECISION")+COUNTIF(ASCOPE_PMESII!$H$3:$H$62,"DECISION")+COUNTIF(ASCOPE_PMESII!$J$3:$J$62,"DECISION")))),"")))))),"")</f>
        <v>COM needs delegated release authority</v>
      </c>
      <c r="M9" s="22" t="str">
        <f t="array" ref="M9">IFERROR(IF(6&lt;=COUNTIF(ASCOPE_PMESII!$B$3:$B$62,"ASSUMPTION"),IFERROR(INDEX(ASCOPE_PMESII!$C$3:$C$62,_xlfn.AGGREGATE(15,6,(ROW(ASCOPE_PMESII!$B$3:$B$62)-ROW(ASCOPE_PMESII!$B$3)+1)/(ASCOPE_PMESII!$B$3:$B$62="ASSUMPTION"),6)),""),IF(6&lt;=(COUNTIF(ASCOPE_PMESII!$B$3:$B$62,"ASSUMPTION")+COUNTIF(ASCOPE_PMESII!$D$3:$D$62,"ASSUMPTION")),IFERROR(INDEX(ASCOPE_PMESII!$E$3:$E$62,_xlfn.AGGREGATE(15,6,(ROW(ASCOPE_PMESII!$D$3:$D$62)-ROW(ASCOPE_PMESII!$D$3)+1)/(ASCOPE_PMESII!$D$3:$D$62="ASSUMPTION"),6-(COUNTIF(ASCOPE_PMESII!$B$3:$B$62,"ASSUMPTION")))),""),IF(6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6-(COUNTIF(ASCOPE_PMESII!$B$3:$B$62,"ASSUMPTION")+COUNTIF(ASCOPE_PMESII!$D$3:$D$62,"ASSUMPTION")))),""),IF(6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6-(COUNTIF(ASCOPE_PMESII!$B$3:$B$62,"ASSUMPTION")+COUNTIF(ASCOPE_PMESII!$D$3:$D$62,"ASSUMPTION")+COUNTIF(ASCOPE_PMESII!$F$3:$F$62,"ASSUMPTION")))),""),IF(6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6-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6-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9" s="22" t="str">
        <f t="array" ref="N9">IFERROR(IF(6&lt;=COUNTIF(ASCOPE_PMESII!$B$3:$B$62,"CONSTRAINT"),IFERROR(INDEX(ASCOPE_PMESII!$C$3:$C$62,_xlfn.AGGREGATE(15,6,(ROW(ASCOPE_PMESII!$B$3:$B$62)-ROW(ASCOPE_PMESII!$B$3)+1)/(ASCOPE_PMESII!$B$3:$B$62="CONSTRAINT"),6)),""),IF(6&lt;=(COUNTIF(ASCOPE_PMESII!$B$3:$B$62,"CONSTRAINT")+COUNTIF(ASCOPE_PMESII!$D$3:$D$62,"CONSTRAINT")),IFERROR(INDEX(ASCOPE_PMESII!$E$3:$E$62,_xlfn.AGGREGATE(15,6,(ROW(ASCOPE_PMESII!$D$3:$D$62)-ROW(ASCOPE_PMESII!$D$3)+1)/(ASCOPE_PMESII!$D$3:$D$62="CONSTRAINT"),6-(COUNTIF(ASCOPE_PMESII!$B$3:$B$62,"CONSTRAINT")))),""),IF(6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6-(COUNTIF(ASCOPE_PMESII!$B$3:$B$62,"CONSTRAINT")+COUNTIF(ASCOPE_PMESII!$D$3:$D$62,"CONSTRAINT")))),""),IF(6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6-(COUNTIF(ASCOPE_PMESII!$B$3:$B$62,"CONSTRAINT")+COUNTIF(ASCOPE_PMESII!$D$3:$D$62,"CONSTRAINT")+COUNTIF(ASCOPE_PMESII!$F$3:$F$62,"CONSTRAINT")))),""),IF(6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6-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6-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9" s="22" t="str">
        <f t="array" ref="O9">IFERROR(IF(6&lt;=COUNTIF(ASCOPE_PMESII!$B$3:$B$62,"LIMITATION"),IFERROR(INDEX(ASCOPE_PMESII!$C$3:$C$62,_xlfn.AGGREGATE(15,6,(ROW(ASCOPE_PMESII!$B$3:$B$62)-ROW(ASCOPE_PMESII!$B$3)+1)/(ASCOPE_PMESII!$B$3:$B$62="LIMITATION"),6)),""),IF(6&lt;=(COUNTIF(ASCOPE_PMESII!$B$3:$B$62,"LIMITATION")+COUNTIF(ASCOPE_PMESII!$D$3:$D$62,"LIMITATION")),IFERROR(INDEX(ASCOPE_PMESII!$E$3:$E$62,_xlfn.AGGREGATE(15,6,(ROW(ASCOPE_PMESII!$D$3:$D$62)-ROW(ASCOPE_PMESII!$D$3)+1)/(ASCOPE_PMESII!$D$3:$D$62="LIMITATION"),6-(COUNTIF(ASCOPE_PMESII!$B$3:$B$62,"LIMITATION")))),""),IF(6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6-(COUNTIF(ASCOPE_PMESII!$B$3:$B$62,"LIMITATION")+COUNTIF(ASCOPE_PMESII!$D$3:$D$62,"LIMITATION")))),""),IF(6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6-(COUNTIF(ASCOPE_PMESII!$B$3:$B$62,"LIMITATION")+COUNTIF(ASCOPE_PMESII!$D$3:$D$62,"LIMITATION")+COUNTIF(ASCOPE_PMESII!$F$3:$F$62,"LIMITATION")))),""),IF(6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6-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6-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9" s="22" t="str">
        <f t="array" ref="P9">IFERROR(IF(6&lt;=COUNTIF(ASCOPE_PMESII!$B$3:$B$62,"CC"),IFERROR(INDEX(ASCOPE_PMESII!$C$3:$C$62,_xlfn.AGGREGATE(15,6,(ROW(ASCOPE_PMESII!$B$3:$B$62)-ROW(ASCOPE_PMESII!$B$3)+1)/(ASCOPE_PMESII!$B$3:$B$62="CC"),6)),""),IF(6&lt;=(COUNTIF(ASCOPE_PMESII!$B$3:$B$62,"CC")+COUNTIF(ASCOPE_PMESII!$D$3:$D$62,"CC")),IFERROR(INDEX(ASCOPE_PMESII!$E$3:$E$62,_xlfn.AGGREGATE(15,6,(ROW(ASCOPE_PMESII!$D$3:$D$62)-ROW(ASCOPE_PMESII!$D$3)+1)/(ASCOPE_PMESII!$D$3:$D$62="CC"),6-(COUNTIF(ASCOPE_PMESII!$B$3:$B$62,"CC")))),""),IF(6&lt;=(COUNTIF(ASCOPE_PMESII!$B$3:$B$62,"CC")+COUNTIF(ASCOPE_PMESII!$D$3:$D$62,"CC")+COUNTIF(ASCOPE_PMESII!$F$3:$F$62,"CC")),IFERROR(INDEX(ASCOPE_PMESII!$G$3:$G$62,_xlfn.AGGREGATE(15,6,(ROW(ASCOPE_PMESII!$F$3:$F$62)-ROW(ASCOPE_PMESII!$F$3)+1)/(ASCOPE_PMESII!$F$3:$F$62="CC"),6-(COUNTIF(ASCOPE_PMESII!$B$3:$B$62,"CC")+COUNTIF(ASCOPE_PMESII!$D$3:$D$62,"CC")))),""),IF(6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6-(COUNTIF(ASCOPE_PMESII!$B$3:$B$62,"CC")+COUNTIF(ASCOPE_PMESII!$D$3:$D$62,"CC")+COUNTIF(ASCOPE_PMESII!$F$3:$F$62,"CC")))),""),IF(6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6-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6-(COUNTIF(ASCOPE_PMESII!$B$3:$B$62,"CC")+COUNTIF(ASCOPE_PMESII!$D$3:$D$62,"CC")+COUNTIF(ASCOPE_PMESII!$F$3:$F$62,"CC")+COUNTIF(ASCOPE_PMESII!$H$3:$H$62,"CC")+COUNTIF(ASCOPE_PMESII!$J$3:$J$62,"CC")))),"")))))),"")</f>
        <v>Malacca is narrow, shallow and high-density</v>
      </c>
      <c r="Q9" s="22" t="str">
        <f t="array" ref="Q9">IFERROR(IF(6&lt;=COUNTIF(ASCOPE_PMESII!$B$3:$B$62,"CR"),IFERROR(INDEX(ASCOPE_PMESII!$C$3:$C$62,_xlfn.AGGREGATE(15,6,(ROW(ASCOPE_PMESII!$B$3:$B$62)-ROW(ASCOPE_PMESII!$B$3)+1)/(ASCOPE_PMESII!$B$3:$B$62="CR"),6)),""),IF(6&lt;=(COUNTIF(ASCOPE_PMESII!$B$3:$B$62,"CR")+COUNTIF(ASCOPE_PMESII!$D$3:$D$62,"CR")),IFERROR(INDEX(ASCOPE_PMESII!$E$3:$E$62,_xlfn.AGGREGATE(15,6,(ROW(ASCOPE_PMESII!$D$3:$D$62)-ROW(ASCOPE_PMESII!$D$3)+1)/(ASCOPE_PMESII!$D$3:$D$62="CR"),6-(COUNTIF(ASCOPE_PMESII!$B$3:$B$62,"CR")))),""),IF(6&lt;=(COUNTIF(ASCOPE_PMESII!$B$3:$B$62,"CR")+COUNTIF(ASCOPE_PMESII!$D$3:$D$62,"CR")+COUNTIF(ASCOPE_PMESII!$F$3:$F$62,"CR")),IFERROR(INDEX(ASCOPE_PMESII!$G$3:$G$62,_xlfn.AGGREGATE(15,6,(ROW(ASCOPE_PMESII!$F$3:$F$62)-ROW(ASCOPE_PMESII!$F$3)+1)/(ASCOPE_PMESII!$F$3:$F$62="CR"),6-(COUNTIF(ASCOPE_PMESII!$B$3:$B$62,"CR")+COUNTIF(ASCOPE_PMESII!$D$3:$D$62,"CR")))),""),IF(6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6-(COUNTIF(ASCOPE_PMESII!$B$3:$B$62,"CR")+COUNTIF(ASCOPE_PMESII!$D$3:$D$62,"CR")+COUNTIF(ASCOPE_PMESII!$F$3:$F$62,"CR")))),""),IF(6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6-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6-(COUNTIF(ASCOPE_PMESII!$B$3:$B$62,"CR")+COUNTIF(ASCOPE_PMESII!$D$3:$D$62,"CR")+COUNTIF(ASCOPE_PMESII!$F$3:$F$62,"CR")+COUNTIF(ASCOPE_PMESII!$H$3:$H$62,"CR")+COUNTIF(ASCOPE_PMESII!$J$3:$J$62,"CR")))),"")))))),"")</f>
        <v>Local-language STRATCOM and evidence teams required</v>
      </c>
      <c r="R9" s="95" t="str">
        <f t="array" ref="R9">IFERROR(IF(6&lt;=COUNTIF(ASCOPE_PMESII!$B$3:$B$62,"PCS"),IFERROR(INDEX(ASCOPE_PMESII!$C$3:$C$62,_xlfn.AGGREGATE(15,6,(ROW(ASCOPE_PMESII!$B$3:$B$62)-ROW(ASCOPE_PMESII!$B$3)+1)/(ASCOPE_PMESII!$B$3:$B$62="PCS"),6)),""),IF(6&lt;=(COUNTIF(ASCOPE_PMESII!$B$3:$B$62,"PCS")+COUNTIF(ASCOPE_PMESII!$D$3:$D$62,"PCS")),IFERROR(INDEX(ASCOPE_PMESII!$E$3:$E$62,_xlfn.AGGREGATE(15,6,(ROW(ASCOPE_PMESII!$D$3:$D$62)-ROW(ASCOPE_PMESII!$D$3)+1)/(ASCOPE_PMESII!$D$3:$D$62="PCS"),6-(COUNTIF(ASCOPE_PMESII!$B$3:$B$62,"PCS")))),""),IF(6&lt;=(COUNTIF(ASCOPE_PMESII!$B$3:$B$62,"PCS")+COUNTIF(ASCOPE_PMESII!$D$3:$D$62,"PCS")+COUNTIF(ASCOPE_PMESII!$F$3:$F$62,"PCS")),IFERROR(INDEX(ASCOPE_PMESII!$G$3:$G$62,_xlfn.AGGREGATE(15,6,(ROW(ASCOPE_PMESII!$F$3:$F$62)-ROW(ASCOPE_PMESII!$F$3)+1)/(ASCOPE_PMESII!$F$3:$F$62="PCS"),6-(COUNTIF(ASCOPE_PMESII!$B$3:$B$62,"PCS")+COUNTIF(ASCOPE_PMESII!$D$3:$D$62,"PCS")))),""),IF(6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6-(COUNTIF(ASCOPE_PMESII!$B$3:$B$62,"PCS")+COUNTIF(ASCOPE_PMESII!$D$3:$D$62,"PCS")+COUNTIF(ASCOPE_PMESII!$F$3:$F$62,"PCS")))),""),IF(6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6-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6-(COUNTIF(ASCOPE_PMESII!$B$3:$B$62,"PCS")+COUNTIF(ASCOPE_PMESII!$D$3:$D$62,"PCS")+COUNTIF(ASCOPE_PMESII!$F$3:$F$62,"PCS")+COUNTIF(ASCOPE_PMESII!$H$3:$H$62,"PCS")+COUNTIF(ASCOPE_PMESII!$J$3:$J$62,"PCS")))),"")))))),"")</f>
        <v/>
      </c>
    </row>
    <row r="10" spans="1:18" ht="34.5" customHeight="1">
      <c r="A10" s="21" t="str">
        <f t="array" ref="A10">IFERROR(IF(7&lt;=COUNTIF(ASCOPE_PMESII!$B$3:$B$62,"OE"),IFERROR(INDEX(ASCOPE_PMESII!$C$3:$C$62,_xlfn.AGGREGATE(15,6,(ROW(ASCOPE_PMESII!$B$3:$B$62)-ROW(ASCOPE_PMESII!$B$3)+1)/(ASCOPE_PMESII!$B$3:$B$62="OE"),7)),""),IF(7&lt;=(COUNTIF(ASCOPE_PMESII!$B$3:$B$62,"OE")+COUNTIF(ASCOPE_PMESII!$D$3:$D$62,"OE")),IFERROR(INDEX(ASCOPE_PMESII!$E$3:$E$62,_xlfn.AGGREGATE(15,6,(ROW(ASCOPE_PMESII!$D$3:$D$62)-ROW(ASCOPE_PMESII!$D$3)+1)/(ASCOPE_PMESII!$D$3:$D$62="OE"),7-(COUNTIF(ASCOPE_PMESII!$B$3:$B$62,"OE")))),""),IF(7&lt;=(COUNTIF(ASCOPE_PMESII!$B$3:$B$62,"OE")+COUNTIF(ASCOPE_PMESII!$D$3:$D$62,"OE")+COUNTIF(ASCOPE_PMESII!$F$3:$F$62,"OE")),IFERROR(INDEX(ASCOPE_PMESII!$G$3:$G$62,_xlfn.AGGREGATE(15,6,(ROW(ASCOPE_PMESII!$F$3:$F$62)-ROW(ASCOPE_PMESII!$F$3)+1)/(ASCOPE_PMESII!$F$3:$F$62="OE"),7-(COUNTIF(ASCOPE_PMESII!$B$3:$B$62,"OE")+COUNTIF(ASCOPE_PMESII!$D$3:$D$62,"OE")))),""),IF(7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7-(COUNTIF(ASCOPE_PMESII!$B$3:$B$62,"OE")+COUNTIF(ASCOPE_PMESII!$D$3:$D$62,"OE")+COUNTIF(ASCOPE_PMESII!$F$3:$F$62,"OE")))),""),IF(7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7-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7-(COUNTIF(ASCOPE_PMESII!$B$3:$B$62,"OE")+COUNTIF(ASCOPE_PMESII!$D$3:$D$62,"OE")+COUNTIF(ASCOPE_PMESII!$F$3:$F$62,"OE")+COUNTIF(ASCOPE_PMESII!$H$3:$H$62,"OE")+COUNTIF(ASCOPE_PMESII!$J$3:$J$62,"OE")))),"")))))),"")</f>
        <v>INFLUENCE regional stakeholders</v>
      </c>
      <c r="B10" s="21" t="str">
        <f t="array" ref="B10">IFERROR(IF(7&lt;=COUNTIF(ASCOPE_PMESII!$B$3:$B$62,"OA"),IFERROR(INDEX(ASCOPE_PMESII!$C$3:$C$62,_xlfn.AGGREGATE(15,6,(ROW(ASCOPE_PMESII!$B$3:$B$62)-ROW(ASCOPE_PMESII!$B$3)+1)/(ASCOPE_PMESII!$B$3:$B$62="OA"),7)),""),IF(7&lt;=(COUNTIF(ASCOPE_PMESII!$B$3:$B$62,"OA")+COUNTIF(ASCOPE_PMESII!$D$3:$D$62,"OA")),IFERROR(INDEX(ASCOPE_PMESII!$E$3:$E$62,_xlfn.AGGREGATE(15,6,(ROW(ASCOPE_PMESII!$D$3:$D$62)-ROW(ASCOPE_PMESII!$D$3)+1)/(ASCOPE_PMESII!$D$3:$D$62="OA"),7-(COUNTIF(ASCOPE_PMESII!$B$3:$B$62,"OA")))),""),IF(7&lt;=(COUNTIF(ASCOPE_PMESII!$B$3:$B$62,"OA")+COUNTIF(ASCOPE_PMESII!$D$3:$D$62,"OA")+COUNTIF(ASCOPE_PMESII!$F$3:$F$62,"OA")),IFERROR(INDEX(ASCOPE_PMESII!$G$3:$G$62,_xlfn.AGGREGATE(15,6,(ROW(ASCOPE_PMESII!$F$3:$F$62)-ROW(ASCOPE_PMESII!$F$3)+1)/(ASCOPE_PMESII!$F$3:$F$62="OA"),7-(COUNTIF(ASCOPE_PMESII!$B$3:$B$62,"OA")+COUNTIF(ASCOPE_PMESII!$D$3:$D$62,"OA")))),""),IF(7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7-(COUNTIF(ASCOPE_PMESII!$B$3:$B$62,"OA")+COUNTIF(ASCOPE_PMESII!$D$3:$D$62,"OA")+COUNTIF(ASCOPE_PMESII!$F$3:$F$62,"OA")))),""),IF(7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7-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7-(COUNTIF(ASCOPE_PMESII!$B$3:$B$62,"OA")+COUNTIF(ASCOPE_PMESII!$D$3:$D$62,"OA")+COUNTIF(ASCOPE_PMESII!$F$3:$F$62,"OA")+COUNTIF(ASCOPE_PMESII!$H$3:$H$62,"OA")+COUNTIF(ASCOPE_PMESII!$J$3:$J$62,"OA")))),"")))))),"")</f>
        <v/>
      </c>
      <c r="C10" s="21" t="str">
        <f t="array" ref="C10">IFERROR(IF(7&lt;=COUNTIF(ASCOPE_PMESII!$B$3:$B$62,"RISK"),IFERROR(INDEX(ASCOPE_PMESII!$C$3:$C$62,_xlfn.AGGREGATE(15,6,(ROW(ASCOPE_PMESII!$B$3:$B$62)-ROW(ASCOPE_PMESII!$B$3)+1)/(ASCOPE_PMESII!$B$3:$B$62="RISK"),7)),""),IF(7&lt;=(COUNTIF(ASCOPE_PMESII!$B$3:$B$62,"RISK")+COUNTIF(ASCOPE_PMESII!$D$3:$D$62,"RISK")),IFERROR(INDEX(ASCOPE_PMESII!$E$3:$E$62,_xlfn.AGGREGATE(15,6,(ROW(ASCOPE_PMESII!$D$3:$D$62)-ROW(ASCOPE_PMESII!$D$3)+1)/(ASCOPE_PMESII!$D$3:$D$62="RISK"),7-(COUNTIF(ASCOPE_PMESII!$B$3:$B$62,"RISK")))),""),IF(7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7-(COUNTIF(ASCOPE_PMESII!$B$3:$B$62,"RISK")+COUNTIF(ASCOPE_PMESII!$D$3:$D$62,"RISK")))),""),IF(7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7-(COUNTIF(ASCOPE_PMESII!$B$3:$B$62,"RISK")+COUNTIF(ASCOPE_PMESII!$D$3:$D$62,"RISK")+COUNTIF(ASCOPE_PMESII!$F$3:$F$62,"RISK")))),""),IF(7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7-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7-(COUNTIF(ASCOPE_PMESII!$B$3:$B$62,"RISK")+COUNTIF(ASCOPE_PMESII!$D$3:$D$62,"RISK")+COUNTIF(ASCOPE_PMESII!$F$3:$F$62,"RISK")+COUNTIF(ASCOPE_PMESII!$H$3:$H$62,"RISK")+COUNTIF(ASCOPE_PMESII!$J$3:$J$62,"RISK")))),"")))))),"")</f>
        <v>Empty offices after clearance create governance vacuum</v>
      </c>
      <c r="D10" s="21" t="str">
        <f t="array" ref="D10">IFERROR(IF(7&lt;=COUNTIF(ASCOPE_PMESII!$B$3:$B$62,"CV"),IFERROR(INDEX(ASCOPE_PMESII!$C$3:$C$62,_xlfn.AGGREGATE(15,6,(ROW(ASCOPE_PMESII!$B$3:$B$62)-ROW(ASCOPE_PMESII!$B$3)+1)/(ASCOPE_PMESII!$B$3:$B$62="CV"),7)),""),IF(7&lt;=(COUNTIF(ASCOPE_PMESII!$B$3:$B$62,"CV")+COUNTIF(ASCOPE_PMESII!$D$3:$D$62,"CV")),IFERROR(INDEX(ASCOPE_PMESII!$E$3:$E$62,_xlfn.AGGREGATE(15,6,(ROW(ASCOPE_PMESII!$D$3:$D$62)-ROW(ASCOPE_PMESII!$D$3)+1)/(ASCOPE_PMESII!$D$3:$D$62="CV"),7-(COUNTIF(ASCOPE_PMESII!$B$3:$B$62,"CV")))),""),IF(7&lt;=(COUNTIF(ASCOPE_PMESII!$B$3:$B$62,"CV")+COUNTIF(ASCOPE_PMESII!$D$3:$D$62,"CV")+COUNTIF(ASCOPE_PMESII!$F$3:$F$62,"CV")),IFERROR(INDEX(ASCOPE_PMESII!$G$3:$G$62,_xlfn.AGGREGATE(15,6,(ROW(ASCOPE_PMESII!$F$3:$F$62)-ROW(ASCOPE_PMESII!$F$3)+1)/(ASCOPE_PMESII!$F$3:$F$62="CV"),7-(COUNTIF(ASCOPE_PMESII!$B$3:$B$62,"CV")+COUNTIF(ASCOPE_PMESII!$D$3:$D$62,"CV")))),""),IF(7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7-(COUNTIF(ASCOPE_PMESII!$B$3:$B$62,"CV")+COUNTIF(ASCOPE_PMESII!$D$3:$D$62,"CV")+COUNTIF(ASCOPE_PMESII!$F$3:$F$62,"CV")))),""),IF(7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7-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7-(COUNTIF(ASCOPE_PMESII!$B$3:$B$62,"CV")+COUNTIF(ASCOPE_PMESII!$D$3:$D$62,"CV")+COUNTIF(ASCOPE_PMESII!$F$3:$F$62,"CV")+COUNTIF(ASCOPE_PMESII!$H$3:$H$62,"CV")+COUNTIF(ASCOPE_PMESII!$J$3:$J$62,"CV")))),"")))))),"")</f>
        <v>Aceh, Batak, Minangkabau, Malay and Lampung differ</v>
      </c>
      <c r="E10" s="21" t="str">
        <f t="array" ref="E10">IFERROR(IF(7&lt;=COUNTIF(ASCOPE_PMESII!$B$3:$B$62,"COR"),IFERROR(INDEX(ASCOPE_PMESII!$C$3:$C$62,_xlfn.AGGREGATE(15,6,(ROW(ASCOPE_PMESII!$B$3:$B$62)-ROW(ASCOPE_PMESII!$B$3)+1)/(ASCOPE_PMESII!$B$3:$B$62="COR"),7)),""),IF(7&lt;=(COUNTIF(ASCOPE_PMESII!$B$3:$B$62,"COR")+COUNTIF(ASCOPE_PMESII!$D$3:$D$62,"COR")),IFERROR(INDEX(ASCOPE_PMESII!$E$3:$E$62,_xlfn.AGGREGATE(15,6,(ROW(ASCOPE_PMESII!$D$3:$D$62)-ROW(ASCOPE_PMESII!$D$3)+1)/(ASCOPE_PMESII!$D$3:$D$62="COR"),7-(COUNTIF(ASCOPE_PMESII!$B$3:$B$62,"COR")))),""),IF(7&lt;=(COUNTIF(ASCOPE_PMESII!$B$3:$B$62,"COR")+COUNTIF(ASCOPE_PMESII!$D$3:$D$62,"COR")+COUNTIF(ASCOPE_PMESII!$F$3:$F$62,"COR")),IFERROR(INDEX(ASCOPE_PMESII!$G$3:$G$62,_xlfn.AGGREGATE(15,6,(ROW(ASCOPE_PMESII!$F$3:$F$62)-ROW(ASCOPE_PMESII!$F$3)+1)/(ASCOPE_PMESII!$F$3:$F$62="COR"),7-(COUNTIF(ASCOPE_PMESII!$B$3:$B$62,"COR")+COUNTIF(ASCOPE_PMESII!$D$3:$D$62,"COR")))),""),IF(7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7-(COUNTIF(ASCOPE_PMESII!$B$3:$B$62,"COR")+COUNTIF(ASCOPE_PMESII!$D$3:$D$62,"COR")+COUNTIF(ASCOPE_PMESII!$F$3:$F$62,"COR")))),""),IF(7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7-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7-(COUNTIF(ASCOPE_PMESII!$B$3:$B$62,"COR")+COUNTIF(ASCOPE_PMESII!$D$3:$D$62,"COR")+COUNTIF(ASCOPE_PMESII!$F$3:$F$62,"COR")+COUNTIF(ASCOPE_PMESII!$H$3:$H$62,"COR")+COUNTIF(ASCOPE_PMESII!$J$3:$J$62,"COR")))),"")))))),"")</f>
        <v>Separate rebel command from civil administration</v>
      </c>
      <c r="F10" s="21" t="str">
        <f t="array" ref="F10">IFERROR(IF(7&lt;=COUNTIF(ASCOPE_PMESII!$B$3:$B$62,"REQT"),IFERROR(INDEX(ASCOPE_PMESII!$C$3:$C$62,_xlfn.AGGREGATE(15,6,(ROW(ASCOPE_PMESII!$B$3:$B$62)-ROW(ASCOPE_PMESII!$B$3)+1)/(ASCOPE_PMESII!$B$3:$B$62="REQT"),7)),""),IF(7&lt;=(COUNTIF(ASCOPE_PMESII!$B$3:$B$62,"REQT")+COUNTIF(ASCOPE_PMESII!$D$3:$D$62,"REQT")),IFERROR(INDEX(ASCOPE_PMESII!$E$3:$E$62,_xlfn.AGGREGATE(15,6,(ROW(ASCOPE_PMESII!$D$3:$D$62)-ROW(ASCOPE_PMESII!$D$3)+1)/(ASCOPE_PMESII!$D$3:$D$62="REQT"),7-(COUNTIF(ASCOPE_PMESII!$B$3:$B$62,"REQT")))),""),IF(7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7-(COUNTIF(ASCOPE_PMESII!$B$3:$B$62,"REQT")+COUNTIF(ASCOPE_PMESII!$D$3:$D$62,"REQT")))),""),IF(7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7-(COUNTIF(ASCOPE_PMESII!$B$3:$B$62,"REQT")+COUNTIF(ASCOPE_PMESII!$D$3:$D$62,"REQT")+COUNTIF(ASCOPE_PMESII!$F$3:$F$62,"REQT")))),""),IF(7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7-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7-(COUNTIF(ASCOPE_PMESII!$B$3:$B$62,"REQT")+COUNTIF(ASCOPE_PMESII!$D$3:$D$62,"REQT")+COUNTIF(ASCOPE_PMESII!$F$3:$F$62,"REQT")+COUNTIF(ASCOPE_PMESII!$H$3:$H$62,"REQT")+COUNTIF(ASCOPE_PMESII!$J$3:$J$62,"REQT")))),"")))))),"")</f>
        <v/>
      </c>
      <c r="G10" s="21" t="str">
        <f t="array" ref="G10">IFERROR(IF(7&lt;=COUNTIF(ASCOPE_PMESII!$B$3:$B$62,"REST"),IFERROR(INDEX(ASCOPE_PMESII!$C$3:$C$62,_xlfn.AGGREGATE(15,6,(ROW(ASCOPE_PMESII!$B$3:$B$62)-ROW(ASCOPE_PMESII!$B$3)+1)/(ASCOPE_PMESII!$B$3:$B$62="REST"),7)),""),IF(7&lt;=(COUNTIF(ASCOPE_PMESII!$B$3:$B$62,"REST")+COUNTIF(ASCOPE_PMESII!$D$3:$D$62,"REST")),IFERROR(INDEX(ASCOPE_PMESII!$E$3:$E$62,_xlfn.AGGREGATE(15,6,(ROW(ASCOPE_PMESII!$D$3:$D$62)-ROW(ASCOPE_PMESII!$D$3)+1)/(ASCOPE_PMESII!$D$3:$D$62="REST"),7-(COUNTIF(ASCOPE_PMESII!$B$3:$B$62,"REST")))),""),IF(7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7-(COUNTIF(ASCOPE_PMESII!$B$3:$B$62,"REST")+COUNTIF(ASCOPE_PMESII!$D$3:$D$62,"REST")))),""),IF(7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7-(COUNTIF(ASCOPE_PMESII!$B$3:$B$62,"REST")+COUNTIF(ASCOPE_PMESII!$D$3:$D$62,"REST")+COUNTIF(ASCOPE_PMESII!$F$3:$F$62,"REST")))),""),IF(7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7-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7-(COUNTIF(ASCOPE_PMESII!$B$3:$B$62,"REST")+COUNTIF(ASCOPE_PMESII!$D$3:$D$62,"REST")+COUNTIF(ASCOPE_PMESII!$F$3:$F$62,"REST")+COUNTIF(ASCOPE_PMESII!$H$3:$H$62,"REST")+COUNTIF(ASCOPE_PMESII!$J$3:$J$62,"REST")))),"")))))),"")</f>
        <v/>
      </c>
      <c r="H10" s="21" t="str">
        <f t="array" ref="H10">IFERROR(IF(7&lt;=COUNTIF(ASCOPE_PMESII!$B$3:$B$62,"KCD-MUST"),IFERROR(INDEX(ASCOPE_PMESII!$C$3:$C$62,_xlfn.AGGREGATE(15,6,(ROW(ASCOPE_PMESII!$B$3:$B$62)-ROW(ASCOPE_PMESII!$B$3)+1)/(ASCOPE_PMESII!$B$3:$B$62="KCD-MUST"),7)),""),IF(7&lt;=(COUNTIF(ASCOPE_PMESII!$B$3:$B$62,"KCD-MUST")+COUNTIF(ASCOPE_PMESII!$D$3:$D$62,"KCD-MUST")),IFERROR(INDEX(ASCOPE_PMESII!$E$3:$E$62,_xlfn.AGGREGATE(15,6,(ROW(ASCOPE_PMESII!$D$3:$D$62)-ROW(ASCOPE_PMESII!$D$3)+1)/(ASCOPE_PMESII!$D$3:$D$62="KCD-MUST"),7-(COUNTIF(ASCOPE_PMESII!$B$3:$B$62,"KCD-MUST")))),""),IF(7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7-(COUNTIF(ASCOPE_PMESII!$B$3:$B$62,"KCD-MUST")+COUNTIF(ASCOPE_PMESII!$D$3:$D$62,"KCD-MUST")))),""),IF(7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7-(COUNTIF(ASCOPE_PMESII!$B$3:$B$62,"KCD-MUST")+COUNTIF(ASCOPE_PMESII!$D$3:$D$62,"KCD-MUST")+COUNTIF(ASCOPE_PMESII!$F$3:$F$62,"KCD-MUST")))),""),IF(7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7-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7-(COUNTIF(ASCOPE_PMESII!$B$3:$B$62,"KCD-MUST")+COUNTIF(ASCOPE_PMESII!$D$3:$D$62,"KCD-MUST")+COUNTIF(ASCOPE_PMESII!$F$3:$F$62,"KCD-MUST")+COUNTIF(ASCOPE_PMESII!$H$3:$H$62,"KCD-MUST")+COUNTIF(ASCOPE_PMESII!$J$3:$J$62,"KCD-MUST")))),"")))))),"")</f>
        <v>Civil authority must follow security success immediately</v>
      </c>
      <c r="I10" s="21" t="str">
        <f t="array" ref="I10">IFERROR(IF(7&lt;=COUNTIF(ASCOPE_PMESII!$B$3:$B$62,"KCD-SHOULD"),IFERROR(INDEX(ASCOPE_PMESII!$C$3:$C$62,_xlfn.AGGREGATE(15,6,(ROW(ASCOPE_PMESII!$B$3:$B$62)-ROW(ASCOPE_PMESII!$B$3)+1)/(ASCOPE_PMESII!$B$3:$B$62="KCD-SHOULD"),7)),""),IF(7&lt;=(COUNTIF(ASCOPE_PMESII!$B$3:$B$62,"KCD-SHOULD")+COUNTIF(ASCOPE_PMESII!$D$3:$D$62,"KCD-SHOULD")),IFERROR(INDEX(ASCOPE_PMESII!$E$3:$E$62,_xlfn.AGGREGATE(15,6,(ROW(ASCOPE_PMESII!$D$3:$D$62)-ROW(ASCOPE_PMESII!$D$3)+1)/(ASCOPE_PMESII!$D$3:$D$62="KCD-SHOULD"),7-(COUNTIF(ASCOPE_PMESII!$B$3:$B$62,"KCD-SHOULD")))),""),IF(7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7-(COUNTIF(ASCOPE_PMESII!$B$3:$B$62,"KCD-SHOULD")+COUNTIF(ASCOPE_PMESII!$D$3:$D$62,"KCD-SHOULD")))),""),IF(7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7-(COUNTIF(ASCOPE_PMESII!$B$3:$B$62,"KCD-SHOULD")+COUNTIF(ASCOPE_PMESII!$D$3:$D$62,"KCD-SHOULD")+COUNTIF(ASCOPE_PMESII!$F$3:$F$62,"KCD-SHOULD")))),""),IF(7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7-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7-(COUNTIF(ASCOPE_PMESII!$B$3:$B$62,"KCD-SHOULD")+COUNTIF(ASCOPE_PMESII!$D$3:$D$62,"KCD-SHOULD")+COUNTIF(ASCOPE_PMESII!$F$3:$F$62,"KCD-SHOULD")+COUNTIF(ASCOPE_PMESII!$H$3:$H$62,"KCD-SHOULD")+COUNTIF(ASCOPE_PMESII!$J$3:$J$62,"KCD-SHOULD")))),"")))))),"")</f>
        <v>Prioritise MEDAN-BELAWAN political infrastructure</v>
      </c>
      <c r="J10" s="21" t="str">
        <f t="array" ref="J10">IFERROR(IF(7&lt;=COUNTIF(ASCOPE_PMESII!$B$3:$B$62,"KCD-SHOULD NOT"),IFERROR(INDEX(ASCOPE_PMESII!$C$3:$C$62,_xlfn.AGGREGATE(15,6,(ROW(ASCOPE_PMESII!$B$3:$B$62)-ROW(ASCOPE_PMESII!$B$3)+1)/(ASCOPE_PMESII!$B$3:$B$62="KCD-SHOULD NOT"),7)),""),IF(7&lt;=(COUNTIF(ASCOPE_PMESII!$B$3:$B$62,"KCD-SHOULD NOT")+COUNTIF(ASCOPE_PMESII!$D$3:$D$62,"KCD-SHOULD NOT")),IFERROR(INDEX(ASCOPE_PMESII!$E$3:$E$62,_xlfn.AGGREGATE(15,6,(ROW(ASCOPE_PMESII!$D$3:$D$62)-ROW(ASCOPE_PMESII!$D$3)+1)/(ASCOPE_PMESII!$D$3:$D$62="KCD-SHOULD NOT"),7-(COUNTIF(ASCOPE_PMESII!$B$3:$B$62,"KCD-SHOULD NOT")))),""),IF(7&lt;=(COUNTIF(ASCOPE_PMESII!$B$3:$B$62,"KCD-SHOULD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NOT"),7-(COUNTIF(ASCOPE_PMESII!$B$3:$B$62,"KCD-SHOULD NOT")+COUNTIF(ASCOPE_PMESII!$D$3:$D$62,"KCD-SHOULD NOT")))),""),IF(7&lt;=(COUNTIF(ASCOPE_PMESII!$B$3:$B$62,"KCD-SHOULD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NOT"),7-(COUNTIF(ASCOPE_PMESII!$B$3:$B$62,"KCD-SHOULD NOT")+COUNTIF(ASCOPE_PMESII!$D$3:$D$62,"KCD-SHOULD NOT")+COUNTIF(ASCOPE_PMESII!$F$3:$F$62,"KCD-SHOULD NOT")))),""),IF(7&lt;=(COUNTIF(ASCOPE_PMESII!$B$3:$B$62,"KCD-SHOULD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NOT"),7-(COUNTIF(ASCOPE_PMESII!$B$3:$B$62,"KCD-SHOULD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NOT"),7-(COUNTIF(ASCOPE_PMESII!$B$3:$B$62,"KCD-SHOULD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10" s="21" t="str">
        <f t="array" ref="K10">IFERROR(IF(7&lt;=COUNTIF(ASCOPE_PMESII!$B$3:$B$62,"KCD-CANNOT"),IFERROR(INDEX(ASCOPE_PMESII!$C$3:$C$62,_xlfn.AGGREGATE(15,6,(ROW(ASCOPE_PMESII!$B$3:$B$62)-ROW(ASCOPE_PMESII!$B$3)+1)/(ASCOPE_PMESII!$B$3:$B$62="KCD-CANNOT"),7)),""),IF(7&lt;=(COUNTIF(ASCOPE_PMESII!$B$3:$B$62,"KCD-CANNOT")+COUNTIF(ASCOPE_PMESII!$D$3:$D$62,"KCD-CANNOT")),IFERROR(INDEX(ASCOPE_PMESII!$E$3:$E$62,_xlfn.AGGREGATE(15,6,(ROW(ASCOPE_PMESII!$D$3:$D$62)-ROW(ASCOPE_PMESII!$D$3)+1)/(ASCOPE_PMESII!$D$3:$D$62="KCD-CANNOT"),7-(COUNTIF(ASCOPE_PMESII!$B$3:$B$62,"KCD-CANNOT")))),""),IF(7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7-(COUNTIF(ASCOPE_PMESII!$B$3:$B$62,"KCD-CANNOT")+COUNTIF(ASCOPE_PMESII!$D$3:$D$62,"KCD-CANNOT")))),""),IF(7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7-(COUNTIF(ASCOPE_PMESII!$B$3:$B$62,"KCD-CANNOT")+COUNTIF(ASCOPE_PMESII!$D$3:$D$62,"KCD-CANNOT")+COUNTIF(ASCOPE_PMESII!$F$3:$F$62,"KCD-CANNOT")))),""),IF(7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7-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7-(COUNTIF(ASCOPE_PMESII!$B$3:$B$62,"KCD-CANNOT")+COUNTIF(ASCOPE_PMESII!$D$3:$D$62,"KCD-CANNOT")+COUNTIF(ASCOPE_PMESII!$F$3:$F$62,"KCD-CANNOT")+COUNTIF(ASCOPE_PMESII!$H$3:$H$62,"KCD-CANNOT")+COUNTIF(ASCOPE_PMESII!$J$3:$J$62,"KCD-CANNOT")))),"")))))),"")</f>
        <v>Cannot measure success by terrain alone</v>
      </c>
      <c r="L10" s="21" t="str">
        <f t="array" ref="L10">IFERROR(IF(7&lt;=COUNTIF(ASCOPE_PMESII!$B$3:$B$62,"DECISION"),IFERROR(INDEX(ASCOPE_PMESII!$C$3:$C$62,_xlfn.AGGREGATE(15,6,(ROW(ASCOPE_PMESII!$B$3:$B$62)-ROW(ASCOPE_PMESII!$B$3)+1)/(ASCOPE_PMESII!$B$3:$B$62="DECISION"),7)),""),IF(7&lt;=(COUNTIF(ASCOPE_PMESII!$B$3:$B$62,"DECISION")+COUNTIF(ASCOPE_PMESII!$D$3:$D$62,"DECISION")),IFERROR(INDEX(ASCOPE_PMESII!$E$3:$E$62,_xlfn.AGGREGATE(15,6,(ROW(ASCOPE_PMESII!$D$3:$D$62)-ROW(ASCOPE_PMESII!$D$3)+1)/(ASCOPE_PMESII!$D$3:$D$62="DECISION"),7-(COUNTIF(ASCOPE_PMESII!$B$3:$B$62,"DECISION")))),""),IF(7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7-(COUNTIF(ASCOPE_PMESII!$B$3:$B$62,"DECISION")+COUNTIF(ASCOPE_PMESII!$D$3:$D$62,"DECISION")))),""),IF(7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7-(COUNTIF(ASCOPE_PMESII!$B$3:$B$62,"DECISION")+COUNTIF(ASCOPE_PMESII!$D$3:$D$62,"DECISION")+COUNTIF(ASCOPE_PMESII!$F$3:$F$62,"DECISION")))),""),IF(7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7-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7-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10" s="21" t="str">
        <f t="array" ref="M10">IFERROR(IF(7&lt;=COUNTIF(ASCOPE_PMESII!$B$3:$B$62,"ASSUMPTION"),IFERROR(INDEX(ASCOPE_PMESII!$C$3:$C$62,_xlfn.AGGREGATE(15,6,(ROW(ASCOPE_PMESII!$B$3:$B$62)-ROW(ASCOPE_PMESII!$B$3)+1)/(ASCOPE_PMESII!$B$3:$B$62="ASSUMPTION"),7)),""),IF(7&lt;=(COUNTIF(ASCOPE_PMESII!$B$3:$B$62,"ASSUMPTION")+COUNTIF(ASCOPE_PMESII!$D$3:$D$62,"ASSUMPTION")),IFERROR(INDEX(ASCOPE_PMESII!$E$3:$E$62,_xlfn.AGGREGATE(15,6,(ROW(ASCOPE_PMESII!$D$3:$D$62)-ROW(ASCOPE_PMESII!$D$3)+1)/(ASCOPE_PMESII!$D$3:$D$62="ASSUMPTION"),7-(COUNTIF(ASCOPE_PMESII!$B$3:$B$62,"ASSUMPTION")))),""),IF(7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7-(COUNTIF(ASCOPE_PMESII!$B$3:$B$62,"ASSUMPTION")+COUNTIF(ASCOPE_PMESII!$D$3:$D$62,"ASSUMPTION")))),""),IF(7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7-(COUNTIF(ASCOPE_PMESII!$B$3:$B$62,"ASSUMPTION")+COUNTIF(ASCOPE_PMESII!$D$3:$D$62,"ASSUMPTION")+COUNTIF(ASCOPE_PMESII!$F$3:$F$62,"ASSUMPTION")))),""),IF(7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7-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7-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10" s="21" t="str">
        <f t="array" ref="N10">IFERROR(IF(7&lt;=COUNTIF(ASCOPE_PMESII!$B$3:$B$62,"CONSTRAINT"),IFERROR(INDEX(ASCOPE_PMESII!$C$3:$C$62,_xlfn.AGGREGATE(15,6,(ROW(ASCOPE_PMESII!$B$3:$B$62)-ROW(ASCOPE_PMESII!$B$3)+1)/(ASCOPE_PMESII!$B$3:$B$62="CONSTRAINT"),7)),""),IF(7&lt;=(COUNTIF(ASCOPE_PMESII!$B$3:$B$62,"CONSTRAINT")+COUNTIF(ASCOPE_PMESII!$D$3:$D$62,"CONSTRAINT")),IFERROR(INDEX(ASCOPE_PMESII!$E$3:$E$62,_xlfn.AGGREGATE(15,6,(ROW(ASCOPE_PMESII!$D$3:$D$62)-ROW(ASCOPE_PMESII!$D$3)+1)/(ASCOPE_PMESII!$D$3:$D$62="CONSTRAINT"),7-(COUNTIF(ASCOPE_PMESII!$B$3:$B$62,"CONSTRAINT")))),""),IF(7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7-(COUNTIF(ASCOPE_PMESII!$B$3:$B$62,"CONSTRAINT")+COUNTIF(ASCOPE_PMESII!$D$3:$D$62,"CONSTRAINT")))),""),IF(7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7-(COUNTIF(ASCOPE_PMESII!$B$3:$B$62,"CONSTRAINT")+COUNTIF(ASCOPE_PMESII!$D$3:$D$62,"CONSTRAINT")+COUNTIF(ASCOPE_PMESII!$F$3:$F$62,"CONSTRAINT")))),""),IF(7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7-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7-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10" s="21" t="str">
        <f t="array" ref="O10">IFERROR(IF(7&lt;=COUNTIF(ASCOPE_PMESII!$B$3:$B$62,"LIMITATION"),IFERROR(INDEX(ASCOPE_PMESII!$C$3:$C$62,_xlfn.AGGREGATE(15,6,(ROW(ASCOPE_PMESII!$B$3:$B$62)-ROW(ASCOPE_PMESII!$B$3)+1)/(ASCOPE_PMESII!$B$3:$B$62="LIMITATION"),7)),""),IF(7&lt;=(COUNTIF(ASCOPE_PMESII!$B$3:$B$62,"LIMITATION")+COUNTIF(ASCOPE_PMESII!$D$3:$D$62,"LIMITATION")),IFERROR(INDEX(ASCOPE_PMESII!$E$3:$E$62,_xlfn.AGGREGATE(15,6,(ROW(ASCOPE_PMESII!$D$3:$D$62)-ROW(ASCOPE_PMESII!$D$3)+1)/(ASCOPE_PMESII!$D$3:$D$62="LIMITATION"),7-(COUNTIF(ASCOPE_PMESII!$B$3:$B$62,"LIMITATION")))),""),IF(7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7-(COUNTIF(ASCOPE_PMESII!$B$3:$B$62,"LIMITATION")+COUNTIF(ASCOPE_PMESII!$D$3:$D$62,"LIMITATION")))),""),IF(7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7-(COUNTIF(ASCOPE_PMESII!$B$3:$B$62,"LIMITATION")+COUNTIF(ASCOPE_PMESII!$D$3:$D$62,"LIMITATION")+COUNTIF(ASCOPE_PMESII!$F$3:$F$62,"LIMITATION")))),""),IF(7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7-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7-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10" s="21" t="str">
        <f t="array" ref="P10">IFERROR(IF(7&lt;=COUNTIF(ASCOPE_PMESII!$B$3:$B$62,"CC"),IFERROR(INDEX(ASCOPE_PMESII!$C$3:$C$62,_xlfn.AGGREGATE(15,6,(ROW(ASCOPE_PMESII!$B$3:$B$62)-ROW(ASCOPE_PMESII!$B$3)+1)/(ASCOPE_PMESII!$B$3:$B$62="CC"),7)),""),IF(7&lt;=(COUNTIF(ASCOPE_PMESII!$B$3:$B$62,"CC")+COUNTIF(ASCOPE_PMESII!$D$3:$D$62,"CC")),IFERROR(INDEX(ASCOPE_PMESII!$E$3:$E$62,_xlfn.AGGREGATE(15,6,(ROW(ASCOPE_PMESII!$D$3:$D$62)-ROW(ASCOPE_PMESII!$D$3)+1)/(ASCOPE_PMESII!$D$3:$D$62="CC"),7-(COUNTIF(ASCOPE_PMESII!$B$3:$B$62,"CC")))),""),IF(7&lt;=(COUNTIF(ASCOPE_PMESII!$B$3:$B$62,"CC")+COUNTIF(ASCOPE_PMESII!$D$3:$D$62,"CC")+COUNTIF(ASCOPE_PMESII!$F$3:$F$62,"CC")),IFERROR(INDEX(ASCOPE_PMESII!$G$3:$G$62,_xlfn.AGGREGATE(15,6,(ROW(ASCOPE_PMESII!$F$3:$F$62)-ROW(ASCOPE_PMESII!$F$3)+1)/(ASCOPE_PMESII!$F$3:$F$62="CC"),7-(COUNTIF(ASCOPE_PMESII!$B$3:$B$62,"CC")+COUNTIF(ASCOPE_PMESII!$D$3:$D$62,"CC")))),""),IF(7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7-(COUNTIF(ASCOPE_PMESII!$B$3:$B$62,"CC")+COUNTIF(ASCOPE_PMESII!$D$3:$D$62,"CC")+COUNTIF(ASCOPE_PMESII!$F$3:$F$62,"CC")))),""),IF(7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7-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7-(COUNTIF(ASCOPE_PMESII!$B$3:$B$62,"CC")+COUNTIF(ASCOPE_PMESII!$D$3:$D$62,"CC")+COUNTIF(ASCOPE_PMESII!$F$3:$F$62,"CC")+COUNTIF(ASCOPE_PMESII!$H$3:$H$62,"CC")+COUNTIF(ASCOPE_PMESII!$J$3:$J$62,"CC")))),"")))))),"")</f>
        <v>SUMATRA length creates operational reach problem</v>
      </c>
      <c r="Q10" s="21" t="str">
        <f t="array" ref="Q10">IFERROR(IF(7&lt;=COUNTIF(ASCOPE_PMESII!$B$3:$B$62,"CR"),IFERROR(INDEX(ASCOPE_PMESII!$C$3:$C$62,_xlfn.AGGREGATE(15,6,(ROW(ASCOPE_PMESII!$B$3:$B$62)-ROW(ASCOPE_PMESII!$B$3)+1)/(ASCOPE_PMESII!$B$3:$B$62="CR"),7)),""),IF(7&lt;=(COUNTIF(ASCOPE_PMESII!$B$3:$B$62,"CR")+COUNTIF(ASCOPE_PMESII!$D$3:$D$62,"CR")),IFERROR(INDEX(ASCOPE_PMESII!$E$3:$E$62,_xlfn.AGGREGATE(15,6,(ROW(ASCOPE_PMESII!$D$3:$D$62)-ROW(ASCOPE_PMESII!$D$3)+1)/(ASCOPE_PMESII!$D$3:$D$62="CR"),7-(COUNTIF(ASCOPE_PMESII!$B$3:$B$62,"CR")))),""),IF(7&lt;=(COUNTIF(ASCOPE_PMESII!$B$3:$B$62,"CR")+COUNTIF(ASCOPE_PMESII!$D$3:$D$62,"CR")+COUNTIF(ASCOPE_PMESII!$F$3:$F$62,"CR")),IFERROR(INDEX(ASCOPE_PMESII!$G$3:$G$62,_xlfn.AGGREGATE(15,6,(ROW(ASCOPE_PMESII!$F$3:$F$62)-ROW(ASCOPE_PMESII!$F$3)+1)/(ASCOPE_PMESII!$F$3:$F$62="CR"),7-(COUNTIF(ASCOPE_PMESII!$B$3:$B$62,"CR")+COUNTIF(ASCOPE_PMESII!$D$3:$D$62,"CR")))),""),IF(7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7-(COUNTIF(ASCOPE_PMESII!$B$3:$B$62,"CR")+COUNTIF(ASCOPE_PMESII!$D$3:$D$62,"CR")+COUNTIF(ASCOPE_PMESII!$F$3:$F$62,"CR")))),""),IF(7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7-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7-(COUNTIF(ASCOPE_PMESII!$B$3:$B$62,"CR")+COUNTIF(ASCOPE_PMESII!$D$3:$D$62,"CR")+COUNTIF(ASCOPE_PMESII!$F$3:$F$62,"CR")+COUNTIF(ASCOPE_PMESII!$H$3:$H$62,"CR")+COUNTIF(ASCOPE_PMESII!$J$3:$J$62,"CR")))),"")))))),"")</f>
        <v>GoIND administrators required behind entry force</v>
      </c>
      <c r="R10" s="94" t="str">
        <f t="array" ref="R10">IFERROR(IF(7&lt;=COUNTIF(ASCOPE_PMESII!$B$3:$B$62,"PCS"),IFERROR(INDEX(ASCOPE_PMESII!$C$3:$C$62,_xlfn.AGGREGATE(15,6,(ROW(ASCOPE_PMESII!$B$3:$B$62)-ROW(ASCOPE_PMESII!$B$3)+1)/(ASCOPE_PMESII!$B$3:$B$62="PCS"),7)),""),IF(7&lt;=(COUNTIF(ASCOPE_PMESII!$B$3:$B$62,"PCS")+COUNTIF(ASCOPE_PMESII!$D$3:$D$62,"PCS")),IFERROR(INDEX(ASCOPE_PMESII!$E$3:$E$62,_xlfn.AGGREGATE(15,6,(ROW(ASCOPE_PMESII!$D$3:$D$62)-ROW(ASCOPE_PMESII!$D$3)+1)/(ASCOPE_PMESII!$D$3:$D$62="PCS"),7-(COUNTIF(ASCOPE_PMESII!$B$3:$B$62,"PCS")))),""),IF(7&lt;=(COUNTIF(ASCOPE_PMESII!$B$3:$B$62,"PCS")+COUNTIF(ASCOPE_PMESII!$D$3:$D$62,"PCS")+COUNTIF(ASCOPE_PMESII!$F$3:$F$62,"PCS")),IFERROR(INDEX(ASCOPE_PMESII!$G$3:$G$62,_xlfn.AGGREGATE(15,6,(ROW(ASCOPE_PMESII!$F$3:$F$62)-ROW(ASCOPE_PMESII!$F$3)+1)/(ASCOPE_PMESII!$F$3:$F$62="PCS"),7-(COUNTIF(ASCOPE_PMESII!$B$3:$B$62,"PCS")+COUNTIF(ASCOPE_PMESII!$D$3:$D$62,"PCS")))),""),IF(7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7-(COUNTIF(ASCOPE_PMESII!$B$3:$B$62,"PCS")+COUNTIF(ASCOPE_PMESII!$D$3:$D$62,"PCS")+COUNTIF(ASCOPE_PMESII!$F$3:$F$62,"PCS")))),""),IF(7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7-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7-(COUNTIF(ASCOPE_PMESII!$B$3:$B$62,"PCS")+COUNTIF(ASCOPE_PMESII!$D$3:$D$62,"PCS")+COUNTIF(ASCOPE_PMESII!$F$3:$F$62,"PCS")+COUNTIF(ASCOPE_PMESII!$H$3:$H$62,"PCS")+COUNTIF(ASCOPE_PMESII!$J$3:$J$62,"PCS")))),"")))))),"")</f>
        <v/>
      </c>
    </row>
    <row r="11" spans="1:18" ht="34.5" customHeight="1">
      <c r="A11" s="22" t="str">
        <f t="array" ref="A11">IFERROR(IF(8&lt;=COUNTIF(ASCOPE_PMESII!$B$3:$B$62,"OE"),IFERROR(INDEX(ASCOPE_PMESII!$C$3:$C$62,_xlfn.AGGREGATE(15,6,(ROW(ASCOPE_PMESII!$B$3:$B$62)-ROW(ASCOPE_PMESII!$B$3)+1)/(ASCOPE_PMESII!$B$3:$B$62="OE"),8)),""),IF(8&lt;=(COUNTIF(ASCOPE_PMESII!$B$3:$B$62,"OE")+COUNTIF(ASCOPE_PMESII!$D$3:$D$62,"OE")),IFERROR(INDEX(ASCOPE_PMESII!$E$3:$E$62,_xlfn.AGGREGATE(15,6,(ROW(ASCOPE_PMESII!$D$3:$D$62)-ROW(ASCOPE_PMESII!$D$3)+1)/(ASCOPE_PMESII!$D$3:$D$62="OE"),8-(COUNTIF(ASCOPE_PMESII!$B$3:$B$62,"OE")))),""),IF(8&lt;=(COUNTIF(ASCOPE_PMESII!$B$3:$B$62,"OE")+COUNTIF(ASCOPE_PMESII!$D$3:$D$62,"OE")+COUNTIF(ASCOPE_PMESII!$F$3:$F$62,"OE")),IFERROR(INDEX(ASCOPE_PMESII!$G$3:$G$62,_xlfn.AGGREGATE(15,6,(ROW(ASCOPE_PMESII!$F$3:$F$62)-ROW(ASCOPE_PMESII!$F$3)+1)/(ASCOPE_PMESII!$F$3:$F$62="OE"),8-(COUNTIF(ASCOPE_PMESII!$B$3:$B$62,"OE")+COUNTIF(ASCOPE_PMESII!$D$3:$D$62,"OE")))),""),IF(8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8-(COUNTIF(ASCOPE_PMESII!$B$3:$B$62,"OE")+COUNTIF(ASCOPE_PMESII!$D$3:$D$62,"OE")+COUNTIF(ASCOPE_PMESII!$F$3:$F$62,"OE")))),""),IF(8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8-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8-(COUNTIF(ASCOPE_PMESII!$B$3:$B$62,"OE")+COUNTIF(ASCOPE_PMESII!$D$3:$D$62,"OE")+COUNTIF(ASCOPE_PMESII!$F$3:$F$62,"OE")+COUNTIF(ASCOPE_PMESII!$H$3:$H$62,"OE")+COUNTIF(ASCOPE_PMESII!$J$3:$J$62,"OE")))),"")))))),"")</f>
        <v>DISRUPT cohesion</v>
      </c>
      <c r="B11" s="22" t="str">
        <f t="array" ref="B11">IFERROR(IF(8&lt;=COUNTIF(ASCOPE_PMESII!$B$3:$B$62,"OA"),IFERROR(INDEX(ASCOPE_PMESII!$C$3:$C$62,_xlfn.AGGREGATE(15,6,(ROW(ASCOPE_PMESII!$B$3:$B$62)-ROW(ASCOPE_PMESII!$B$3)+1)/(ASCOPE_PMESII!$B$3:$B$62="OA"),8)),""),IF(8&lt;=(COUNTIF(ASCOPE_PMESII!$B$3:$B$62,"OA")+COUNTIF(ASCOPE_PMESII!$D$3:$D$62,"OA")),IFERROR(INDEX(ASCOPE_PMESII!$E$3:$E$62,_xlfn.AGGREGATE(15,6,(ROW(ASCOPE_PMESII!$D$3:$D$62)-ROW(ASCOPE_PMESII!$D$3)+1)/(ASCOPE_PMESII!$D$3:$D$62="OA"),8-(COUNTIF(ASCOPE_PMESII!$B$3:$B$62,"OA")))),""),IF(8&lt;=(COUNTIF(ASCOPE_PMESII!$B$3:$B$62,"OA")+COUNTIF(ASCOPE_PMESII!$D$3:$D$62,"OA")+COUNTIF(ASCOPE_PMESII!$F$3:$F$62,"OA")),IFERROR(INDEX(ASCOPE_PMESII!$G$3:$G$62,_xlfn.AGGREGATE(15,6,(ROW(ASCOPE_PMESII!$F$3:$F$62)-ROW(ASCOPE_PMESII!$F$3)+1)/(ASCOPE_PMESII!$F$3:$F$62="OA"),8-(COUNTIF(ASCOPE_PMESII!$B$3:$B$62,"OA")+COUNTIF(ASCOPE_PMESII!$D$3:$D$62,"OA")))),""),IF(8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8-(COUNTIF(ASCOPE_PMESII!$B$3:$B$62,"OA")+COUNTIF(ASCOPE_PMESII!$D$3:$D$62,"OA")+COUNTIF(ASCOPE_PMESII!$F$3:$F$62,"OA")))),""),IF(8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8-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8-(COUNTIF(ASCOPE_PMESII!$B$3:$B$62,"OA")+COUNTIF(ASCOPE_PMESII!$D$3:$D$62,"OA")+COUNTIF(ASCOPE_PMESII!$F$3:$F$62,"OA")+COUNTIF(ASCOPE_PMESII!$H$3:$H$62,"OA")+COUNTIF(ASCOPE_PMESII!$J$3:$J$62,"OA")))),"")))))),"")</f>
        <v/>
      </c>
      <c r="C11" s="22" t="str">
        <f t="array" ref="C11">IFERROR(IF(8&lt;=COUNTIF(ASCOPE_PMESII!$B$3:$B$62,"RISK"),IFERROR(INDEX(ASCOPE_PMESII!$C$3:$C$62,_xlfn.AGGREGATE(15,6,(ROW(ASCOPE_PMESII!$B$3:$B$62)-ROW(ASCOPE_PMESII!$B$3)+1)/(ASCOPE_PMESII!$B$3:$B$62="RISK"),8)),""),IF(8&lt;=(COUNTIF(ASCOPE_PMESII!$B$3:$B$62,"RISK")+COUNTIF(ASCOPE_PMESII!$D$3:$D$62,"RISK")),IFERROR(INDEX(ASCOPE_PMESII!$E$3:$E$62,_xlfn.AGGREGATE(15,6,(ROW(ASCOPE_PMESII!$D$3:$D$62)-ROW(ASCOPE_PMESII!$D$3)+1)/(ASCOPE_PMESII!$D$3:$D$62="RISK"),8-(COUNTIF(ASCOPE_PMESII!$B$3:$B$62,"RISK")))),""),IF(8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8-(COUNTIF(ASCOPE_PMESII!$B$3:$B$62,"RISK")+COUNTIF(ASCOPE_PMESII!$D$3:$D$62,"RISK")))),""),IF(8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8-(COUNTIF(ASCOPE_PMESII!$B$3:$B$62,"RISK")+COUNTIF(ASCOPE_PMESII!$D$3:$D$62,"RISK")+COUNTIF(ASCOPE_PMESII!$F$3:$F$62,"RISK")))),""),IF(8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8-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8-(COUNTIF(ASCOPE_PMESII!$B$3:$B$62,"RISK")+COUNTIF(ASCOPE_PMESII!$D$3:$D$62,"RISK")+COUNTIF(ASCOPE_PMESII!$F$3:$F$62,"RISK")+COUNTIF(ASCOPE_PMESII!$H$3:$H$62,"RISK")+COUNTIF(ASCOPE_PMESII!$J$3:$J$62,"RISK")))),"")))))),"")</f>
        <v>Undegraded A2/AD makes entry politically costly</v>
      </c>
      <c r="D11" s="22" t="str">
        <f t="array" ref="D11">IFERROR(IF(8&lt;=COUNTIF(ASCOPE_PMESII!$B$3:$B$62,"CV"),IFERROR(INDEX(ASCOPE_PMESII!$C$3:$C$62,_xlfn.AGGREGATE(15,6,(ROW(ASCOPE_PMESII!$B$3:$B$62)-ROW(ASCOPE_PMESII!$B$3)+1)/(ASCOPE_PMESII!$B$3:$B$62="CV"),8)),""),IF(8&lt;=(COUNTIF(ASCOPE_PMESII!$B$3:$B$62,"CV")+COUNTIF(ASCOPE_PMESII!$D$3:$D$62,"CV")),IFERROR(INDEX(ASCOPE_PMESII!$E$3:$E$62,_xlfn.AGGREGATE(15,6,(ROW(ASCOPE_PMESII!$D$3:$D$62)-ROW(ASCOPE_PMESII!$D$3)+1)/(ASCOPE_PMESII!$D$3:$D$62="CV"),8-(COUNTIF(ASCOPE_PMESII!$B$3:$B$62,"CV")))),""),IF(8&lt;=(COUNTIF(ASCOPE_PMESII!$B$3:$B$62,"CV")+COUNTIF(ASCOPE_PMESII!$D$3:$D$62,"CV")+COUNTIF(ASCOPE_PMESII!$F$3:$F$62,"CV")),IFERROR(INDEX(ASCOPE_PMESII!$G$3:$G$62,_xlfn.AGGREGATE(15,6,(ROW(ASCOPE_PMESII!$F$3:$F$62)-ROW(ASCOPE_PMESII!$F$3)+1)/(ASCOPE_PMESII!$F$3:$F$62="CV"),8-(COUNTIF(ASCOPE_PMESII!$B$3:$B$62,"CV")+COUNTIF(ASCOPE_PMESII!$D$3:$D$62,"CV")))),""),IF(8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8-(COUNTIF(ASCOPE_PMESII!$B$3:$B$62,"CV")+COUNTIF(ASCOPE_PMESII!$D$3:$D$62,"CV")+COUNTIF(ASCOPE_PMESII!$F$3:$F$62,"CV")))),""),IF(8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8-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8-(COUNTIF(ASCOPE_PMESII!$B$3:$B$62,"CV")+COUNTIF(ASCOPE_PMESII!$D$3:$D$62,"CV")+COUNTIF(ASCOPE_PMESII!$F$3:$F$62,"CV")+COUNTIF(ASCOPE_PMESII!$H$3:$H$62,"CV")+COUNTIF(ASCOPE_PMESII!$J$3:$J$62,"CV")))),"")))))),"")</f>
        <v>Small disruption creates global trade effect</v>
      </c>
      <c r="E11" s="22" t="str">
        <f t="array" ref="E11">IFERROR(IF(8&lt;=COUNTIF(ASCOPE_PMESII!$B$3:$B$62,"COR"),IFERROR(INDEX(ASCOPE_PMESII!$C$3:$C$62,_xlfn.AGGREGATE(15,6,(ROW(ASCOPE_PMESII!$B$3:$B$62)-ROW(ASCOPE_PMESII!$B$3)+1)/(ASCOPE_PMESII!$B$3:$B$62="COR"),8)),""),IF(8&lt;=(COUNTIF(ASCOPE_PMESII!$B$3:$B$62,"COR")+COUNTIF(ASCOPE_PMESII!$D$3:$D$62,"COR")),IFERROR(INDEX(ASCOPE_PMESII!$E$3:$E$62,_xlfn.AGGREGATE(15,6,(ROW(ASCOPE_PMESII!$D$3:$D$62)-ROW(ASCOPE_PMESII!$D$3)+1)/(ASCOPE_PMESII!$D$3:$D$62="COR"),8-(COUNTIF(ASCOPE_PMESII!$B$3:$B$62,"COR")))),""),IF(8&lt;=(COUNTIF(ASCOPE_PMESII!$B$3:$B$62,"COR")+COUNTIF(ASCOPE_PMESII!$D$3:$D$62,"COR")+COUNTIF(ASCOPE_PMESII!$F$3:$F$62,"COR")),IFERROR(INDEX(ASCOPE_PMESII!$G$3:$G$62,_xlfn.AGGREGATE(15,6,(ROW(ASCOPE_PMESII!$F$3:$F$62)-ROW(ASCOPE_PMESII!$F$3)+1)/(ASCOPE_PMESII!$F$3:$F$62="COR"),8-(COUNTIF(ASCOPE_PMESII!$B$3:$B$62,"COR")+COUNTIF(ASCOPE_PMESII!$D$3:$D$62,"COR")))),""),IF(8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8-(COUNTIF(ASCOPE_PMESII!$B$3:$B$62,"COR")+COUNTIF(ASCOPE_PMESII!$D$3:$D$62,"COR")+COUNTIF(ASCOPE_PMESII!$F$3:$F$62,"COR")))),""),IF(8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8-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8-(COUNTIF(ASCOPE_PMESII!$B$3:$B$62,"COR")+COUNTIF(ASCOPE_PMESII!$D$3:$D$62,"COR")+COUNTIF(ASCOPE_PMESII!$F$3:$F$62,"COR")+COUNTIF(ASCOPE_PMESII!$H$3:$H$62,"COR")+COUNTIF(ASCOPE_PMESII!$J$3:$J$62,"COR")))),"")))))),"")</f>
        <v>Sequence ISR, SEAD, MCM and port clearance</v>
      </c>
      <c r="F11" s="22" t="str">
        <f t="array" ref="F11">IFERROR(IF(8&lt;=COUNTIF(ASCOPE_PMESII!$B$3:$B$62,"REQT"),IFERROR(INDEX(ASCOPE_PMESII!$C$3:$C$62,_xlfn.AGGREGATE(15,6,(ROW(ASCOPE_PMESII!$B$3:$B$62)-ROW(ASCOPE_PMESII!$B$3)+1)/(ASCOPE_PMESII!$B$3:$B$62="REQT"),8)),""),IF(8&lt;=(COUNTIF(ASCOPE_PMESII!$B$3:$B$62,"REQT")+COUNTIF(ASCOPE_PMESII!$D$3:$D$62,"REQT")),IFERROR(INDEX(ASCOPE_PMESII!$E$3:$E$62,_xlfn.AGGREGATE(15,6,(ROW(ASCOPE_PMESII!$D$3:$D$62)-ROW(ASCOPE_PMESII!$D$3)+1)/(ASCOPE_PMESII!$D$3:$D$62="REQT"),8-(COUNTIF(ASCOPE_PMESII!$B$3:$B$62,"REQT")))),""),IF(8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8-(COUNTIF(ASCOPE_PMESII!$B$3:$B$62,"REQT")+COUNTIF(ASCOPE_PMESII!$D$3:$D$62,"REQT")))),""),IF(8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8-(COUNTIF(ASCOPE_PMESII!$B$3:$B$62,"REQT")+COUNTIF(ASCOPE_PMESII!$D$3:$D$62,"REQT")+COUNTIF(ASCOPE_PMESII!$F$3:$F$62,"REQT")))),""),IF(8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8-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8-(COUNTIF(ASCOPE_PMESII!$B$3:$B$62,"REQT")+COUNTIF(ASCOPE_PMESII!$D$3:$D$62,"REQT")+COUNTIF(ASCOPE_PMESII!$F$3:$F$62,"REQT")+COUNTIF(ASCOPE_PMESII!$H$3:$H$62,"REQT")+COUNTIF(ASCOPE_PMESII!$J$3:$J$62,"REQT")))),"")))))),"")</f>
        <v/>
      </c>
      <c r="G11" s="22" t="str">
        <f t="array" ref="G11">IFERROR(IF(8&lt;=COUNTIF(ASCOPE_PMESII!$B$3:$B$62,"REST"),IFERROR(INDEX(ASCOPE_PMESII!$C$3:$C$62,_xlfn.AGGREGATE(15,6,(ROW(ASCOPE_PMESII!$B$3:$B$62)-ROW(ASCOPE_PMESII!$B$3)+1)/(ASCOPE_PMESII!$B$3:$B$62="REST"),8)),""),IF(8&lt;=(COUNTIF(ASCOPE_PMESII!$B$3:$B$62,"REST")+COUNTIF(ASCOPE_PMESII!$D$3:$D$62,"REST")),IFERROR(INDEX(ASCOPE_PMESII!$E$3:$E$62,_xlfn.AGGREGATE(15,6,(ROW(ASCOPE_PMESII!$D$3:$D$62)-ROW(ASCOPE_PMESII!$D$3)+1)/(ASCOPE_PMESII!$D$3:$D$62="REST"),8-(COUNTIF(ASCOPE_PMESII!$B$3:$B$62,"REST")))),""),IF(8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8-(COUNTIF(ASCOPE_PMESII!$B$3:$B$62,"REST")+COUNTIF(ASCOPE_PMESII!$D$3:$D$62,"REST")))),""),IF(8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8-(COUNTIF(ASCOPE_PMESII!$B$3:$B$62,"REST")+COUNTIF(ASCOPE_PMESII!$D$3:$D$62,"REST")+COUNTIF(ASCOPE_PMESII!$F$3:$F$62,"REST")))),""),IF(8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8-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8-(COUNTIF(ASCOPE_PMESII!$B$3:$B$62,"REST")+COUNTIF(ASCOPE_PMESII!$D$3:$D$62,"REST")+COUNTIF(ASCOPE_PMESII!$F$3:$F$62,"REST")+COUNTIF(ASCOPE_PMESII!$H$3:$H$62,"REST")+COUNTIF(ASCOPE_PMESII!$J$3:$J$62,"REST")))),"")))))),"")</f>
        <v/>
      </c>
      <c r="H11" s="22" t="str">
        <f t="array" ref="H11">IFERROR(IF(8&lt;=COUNTIF(ASCOPE_PMESII!$B$3:$B$62,"KCD-MUST"),IFERROR(INDEX(ASCOPE_PMESII!$C$3:$C$62,_xlfn.AGGREGATE(15,6,(ROW(ASCOPE_PMESII!$B$3:$B$62)-ROW(ASCOPE_PMESII!$B$3)+1)/(ASCOPE_PMESII!$B$3:$B$62="KCD-MUST"),8)),""),IF(8&lt;=(COUNTIF(ASCOPE_PMESII!$B$3:$B$62,"KCD-MUST")+COUNTIF(ASCOPE_PMESII!$D$3:$D$62,"KCD-MUST")),IFERROR(INDEX(ASCOPE_PMESII!$E$3:$E$62,_xlfn.AGGREGATE(15,6,(ROW(ASCOPE_PMESII!$D$3:$D$62)-ROW(ASCOPE_PMESII!$D$3)+1)/(ASCOPE_PMESII!$D$3:$D$62="KCD-MUST"),8-(COUNTIF(ASCOPE_PMESII!$B$3:$B$62,"KCD-MUST")))),""),IF(8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8-(COUNTIF(ASCOPE_PMESII!$B$3:$B$62,"KCD-MUST")+COUNTIF(ASCOPE_PMESII!$D$3:$D$62,"KCD-MUST")))),""),IF(8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8-(COUNTIF(ASCOPE_PMESII!$B$3:$B$62,"KCD-MUST")+COUNTIF(ASCOPE_PMESII!$D$3:$D$62,"KCD-MUST")+COUNTIF(ASCOPE_PMESII!$F$3:$F$62,"KCD-MUST")))),""),IF(8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8-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8-(COUNTIF(ASCOPE_PMESII!$B$3:$B$62,"KCD-MUST")+COUNTIF(ASCOPE_PMESII!$D$3:$D$62,"KCD-MUST")+COUNTIF(ASCOPE_PMESII!$F$3:$F$62,"KCD-MUST")+COUNTIF(ASCOPE_PMESII!$H$3:$H$62,"KCD-MUST")+COUNTIF(ASCOPE_PMESII!$J$3:$J$62,"KCD-MUST")))),"")))))),"")</f>
        <v>Disrupt A2/AD before high-signature entry</v>
      </c>
      <c r="I11" s="22" t="str">
        <f t="array" ref="I11">IFERROR(IF(8&lt;=COUNTIF(ASCOPE_PMESII!$B$3:$B$62,"KCD-SHOULD"),IFERROR(INDEX(ASCOPE_PMESII!$C$3:$C$62,_xlfn.AGGREGATE(15,6,(ROW(ASCOPE_PMESII!$B$3:$B$62)-ROW(ASCOPE_PMESII!$B$3)+1)/(ASCOPE_PMESII!$B$3:$B$62="KCD-SHOULD"),8)),""),IF(8&lt;=(COUNTIF(ASCOPE_PMESII!$B$3:$B$62,"KCD-SHOULD")+COUNTIF(ASCOPE_PMESII!$D$3:$D$62,"KCD-SHOULD")),IFERROR(INDEX(ASCOPE_PMESII!$E$3:$E$62,_xlfn.AGGREGATE(15,6,(ROW(ASCOPE_PMESII!$D$3:$D$62)-ROW(ASCOPE_PMESII!$D$3)+1)/(ASCOPE_PMESII!$D$3:$D$62="KCD-SHOULD"),8-(COUNTIF(ASCOPE_PMESII!$B$3:$B$62,"KCD-SHOULD")))),""),IF(8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8-(COUNTIF(ASCOPE_PMESII!$B$3:$B$62,"KCD-SHOULD")+COUNTIF(ASCOPE_PMESII!$D$3:$D$62,"KCD-SHOULD")))),""),IF(8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8-(COUNTIF(ASCOPE_PMESII!$B$3:$B$62,"KCD-SHOULD")+COUNTIF(ASCOPE_PMESII!$D$3:$D$62,"KCD-SHOULD")+COUNTIF(ASCOPE_PMESII!$F$3:$F$62,"KCD-SHOULD")))),""),IF(8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8-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8-(COUNTIF(ASCOPE_PMESII!$B$3:$B$62,"KCD-SHOULD")+COUNTIF(ASCOPE_PMESII!$D$3:$D$62,"KCD-SHOULD")+COUNTIF(ASCOPE_PMESII!$F$3:$F$62,"KCD-SHOULD")+COUNTIF(ASCOPE_PMESII!$H$3:$H$62,"KCD-SHOULD")+COUNTIF(ASCOPE_PMESII!$J$3:$J$62,"KCD-SHOULD")))),"")))))),"")</f>
        <v>Isolate bases rather than clear every position</v>
      </c>
      <c r="J11" s="22" t="str">
        <f t="array" ref="J11">IFERROR(IF(8&lt;=COUNTIF(ASCOPE_PMESII!$B$3:$B$62,"KCD-SHOULD NOT"),IFERROR(INDEX(ASCOPE_PMESII!$C$3:$C$62,_xlfn.AGGREGATE(15,6,(ROW(ASCOPE_PMESII!$B$3:$B$62)-ROW(ASCOPE_PMESII!$B$3)+1)/(ASCOPE_PMESII!$B$3:$B$62="KCD-SHOULD NOT"),8)),""),IF(8&lt;=(COUNTIF(ASCOPE_PMESII!$B$3:$B$62,"KCD-SHOULD NOT")+COUNTIF(ASCOPE_PMESII!$D$3:$D$62,"KCD-SHOULD NOT")),IFERROR(INDEX(ASCOPE_PMESII!$E$3:$E$62,_xlfn.AGGREGATE(15,6,(ROW(ASCOPE_PMESII!$D$3:$D$62)-ROW(ASCOPE_PMESII!$D$3)+1)/(ASCOPE_PMESII!$D$3:$D$62="KCD-SHOULD NOT"),8-(COUNTIF(ASCOPE_PMESII!$B$3:$B$62,"KCD-SHOULD NOT")))),""),IF(8&lt;=(COUNTIF(ASCOPE_PMESII!$B$3:$B$62,"KCD-SHOULD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NOT"),8-(COUNTIF(ASCOPE_PMESII!$B$3:$B$62,"KCD-SHOULD NOT")+COUNTIF(ASCOPE_PMESII!$D$3:$D$62,"KCD-SHOULD NOT")))),""),IF(8&lt;=(COUNTIF(ASCOPE_PMESII!$B$3:$B$62,"KCD-SHOULD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NOT"),8-(COUNTIF(ASCOPE_PMESII!$B$3:$B$62,"KCD-SHOULD NOT")+COUNTIF(ASCOPE_PMESII!$D$3:$D$62,"KCD-SHOULD NOT")+COUNTIF(ASCOPE_PMESII!$F$3:$F$62,"KCD-SHOULD NOT")))),""),IF(8&lt;=(COUNTIF(ASCOPE_PMESII!$B$3:$B$62,"KCD-SHOULD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NOT"),8-(COUNTIF(ASCOPE_PMESII!$B$3:$B$62,"KCD-SHOULD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NOT"),8-(COUNTIF(ASCOPE_PMESII!$B$3:$B$62,"KCD-SHOULD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11" s="22" t="str">
        <f t="array" ref="K11">IFERROR(IF(8&lt;=COUNTIF(ASCOPE_PMESII!$B$3:$B$62,"KCD-CANNOT"),IFERROR(INDEX(ASCOPE_PMESII!$C$3:$C$62,_xlfn.AGGREGATE(15,6,(ROW(ASCOPE_PMESII!$B$3:$B$62)-ROW(ASCOPE_PMESII!$B$3)+1)/(ASCOPE_PMESII!$B$3:$B$62="KCD-CANNOT"),8)),""),IF(8&lt;=(COUNTIF(ASCOPE_PMESII!$B$3:$B$62,"KCD-CANNOT")+COUNTIF(ASCOPE_PMESII!$D$3:$D$62,"KCD-CANNOT")),IFERROR(INDEX(ASCOPE_PMESII!$E$3:$E$62,_xlfn.AGGREGATE(15,6,(ROW(ASCOPE_PMESII!$D$3:$D$62)-ROW(ASCOPE_PMESII!$D$3)+1)/(ASCOPE_PMESII!$D$3:$D$62="KCD-CANNOT"),8-(COUNTIF(ASCOPE_PMESII!$B$3:$B$62,"KCD-CANNOT")))),""),IF(8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8-(COUNTIF(ASCOPE_PMESII!$B$3:$B$62,"KCD-CANNOT")+COUNTIF(ASCOPE_PMESII!$D$3:$D$62,"KCD-CANNOT")))),""),IF(8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8-(COUNTIF(ASCOPE_PMESII!$B$3:$B$62,"KCD-CANNOT")+COUNTIF(ASCOPE_PMESII!$D$3:$D$62,"KCD-CANNOT")+COUNTIF(ASCOPE_PMESII!$F$3:$F$62,"KCD-CANNOT")))),""),IF(8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8-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8-(COUNTIF(ASCOPE_PMESII!$B$3:$B$62,"KCD-CANNOT")+COUNTIF(ASCOPE_PMESII!$D$3:$D$62,"KCD-CANNOT")+COUNTIF(ASCOPE_PMESII!$F$3:$F$62,"KCD-CANNOT")+COUNTIF(ASCOPE_PMESII!$H$3:$H$62,"KCD-CANNOT")+COUNTIF(ASCOPE_PMESII!$J$3:$J$62,"KCD-CANNOT")))),"")))))),"")</f>
        <v>Cannot expose shipping to uncleared CDCM arcs</v>
      </c>
      <c r="L11" s="22" t="str">
        <f t="array" ref="L11">IFERROR(IF(8&lt;=COUNTIF(ASCOPE_PMESII!$B$3:$B$62,"DECISION"),IFERROR(INDEX(ASCOPE_PMESII!$C$3:$C$62,_xlfn.AGGREGATE(15,6,(ROW(ASCOPE_PMESII!$B$3:$B$62)-ROW(ASCOPE_PMESII!$B$3)+1)/(ASCOPE_PMESII!$B$3:$B$62="DECISION"),8)),""),IF(8&lt;=(COUNTIF(ASCOPE_PMESII!$B$3:$B$62,"DECISION")+COUNTIF(ASCOPE_PMESII!$D$3:$D$62,"DECISION")),IFERROR(INDEX(ASCOPE_PMESII!$E$3:$E$62,_xlfn.AGGREGATE(15,6,(ROW(ASCOPE_PMESII!$D$3:$D$62)-ROW(ASCOPE_PMESII!$D$3)+1)/(ASCOPE_PMESII!$D$3:$D$62="DECISION"),8-(COUNTIF(ASCOPE_PMESII!$B$3:$B$62,"DECISION")))),""),IF(8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8-(COUNTIF(ASCOPE_PMESII!$B$3:$B$62,"DECISION")+COUNTIF(ASCOPE_PMESII!$D$3:$D$62,"DECISION")))),""),IF(8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8-(COUNTIF(ASCOPE_PMESII!$B$3:$B$62,"DECISION")+COUNTIF(ASCOPE_PMESII!$D$3:$D$62,"DECISION")+COUNTIF(ASCOPE_PMESII!$F$3:$F$62,"DECISION")))),""),IF(8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8-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8-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11" s="22" t="str">
        <f t="array" ref="M11">IFERROR(IF(8&lt;=COUNTIF(ASCOPE_PMESII!$B$3:$B$62,"ASSUMPTION"),IFERROR(INDEX(ASCOPE_PMESII!$C$3:$C$62,_xlfn.AGGREGATE(15,6,(ROW(ASCOPE_PMESII!$B$3:$B$62)-ROW(ASCOPE_PMESII!$B$3)+1)/(ASCOPE_PMESII!$B$3:$B$62="ASSUMPTION"),8)),""),IF(8&lt;=(COUNTIF(ASCOPE_PMESII!$B$3:$B$62,"ASSUMPTION")+COUNTIF(ASCOPE_PMESII!$D$3:$D$62,"ASSUMPTION")),IFERROR(INDEX(ASCOPE_PMESII!$E$3:$E$62,_xlfn.AGGREGATE(15,6,(ROW(ASCOPE_PMESII!$D$3:$D$62)-ROW(ASCOPE_PMESII!$D$3)+1)/(ASCOPE_PMESII!$D$3:$D$62="ASSUMPTION"),8-(COUNTIF(ASCOPE_PMESII!$B$3:$B$62,"ASSUMPTION")))),""),IF(8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8-(COUNTIF(ASCOPE_PMESII!$B$3:$B$62,"ASSUMPTION")+COUNTIF(ASCOPE_PMESII!$D$3:$D$62,"ASSUMPTION")))),""),IF(8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8-(COUNTIF(ASCOPE_PMESII!$B$3:$B$62,"ASSUMPTION")+COUNTIF(ASCOPE_PMESII!$D$3:$D$62,"ASSUMPTION")+COUNTIF(ASCOPE_PMESII!$F$3:$F$62,"ASSUMPTION")))),""),IF(8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8-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8-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11" s="22" t="str">
        <f t="array" ref="N11">IFERROR(IF(8&lt;=COUNTIF(ASCOPE_PMESII!$B$3:$B$62,"CONSTRAINT"),IFERROR(INDEX(ASCOPE_PMESII!$C$3:$C$62,_xlfn.AGGREGATE(15,6,(ROW(ASCOPE_PMESII!$B$3:$B$62)-ROW(ASCOPE_PMESII!$B$3)+1)/(ASCOPE_PMESII!$B$3:$B$62="CONSTRAINT"),8)),""),IF(8&lt;=(COUNTIF(ASCOPE_PMESII!$B$3:$B$62,"CONSTRAINT")+COUNTIF(ASCOPE_PMESII!$D$3:$D$62,"CONSTRAINT")),IFERROR(INDEX(ASCOPE_PMESII!$E$3:$E$62,_xlfn.AGGREGATE(15,6,(ROW(ASCOPE_PMESII!$D$3:$D$62)-ROW(ASCOPE_PMESII!$D$3)+1)/(ASCOPE_PMESII!$D$3:$D$62="CONSTRAINT"),8-(COUNTIF(ASCOPE_PMESII!$B$3:$B$62,"CONSTRAINT")))),""),IF(8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8-(COUNTIF(ASCOPE_PMESII!$B$3:$B$62,"CONSTRAINT")+COUNTIF(ASCOPE_PMESII!$D$3:$D$62,"CONSTRAINT")))),""),IF(8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8-(COUNTIF(ASCOPE_PMESII!$B$3:$B$62,"CONSTRAINT")+COUNTIF(ASCOPE_PMESII!$D$3:$D$62,"CONSTRAINT")+COUNTIF(ASCOPE_PMESII!$F$3:$F$62,"CONSTRAINT")))),""),IF(8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8-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8-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11" s="22" t="str">
        <f t="array" ref="O11">IFERROR(IF(8&lt;=COUNTIF(ASCOPE_PMESII!$B$3:$B$62,"LIMITATION"),IFERROR(INDEX(ASCOPE_PMESII!$C$3:$C$62,_xlfn.AGGREGATE(15,6,(ROW(ASCOPE_PMESII!$B$3:$B$62)-ROW(ASCOPE_PMESII!$B$3)+1)/(ASCOPE_PMESII!$B$3:$B$62="LIMITATION"),8)),""),IF(8&lt;=(COUNTIF(ASCOPE_PMESII!$B$3:$B$62,"LIMITATION")+COUNTIF(ASCOPE_PMESII!$D$3:$D$62,"LIMITATION")),IFERROR(INDEX(ASCOPE_PMESII!$E$3:$E$62,_xlfn.AGGREGATE(15,6,(ROW(ASCOPE_PMESII!$D$3:$D$62)-ROW(ASCOPE_PMESII!$D$3)+1)/(ASCOPE_PMESII!$D$3:$D$62="LIMITATION"),8-(COUNTIF(ASCOPE_PMESII!$B$3:$B$62,"LIMITATION")))),""),IF(8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8-(COUNTIF(ASCOPE_PMESII!$B$3:$B$62,"LIMITATION")+COUNTIF(ASCOPE_PMESII!$D$3:$D$62,"LIMITATION")))),""),IF(8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8-(COUNTIF(ASCOPE_PMESII!$B$3:$B$62,"LIMITATION")+COUNTIF(ASCOPE_PMESII!$D$3:$D$62,"LIMITATION")+COUNTIF(ASCOPE_PMESII!$F$3:$F$62,"LIMITATION")))),""),IF(8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8-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8-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11" s="22" t="str">
        <f t="array" ref="P11">IFERROR(IF(8&lt;=COUNTIF(ASCOPE_PMESII!$B$3:$B$62,"CC"),IFERROR(INDEX(ASCOPE_PMESII!$C$3:$C$62,_xlfn.AGGREGATE(15,6,(ROW(ASCOPE_PMESII!$B$3:$B$62)-ROW(ASCOPE_PMESII!$B$3)+1)/(ASCOPE_PMESII!$B$3:$B$62="CC"),8)),""),IF(8&lt;=(COUNTIF(ASCOPE_PMESII!$B$3:$B$62,"CC")+COUNTIF(ASCOPE_PMESII!$D$3:$D$62,"CC")),IFERROR(INDEX(ASCOPE_PMESII!$E$3:$E$62,_xlfn.AGGREGATE(15,6,(ROW(ASCOPE_PMESII!$D$3:$D$62)-ROW(ASCOPE_PMESII!$D$3)+1)/(ASCOPE_PMESII!$D$3:$D$62="CC"),8-(COUNTIF(ASCOPE_PMESII!$B$3:$B$62,"CC")))),""),IF(8&lt;=(COUNTIF(ASCOPE_PMESII!$B$3:$B$62,"CC")+COUNTIF(ASCOPE_PMESII!$D$3:$D$62,"CC")+COUNTIF(ASCOPE_PMESII!$F$3:$F$62,"CC")),IFERROR(INDEX(ASCOPE_PMESII!$G$3:$G$62,_xlfn.AGGREGATE(15,6,(ROW(ASCOPE_PMESII!$F$3:$F$62)-ROW(ASCOPE_PMESII!$F$3)+1)/(ASCOPE_PMESII!$F$3:$F$62="CC"),8-(COUNTIF(ASCOPE_PMESII!$B$3:$B$62,"CC")+COUNTIF(ASCOPE_PMESII!$D$3:$D$62,"CC")))),""),IF(8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8-(COUNTIF(ASCOPE_PMESII!$B$3:$B$62,"CC")+COUNTIF(ASCOPE_PMESII!$D$3:$D$62,"CC")+COUNTIF(ASCOPE_PMESII!$F$3:$F$62,"CC")))),""),IF(8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8-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8-(COUNTIF(ASCOPE_PMESII!$B$3:$B$62,"CC")+COUNTIF(ASCOPE_PMESII!$D$3:$D$62,"CC")+COUNTIF(ASCOPE_PMESII!$F$3:$F$62,"CC")+COUNTIF(ASCOPE_PMESII!$H$3:$H$62,"CC")+COUNTIF(ASCOPE_PMESII!$J$3:$J$62,"CC")))),"")))))),"")</f>
        <v>Malacca shipping audience reacts to confidence signals</v>
      </c>
      <c r="Q11" s="22" t="str">
        <f t="array" ref="Q11">IFERROR(IF(8&lt;=COUNTIF(ASCOPE_PMESII!$B$3:$B$62,"CR"),IFERROR(INDEX(ASCOPE_PMESII!$C$3:$C$62,_xlfn.AGGREGATE(15,6,(ROW(ASCOPE_PMESII!$B$3:$B$62)-ROW(ASCOPE_PMESII!$B$3)+1)/(ASCOPE_PMESII!$B$3:$B$62="CR"),8)),""),IF(8&lt;=(COUNTIF(ASCOPE_PMESII!$B$3:$B$62,"CR")+COUNTIF(ASCOPE_PMESII!$D$3:$D$62,"CR")),IFERROR(INDEX(ASCOPE_PMESII!$E$3:$E$62,_xlfn.AGGREGATE(15,6,(ROW(ASCOPE_PMESII!$D$3:$D$62)-ROW(ASCOPE_PMESII!$D$3)+1)/(ASCOPE_PMESII!$D$3:$D$62="CR"),8-(COUNTIF(ASCOPE_PMESII!$B$3:$B$62,"CR")))),""),IF(8&lt;=(COUNTIF(ASCOPE_PMESII!$B$3:$B$62,"CR")+COUNTIF(ASCOPE_PMESII!$D$3:$D$62,"CR")+COUNTIF(ASCOPE_PMESII!$F$3:$F$62,"CR")),IFERROR(INDEX(ASCOPE_PMESII!$G$3:$G$62,_xlfn.AGGREGATE(15,6,(ROW(ASCOPE_PMESII!$F$3:$F$62)-ROW(ASCOPE_PMESII!$F$3)+1)/(ASCOPE_PMESII!$F$3:$F$62="CR"),8-(COUNTIF(ASCOPE_PMESII!$B$3:$B$62,"CR")+COUNTIF(ASCOPE_PMESII!$D$3:$D$62,"CR")))),""),IF(8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8-(COUNTIF(ASCOPE_PMESII!$B$3:$B$62,"CR")+COUNTIF(ASCOPE_PMESII!$D$3:$D$62,"CR")+COUNTIF(ASCOPE_PMESII!$F$3:$F$62,"CR")))),""),IF(8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8-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8-(COUNTIF(ASCOPE_PMESII!$B$3:$B$62,"CR")+COUNTIF(ASCOPE_PMESII!$D$3:$D$62,"CR")+COUNTIF(ASCOPE_PMESII!$F$3:$F$62,"CR")+COUNTIF(ASCOPE_PMESII!$H$3:$H$62,"CR")+COUNTIF(ASCOPE_PMESII!$J$3:$J$62,"CR")))),"")))))),"")</f>
        <v>Airbases and radars must be suppressed or controlled</v>
      </c>
      <c r="R11" s="95" t="str">
        <f t="array" ref="R11">IFERROR(IF(8&lt;=COUNTIF(ASCOPE_PMESII!$B$3:$B$62,"PCS"),IFERROR(INDEX(ASCOPE_PMESII!$C$3:$C$62,_xlfn.AGGREGATE(15,6,(ROW(ASCOPE_PMESII!$B$3:$B$62)-ROW(ASCOPE_PMESII!$B$3)+1)/(ASCOPE_PMESII!$B$3:$B$62="PCS"),8)),""),IF(8&lt;=(COUNTIF(ASCOPE_PMESII!$B$3:$B$62,"PCS")+COUNTIF(ASCOPE_PMESII!$D$3:$D$62,"PCS")),IFERROR(INDEX(ASCOPE_PMESII!$E$3:$E$62,_xlfn.AGGREGATE(15,6,(ROW(ASCOPE_PMESII!$D$3:$D$62)-ROW(ASCOPE_PMESII!$D$3)+1)/(ASCOPE_PMESII!$D$3:$D$62="PCS"),8-(COUNTIF(ASCOPE_PMESII!$B$3:$B$62,"PCS")))),""),IF(8&lt;=(COUNTIF(ASCOPE_PMESII!$B$3:$B$62,"PCS")+COUNTIF(ASCOPE_PMESII!$D$3:$D$62,"PCS")+COUNTIF(ASCOPE_PMESII!$F$3:$F$62,"PCS")),IFERROR(INDEX(ASCOPE_PMESII!$G$3:$G$62,_xlfn.AGGREGATE(15,6,(ROW(ASCOPE_PMESII!$F$3:$F$62)-ROW(ASCOPE_PMESII!$F$3)+1)/(ASCOPE_PMESII!$F$3:$F$62="PCS"),8-(COUNTIF(ASCOPE_PMESII!$B$3:$B$62,"PCS")+COUNTIF(ASCOPE_PMESII!$D$3:$D$62,"PCS")))),""),IF(8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8-(COUNTIF(ASCOPE_PMESII!$B$3:$B$62,"PCS")+COUNTIF(ASCOPE_PMESII!$D$3:$D$62,"PCS")+COUNTIF(ASCOPE_PMESII!$F$3:$F$62,"PCS")))),""),IF(8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8-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8-(COUNTIF(ASCOPE_PMESII!$B$3:$B$62,"PCS")+COUNTIF(ASCOPE_PMESII!$D$3:$D$62,"PCS")+COUNTIF(ASCOPE_PMESII!$F$3:$F$62,"PCS")+COUNTIF(ASCOPE_PMESII!$H$3:$H$62,"PCS")+COUNTIF(ASCOPE_PMESII!$J$3:$J$62,"PCS")))),"")))))),"")</f>
        <v/>
      </c>
    </row>
    <row r="12" spans="1:18" ht="34.5" customHeight="1">
      <c r="A12" s="21" t="str">
        <f t="array" ref="A12">IFERROR(IF(9&lt;=COUNTIF(ASCOPE_PMESII!$B$3:$B$62,"OE"),IFERROR(INDEX(ASCOPE_PMESII!$C$3:$C$62,_xlfn.AGGREGATE(15,6,(ROW(ASCOPE_PMESII!$B$3:$B$62)-ROW(ASCOPE_PMESII!$B$3)+1)/(ASCOPE_PMESII!$B$3:$B$62="OE"),9)),""),IF(9&lt;=(COUNTIF(ASCOPE_PMESII!$B$3:$B$62,"OE")+COUNTIF(ASCOPE_PMESII!$D$3:$D$62,"OE")),IFERROR(INDEX(ASCOPE_PMESII!$E$3:$E$62,_xlfn.AGGREGATE(15,6,(ROW(ASCOPE_PMESII!$D$3:$D$62)-ROW(ASCOPE_PMESII!$D$3)+1)/(ASCOPE_PMESII!$D$3:$D$62="OE"),9-(COUNTIF(ASCOPE_PMESII!$B$3:$B$62,"OE")))),""),IF(9&lt;=(COUNTIF(ASCOPE_PMESII!$B$3:$B$62,"OE")+COUNTIF(ASCOPE_PMESII!$D$3:$D$62,"OE")+COUNTIF(ASCOPE_PMESII!$F$3:$F$62,"OE")),IFERROR(INDEX(ASCOPE_PMESII!$G$3:$G$62,_xlfn.AGGREGATE(15,6,(ROW(ASCOPE_PMESII!$F$3:$F$62)-ROW(ASCOPE_PMESII!$F$3)+1)/(ASCOPE_PMESII!$F$3:$F$62="OE"),9-(COUNTIF(ASCOPE_PMESII!$B$3:$B$62,"OE")+COUNTIF(ASCOPE_PMESII!$D$3:$D$62,"OE")))),""),IF(9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9-(COUNTIF(ASCOPE_PMESII!$B$3:$B$62,"OE")+COUNTIF(ASCOPE_PMESII!$D$3:$D$62,"OE")+COUNTIF(ASCOPE_PMESII!$F$3:$F$62,"OE")))),""),IF(9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9-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9-(COUNTIF(ASCOPE_PMESII!$B$3:$B$62,"OE")+COUNTIF(ASCOPE_PMESII!$D$3:$D$62,"OE")+COUNTIF(ASCOPE_PMESII!$F$3:$F$62,"OE")+COUNTIF(ASCOPE_PMESII!$H$3:$H$62,"OE")+COUNTIF(ASCOPE_PMESII!$J$3:$J$62,"OE")))),"")))))),"")</f>
        <v>STABILISE essential services</v>
      </c>
      <c r="B12" s="21" t="str">
        <f t="array" ref="B12">IFERROR(IF(9&lt;=COUNTIF(ASCOPE_PMESII!$B$3:$B$62,"OA"),IFERROR(INDEX(ASCOPE_PMESII!$C$3:$C$62,_xlfn.AGGREGATE(15,6,(ROW(ASCOPE_PMESII!$B$3:$B$62)-ROW(ASCOPE_PMESII!$B$3)+1)/(ASCOPE_PMESII!$B$3:$B$62="OA"),9)),""),IF(9&lt;=(COUNTIF(ASCOPE_PMESII!$B$3:$B$62,"OA")+COUNTIF(ASCOPE_PMESII!$D$3:$D$62,"OA")),IFERROR(INDEX(ASCOPE_PMESII!$E$3:$E$62,_xlfn.AGGREGATE(15,6,(ROW(ASCOPE_PMESII!$D$3:$D$62)-ROW(ASCOPE_PMESII!$D$3)+1)/(ASCOPE_PMESII!$D$3:$D$62="OA"),9-(COUNTIF(ASCOPE_PMESII!$B$3:$B$62,"OA")))),""),IF(9&lt;=(COUNTIF(ASCOPE_PMESII!$B$3:$B$62,"OA")+COUNTIF(ASCOPE_PMESII!$D$3:$D$62,"OA")+COUNTIF(ASCOPE_PMESII!$F$3:$F$62,"OA")),IFERROR(INDEX(ASCOPE_PMESII!$G$3:$G$62,_xlfn.AGGREGATE(15,6,(ROW(ASCOPE_PMESII!$F$3:$F$62)-ROW(ASCOPE_PMESII!$F$3)+1)/(ASCOPE_PMESII!$F$3:$F$62="OA"),9-(COUNTIF(ASCOPE_PMESII!$B$3:$B$62,"OA")+COUNTIF(ASCOPE_PMESII!$D$3:$D$62,"OA")))),""),IF(9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9-(COUNTIF(ASCOPE_PMESII!$B$3:$B$62,"OA")+COUNTIF(ASCOPE_PMESII!$D$3:$D$62,"OA")+COUNTIF(ASCOPE_PMESII!$F$3:$F$62,"OA")))),""),IF(9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9-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9-(COUNTIF(ASCOPE_PMESII!$B$3:$B$62,"OA")+COUNTIF(ASCOPE_PMESII!$D$3:$D$62,"OA")+COUNTIF(ASCOPE_PMESII!$F$3:$F$62,"OA")+COUNTIF(ASCOPE_PMESII!$H$3:$H$62,"OA")+COUNTIF(ASCOPE_PMESII!$J$3:$J$62,"OA")))),"")))))),"")</f>
        <v/>
      </c>
      <c r="C12" s="21" t="str">
        <f t="array" ref="C12">IFERROR(IF(9&lt;=COUNTIF(ASCOPE_PMESII!$B$3:$B$62,"RISK"),IFERROR(INDEX(ASCOPE_PMESII!$C$3:$C$62,_xlfn.AGGREGATE(15,6,(ROW(ASCOPE_PMESII!$B$3:$B$62)-ROW(ASCOPE_PMESII!$B$3)+1)/(ASCOPE_PMESII!$B$3:$B$62="RISK"),9)),""),IF(9&lt;=(COUNTIF(ASCOPE_PMESII!$B$3:$B$62,"RISK")+COUNTIF(ASCOPE_PMESII!$D$3:$D$62,"RISK")),IFERROR(INDEX(ASCOPE_PMESII!$E$3:$E$62,_xlfn.AGGREGATE(15,6,(ROW(ASCOPE_PMESII!$D$3:$D$62)-ROW(ASCOPE_PMESII!$D$3)+1)/(ASCOPE_PMESII!$D$3:$D$62="RISK"),9-(COUNTIF(ASCOPE_PMESII!$B$3:$B$62,"RISK")))),""),IF(9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9-(COUNTIF(ASCOPE_PMESII!$B$3:$B$62,"RISK")+COUNTIF(ASCOPE_PMESII!$D$3:$D$62,"RISK")))),""),IF(9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9-(COUNTIF(ASCOPE_PMESII!$B$3:$B$62,"RISK")+COUNTIF(ASCOPE_PMESII!$D$3:$D$62,"RISK")+COUNTIF(ASCOPE_PMESII!$F$3:$F$62,"RISK")))),""),IF(9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9-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9-(COUNTIF(ASCOPE_PMESII!$B$3:$B$62,"RISK")+COUNTIF(ASCOPE_PMESII!$D$3:$D$62,"RISK")+COUNTIF(ASCOPE_PMESII!$F$3:$F$62,"RISK")+COUNTIF(ASCOPE_PMESII!$H$3:$H$62,"RISK")+COUNTIF(ASCOPE_PMESII!$J$3:$J$62,"RISK")))),"")))))),"")</f>
        <v>Strike damage can delay strategic end state</v>
      </c>
      <c r="D12" s="21" t="str">
        <f t="array" ref="D12">IFERROR(IF(9&lt;=COUNTIF(ASCOPE_PMESII!$B$3:$B$62,"CV"),IFERROR(INDEX(ASCOPE_PMESII!$C$3:$C$62,_xlfn.AGGREGATE(15,6,(ROW(ASCOPE_PMESII!$B$3:$B$62)-ROW(ASCOPE_PMESII!$B$3)+1)/(ASCOPE_PMESII!$B$3:$B$62="CV"),9)),""),IF(9&lt;=(COUNTIF(ASCOPE_PMESII!$B$3:$B$62,"CV")+COUNTIF(ASCOPE_PMESII!$D$3:$D$62,"CV")),IFERROR(INDEX(ASCOPE_PMESII!$E$3:$E$62,_xlfn.AGGREGATE(15,6,(ROW(ASCOPE_PMESII!$D$3:$D$62)-ROW(ASCOPE_PMESII!$D$3)+1)/(ASCOPE_PMESII!$D$3:$D$62="CV"),9-(COUNTIF(ASCOPE_PMESII!$B$3:$B$62,"CV")))),""),IF(9&lt;=(COUNTIF(ASCOPE_PMESII!$B$3:$B$62,"CV")+COUNTIF(ASCOPE_PMESII!$D$3:$D$62,"CV")+COUNTIF(ASCOPE_PMESII!$F$3:$F$62,"CV")),IFERROR(INDEX(ASCOPE_PMESII!$G$3:$G$62,_xlfn.AGGREGATE(15,6,(ROW(ASCOPE_PMESII!$F$3:$F$62)-ROW(ASCOPE_PMESII!$F$3)+1)/(ASCOPE_PMESII!$F$3:$F$62="CV"),9-(COUNTIF(ASCOPE_PMESII!$B$3:$B$62,"CV")+COUNTIF(ASCOPE_PMESII!$D$3:$D$62,"CV")))),""),IF(9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9-(COUNTIF(ASCOPE_PMESII!$B$3:$B$62,"CV")+COUNTIF(ASCOPE_PMESII!$D$3:$D$62,"CV")+COUNTIF(ASCOPE_PMESII!$F$3:$F$62,"CV")))),""),IF(9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9-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9-(COUNTIF(ASCOPE_PMESII!$B$3:$B$62,"CV")+COUNTIF(ASCOPE_PMESII!$D$3:$D$62,"CV")+COUNTIF(ASCOPE_PMESII!$F$3:$F$62,"CV")+COUNTIF(ASCOPE_PMESII!$H$3:$H$62,"CV")+COUNTIF(ASCOPE_PMESII!$J$3:$J$62,"CV")))),"")))))),"")</f>
        <v>IRS narrative exploits genuine revenue grievance</v>
      </c>
      <c r="E12" s="21" t="str">
        <f t="array" ref="E12">IFERROR(IF(9&lt;=COUNTIF(ASCOPE_PMESII!$B$3:$B$62,"COR"),IFERROR(INDEX(ASCOPE_PMESII!$C$3:$C$62,_xlfn.AGGREGATE(15,6,(ROW(ASCOPE_PMESII!$B$3:$B$62)-ROW(ASCOPE_PMESII!$B$3)+1)/(ASCOPE_PMESII!$B$3:$B$62="COR"),9)),""),IF(9&lt;=(COUNTIF(ASCOPE_PMESII!$B$3:$B$62,"COR")+COUNTIF(ASCOPE_PMESII!$D$3:$D$62,"COR")),IFERROR(INDEX(ASCOPE_PMESII!$E$3:$E$62,_xlfn.AGGREGATE(15,6,(ROW(ASCOPE_PMESII!$D$3:$D$62)-ROW(ASCOPE_PMESII!$D$3)+1)/(ASCOPE_PMESII!$D$3:$D$62="COR"),9-(COUNTIF(ASCOPE_PMESII!$B$3:$B$62,"COR")))),""),IF(9&lt;=(COUNTIF(ASCOPE_PMESII!$B$3:$B$62,"COR")+COUNTIF(ASCOPE_PMESII!$D$3:$D$62,"COR")+COUNTIF(ASCOPE_PMESII!$F$3:$F$62,"COR")),IFERROR(INDEX(ASCOPE_PMESII!$G$3:$G$62,_xlfn.AGGREGATE(15,6,(ROW(ASCOPE_PMESII!$F$3:$F$62)-ROW(ASCOPE_PMESII!$F$3)+1)/(ASCOPE_PMESII!$F$3:$F$62="COR"),9-(COUNTIF(ASCOPE_PMESII!$B$3:$B$62,"COR")+COUNTIF(ASCOPE_PMESII!$D$3:$D$62,"COR")))),""),IF(9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9-(COUNTIF(ASCOPE_PMESII!$B$3:$B$62,"COR")+COUNTIF(ASCOPE_PMESII!$D$3:$D$62,"COR")+COUNTIF(ASCOPE_PMESII!$F$3:$F$62,"COR")))),""),IF(9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9-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9-(COUNTIF(ASCOPE_PMESII!$B$3:$B$62,"COR")+COUNTIF(ASCOPE_PMESII!$D$3:$D$62,"COR")+COUNTIF(ASCOPE_PMESII!$F$3:$F$62,"COR")+COUNTIF(ASCOPE_PMESII!$H$3:$H$62,"COR")+COUNTIF(ASCOPE_PMESII!$J$3:$J$62,"COR")))),"")))))),"")</f>
        <v>Use graduated interdiction and seizure sequencing</v>
      </c>
      <c r="F12" s="21" t="str">
        <f t="array" ref="F12">IFERROR(IF(9&lt;=COUNTIF(ASCOPE_PMESII!$B$3:$B$62,"REQT"),IFERROR(INDEX(ASCOPE_PMESII!$C$3:$C$62,_xlfn.AGGREGATE(15,6,(ROW(ASCOPE_PMESII!$B$3:$B$62)-ROW(ASCOPE_PMESII!$B$3)+1)/(ASCOPE_PMESII!$B$3:$B$62="REQT"),9)),""),IF(9&lt;=(COUNTIF(ASCOPE_PMESII!$B$3:$B$62,"REQT")+COUNTIF(ASCOPE_PMESII!$D$3:$D$62,"REQT")),IFERROR(INDEX(ASCOPE_PMESII!$E$3:$E$62,_xlfn.AGGREGATE(15,6,(ROW(ASCOPE_PMESII!$D$3:$D$62)-ROW(ASCOPE_PMESII!$D$3)+1)/(ASCOPE_PMESII!$D$3:$D$62="REQT"),9-(COUNTIF(ASCOPE_PMESII!$B$3:$B$62,"REQT")))),""),IF(9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9-(COUNTIF(ASCOPE_PMESII!$B$3:$B$62,"REQT")+COUNTIF(ASCOPE_PMESII!$D$3:$D$62,"REQT")))),""),IF(9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9-(COUNTIF(ASCOPE_PMESII!$B$3:$B$62,"REQT")+COUNTIF(ASCOPE_PMESII!$D$3:$D$62,"REQT")+COUNTIF(ASCOPE_PMESII!$F$3:$F$62,"REQT")))),""),IF(9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9-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9-(COUNTIF(ASCOPE_PMESII!$B$3:$B$62,"REQT")+COUNTIF(ASCOPE_PMESII!$D$3:$D$62,"REQT")+COUNTIF(ASCOPE_PMESII!$F$3:$F$62,"REQT")+COUNTIF(ASCOPE_PMESII!$H$3:$H$62,"REQT")+COUNTIF(ASCOPE_PMESII!$J$3:$J$62,"REQT")))),"")))))),"")</f>
        <v/>
      </c>
      <c r="G12" s="21" t="str">
        <f t="array" ref="G12">IFERROR(IF(9&lt;=COUNTIF(ASCOPE_PMESII!$B$3:$B$62,"REST"),IFERROR(INDEX(ASCOPE_PMESII!$C$3:$C$62,_xlfn.AGGREGATE(15,6,(ROW(ASCOPE_PMESII!$B$3:$B$62)-ROW(ASCOPE_PMESII!$B$3)+1)/(ASCOPE_PMESII!$B$3:$B$62="REST"),9)),""),IF(9&lt;=(COUNTIF(ASCOPE_PMESII!$B$3:$B$62,"REST")+COUNTIF(ASCOPE_PMESII!$D$3:$D$62,"REST")),IFERROR(INDEX(ASCOPE_PMESII!$E$3:$E$62,_xlfn.AGGREGATE(15,6,(ROW(ASCOPE_PMESII!$D$3:$D$62)-ROW(ASCOPE_PMESII!$D$3)+1)/(ASCOPE_PMESII!$D$3:$D$62="REST"),9-(COUNTIF(ASCOPE_PMESII!$B$3:$B$62,"REST")))),""),IF(9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9-(COUNTIF(ASCOPE_PMESII!$B$3:$B$62,"REST")+COUNTIF(ASCOPE_PMESII!$D$3:$D$62,"REST")))),""),IF(9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9-(COUNTIF(ASCOPE_PMESII!$B$3:$B$62,"REST")+COUNTIF(ASCOPE_PMESII!$D$3:$D$62,"REST")+COUNTIF(ASCOPE_PMESII!$F$3:$F$62,"REST")))),""),IF(9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9-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9-(COUNTIF(ASCOPE_PMESII!$B$3:$B$62,"REST")+COUNTIF(ASCOPE_PMESII!$D$3:$D$62,"REST")+COUNTIF(ASCOPE_PMESII!$F$3:$F$62,"REST")+COUNTIF(ASCOPE_PMESII!$H$3:$H$62,"REST")+COUNTIF(ASCOPE_PMESII!$J$3:$J$62,"REST")))),"")))))),"")</f>
        <v/>
      </c>
      <c r="H12" s="21" t="str">
        <f t="array" ref="H12">IFERROR(IF(9&lt;=COUNTIF(ASCOPE_PMESII!$B$3:$B$62,"KCD-MUST"),IFERROR(INDEX(ASCOPE_PMESII!$C$3:$C$62,_xlfn.AGGREGATE(15,6,(ROW(ASCOPE_PMESII!$B$3:$B$62)-ROW(ASCOPE_PMESII!$B$3)+1)/(ASCOPE_PMESII!$B$3:$B$62="KCD-MUST"),9)),""),IF(9&lt;=(COUNTIF(ASCOPE_PMESII!$B$3:$B$62,"KCD-MUST")+COUNTIF(ASCOPE_PMESII!$D$3:$D$62,"KCD-MUST")),IFERROR(INDEX(ASCOPE_PMESII!$E$3:$E$62,_xlfn.AGGREGATE(15,6,(ROW(ASCOPE_PMESII!$D$3:$D$62)-ROW(ASCOPE_PMESII!$D$3)+1)/(ASCOPE_PMESII!$D$3:$D$62="KCD-MUST"),9-(COUNTIF(ASCOPE_PMESII!$B$3:$B$62,"KCD-MUST")))),""),IF(9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9-(COUNTIF(ASCOPE_PMESII!$B$3:$B$62,"KCD-MUST")+COUNTIF(ASCOPE_PMESII!$D$3:$D$62,"KCD-MUST")))),""),IF(9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9-(COUNTIF(ASCOPE_PMESII!$B$3:$B$62,"KCD-MUST")+COUNTIF(ASCOPE_PMESII!$D$3:$D$62,"KCD-MUST")+COUNTIF(ASCOPE_PMESII!$F$3:$F$62,"KCD-MUST")))),""),IF(9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9-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9-(COUNTIF(ASCOPE_PMESII!$B$3:$B$62,"KCD-MUST")+COUNTIF(ASCOPE_PMESII!$D$3:$D$62,"KCD-MUST")+COUNTIF(ASCOPE_PMESII!$F$3:$F$62,"KCD-MUST")+COUNTIF(ASCOPE_PMESII!$H$3:$H$62,"KCD-MUST")+COUNTIF(ASCOPE_PMESII!$J$3:$J$62,"KCD-MUST")))),"")))))),"")</f>
        <v>Protect critical energy infrastructure from sabotage</v>
      </c>
      <c r="I12" s="21" t="str">
        <f t="array" ref="I12">IFERROR(IF(9&lt;=COUNTIF(ASCOPE_PMESII!$B$3:$B$62,"KCD-SHOULD"),IFERROR(INDEX(ASCOPE_PMESII!$C$3:$C$62,_xlfn.AGGREGATE(15,6,(ROW(ASCOPE_PMESII!$B$3:$B$62)-ROW(ASCOPE_PMESII!$B$3)+1)/(ASCOPE_PMESII!$B$3:$B$62="KCD-SHOULD"),9)),""),IF(9&lt;=(COUNTIF(ASCOPE_PMESII!$B$3:$B$62,"KCD-SHOULD")+COUNTIF(ASCOPE_PMESII!$D$3:$D$62,"KCD-SHOULD")),IFERROR(INDEX(ASCOPE_PMESII!$E$3:$E$62,_xlfn.AGGREGATE(15,6,(ROW(ASCOPE_PMESII!$D$3:$D$62)-ROW(ASCOPE_PMESII!$D$3)+1)/(ASCOPE_PMESII!$D$3:$D$62="KCD-SHOULD"),9-(COUNTIF(ASCOPE_PMESII!$B$3:$B$62,"KCD-SHOULD")))),""),IF(9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9-(COUNTIF(ASCOPE_PMESII!$B$3:$B$62,"KCD-SHOULD")+COUNTIF(ASCOPE_PMESII!$D$3:$D$62,"KCD-SHOULD")))),""),IF(9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9-(COUNTIF(ASCOPE_PMESII!$B$3:$B$62,"KCD-SHOULD")+COUNTIF(ASCOPE_PMESII!$D$3:$D$62,"KCD-SHOULD")+COUNTIF(ASCOPE_PMESII!$F$3:$F$62,"KCD-SHOULD")))),""),IF(9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9-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9-(COUNTIF(ASCOPE_PMESII!$B$3:$B$62,"KCD-SHOULD")+COUNTIF(ASCOPE_PMESII!$D$3:$D$62,"KCD-SHOULD")+COUNTIF(ASCOPE_PMESII!$F$3:$F$62,"KCD-SHOULD")+COUNTIF(ASCOPE_PMESII!$H$3:$H$62,"KCD-SHOULD")+COUNTIF(ASCOPE_PMESII!$J$3:$J$62,"KCD-SHOULD")))),"")))))),"")</f>
        <v>Capture records, terminals and control systems intact</v>
      </c>
      <c r="J12" s="21" t="str">
        <f t="array" ref="J12">IFERROR(IF(9&lt;=COUNTIF(ASCOPE_PMESII!$B$3:$B$62,"KCD-SHOULD NOT"),IFERROR(INDEX(ASCOPE_PMESII!$C$3:$C$62,_xlfn.AGGREGATE(15,6,(ROW(ASCOPE_PMESII!$B$3:$B$62)-ROW(ASCOPE_PMESII!$B$3)+1)/(ASCOPE_PMESII!$B$3:$B$62="KCD-SHOULD NOT"),9)),""),IF(9&lt;=(COUNTIF(ASCOPE_PMESII!$B$3:$B$62,"KCD-SHOULD NOT")+COUNTIF(ASCOPE_PMESII!$D$3:$D$62,"KCD-SHOULD NOT")),IFERROR(INDEX(ASCOPE_PMESII!$E$3:$E$62,_xlfn.AGGREGATE(15,6,(ROW(ASCOPE_PMESII!$D$3:$D$62)-ROW(ASCOPE_PMESII!$D$3)+1)/(ASCOPE_PMESII!$D$3:$D$62="KCD-SHOULD NOT"),9-(COUNTIF(ASCOPE_PMESII!$B$3:$B$62,"KCD-SHOULD NOT")))),""),IF(9&lt;=(COUNTIF(ASCOPE_PMESII!$B$3:$B$62,"KCD-SHOULD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NOT"),9-(COUNTIF(ASCOPE_PMESII!$B$3:$B$62,"KCD-SHOULD NOT")+COUNTIF(ASCOPE_PMESII!$D$3:$D$62,"KCD-SHOULD NOT")))),""),IF(9&lt;=(COUNTIF(ASCOPE_PMESII!$B$3:$B$62,"KCD-SHOULD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NOT"),9-(COUNTIF(ASCOPE_PMESII!$B$3:$B$62,"KCD-SHOULD NOT")+COUNTIF(ASCOPE_PMESII!$D$3:$D$62,"KCD-SHOULD NOT")+COUNTIF(ASCOPE_PMESII!$F$3:$F$62,"KCD-SHOULD NOT")))),""),IF(9&lt;=(COUNTIF(ASCOPE_PMESII!$B$3:$B$62,"KCD-SHOULD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NOT"),9-(COUNTIF(ASCOPE_PMESII!$B$3:$B$62,"KCD-SHOULD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NOT"),9-(COUNTIF(ASCOPE_PMESII!$B$3:$B$62,"KCD-SHOULD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12" s="21" t="str">
        <f t="array" ref="K12">IFERROR(IF(9&lt;=COUNTIF(ASCOPE_PMESII!$B$3:$B$62,"KCD-CANNOT"),IFERROR(INDEX(ASCOPE_PMESII!$C$3:$C$62,_xlfn.AGGREGATE(15,6,(ROW(ASCOPE_PMESII!$B$3:$B$62)-ROW(ASCOPE_PMESII!$B$3)+1)/(ASCOPE_PMESII!$B$3:$B$62="KCD-CANNOT"),9)),""),IF(9&lt;=(COUNTIF(ASCOPE_PMESII!$B$3:$B$62,"KCD-CANNOT")+COUNTIF(ASCOPE_PMESII!$D$3:$D$62,"KCD-CANNOT")),IFERROR(INDEX(ASCOPE_PMESII!$E$3:$E$62,_xlfn.AGGREGATE(15,6,(ROW(ASCOPE_PMESII!$D$3:$D$62)-ROW(ASCOPE_PMESII!$D$3)+1)/(ASCOPE_PMESII!$D$3:$D$62="KCD-CANNOT"),9-(COUNTIF(ASCOPE_PMESII!$B$3:$B$62,"KCD-CANNOT")))),""),IF(9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9-(COUNTIF(ASCOPE_PMESII!$B$3:$B$62,"KCD-CANNOT")+COUNTIF(ASCOPE_PMESII!$D$3:$D$62,"KCD-CANNOT")))),""),IF(9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9-(COUNTIF(ASCOPE_PMESII!$B$3:$B$62,"KCD-CANNOT")+COUNTIF(ASCOPE_PMESII!$D$3:$D$62,"KCD-CANNOT")+COUNTIF(ASCOPE_PMESII!$F$3:$F$62,"KCD-CANNOT")))),""),IF(9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9-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9-(COUNTIF(ASCOPE_PMESII!$B$3:$B$62,"KCD-CANNOT")+COUNTIF(ASCOPE_PMESII!$D$3:$D$62,"KCD-CANNOT")+COUNTIF(ASCOPE_PMESII!$F$3:$F$62,"KCD-CANNOT")+COUNTIF(ASCOPE_PMESII!$H$3:$H$62,"KCD-CANNOT")+COUNTIF(ASCOPE_PMESII!$J$3:$J$62,"KCD-CANNOT")))),"")))))),"")</f>
        <v>Cannot treat POL/LNG as purely military target</v>
      </c>
      <c r="L12" s="21" t="str">
        <f t="array" ref="L12">IFERROR(IF(9&lt;=COUNTIF(ASCOPE_PMESII!$B$3:$B$62,"DECISION"),IFERROR(INDEX(ASCOPE_PMESII!$C$3:$C$62,_xlfn.AGGREGATE(15,6,(ROW(ASCOPE_PMESII!$B$3:$B$62)-ROW(ASCOPE_PMESII!$B$3)+1)/(ASCOPE_PMESII!$B$3:$B$62="DECISION"),9)),""),IF(9&lt;=(COUNTIF(ASCOPE_PMESII!$B$3:$B$62,"DECISION")+COUNTIF(ASCOPE_PMESII!$D$3:$D$62,"DECISION")),IFERROR(INDEX(ASCOPE_PMESII!$E$3:$E$62,_xlfn.AGGREGATE(15,6,(ROW(ASCOPE_PMESII!$D$3:$D$62)-ROW(ASCOPE_PMESII!$D$3)+1)/(ASCOPE_PMESII!$D$3:$D$62="DECISION"),9-(COUNTIF(ASCOPE_PMESII!$B$3:$B$62,"DECISION")))),""),IF(9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9-(COUNTIF(ASCOPE_PMESII!$B$3:$B$62,"DECISION")+COUNTIF(ASCOPE_PMESII!$D$3:$D$62,"DECISION")))),""),IF(9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9-(COUNTIF(ASCOPE_PMESII!$B$3:$B$62,"DECISION")+COUNTIF(ASCOPE_PMESII!$D$3:$D$62,"DECISION")+COUNTIF(ASCOPE_PMESII!$F$3:$F$62,"DECISION")))),""),IF(9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9-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9-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12" s="21" t="str">
        <f t="array" ref="M12">IFERROR(IF(9&lt;=COUNTIF(ASCOPE_PMESII!$B$3:$B$62,"ASSUMPTION"),IFERROR(INDEX(ASCOPE_PMESII!$C$3:$C$62,_xlfn.AGGREGATE(15,6,(ROW(ASCOPE_PMESII!$B$3:$B$62)-ROW(ASCOPE_PMESII!$B$3)+1)/(ASCOPE_PMESII!$B$3:$B$62="ASSUMPTION"),9)),""),IF(9&lt;=(COUNTIF(ASCOPE_PMESII!$B$3:$B$62,"ASSUMPTION")+COUNTIF(ASCOPE_PMESII!$D$3:$D$62,"ASSUMPTION")),IFERROR(INDEX(ASCOPE_PMESII!$E$3:$E$62,_xlfn.AGGREGATE(15,6,(ROW(ASCOPE_PMESII!$D$3:$D$62)-ROW(ASCOPE_PMESII!$D$3)+1)/(ASCOPE_PMESII!$D$3:$D$62="ASSUMPTION"),9-(COUNTIF(ASCOPE_PMESII!$B$3:$B$62,"ASSUMPTION")))),""),IF(9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9-(COUNTIF(ASCOPE_PMESII!$B$3:$B$62,"ASSUMPTION")+COUNTIF(ASCOPE_PMESII!$D$3:$D$62,"ASSUMPTION")))),""),IF(9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9-(COUNTIF(ASCOPE_PMESII!$B$3:$B$62,"ASSUMPTION")+COUNTIF(ASCOPE_PMESII!$D$3:$D$62,"ASSUMPTION")+COUNTIF(ASCOPE_PMESII!$F$3:$F$62,"ASSUMPTION")))),""),IF(9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9-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9-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12" s="21" t="str">
        <f t="array" ref="N12">IFERROR(IF(9&lt;=COUNTIF(ASCOPE_PMESII!$B$3:$B$62,"CONSTRAINT"),IFERROR(INDEX(ASCOPE_PMESII!$C$3:$C$62,_xlfn.AGGREGATE(15,6,(ROW(ASCOPE_PMESII!$B$3:$B$62)-ROW(ASCOPE_PMESII!$B$3)+1)/(ASCOPE_PMESII!$B$3:$B$62="CONSTRAINT"),9)),""),IF(9&lt;=(COUNTIF(ASCOPE_PMESII!$B$3:$B$62,"CONSTRAINT")+COUNTIF(ASCOPE_PMESII!$D$3:$D$62,"CONSTRAINT")),IFERROR(INDEX(ASCOPE_PMESII!$E$3:$E$62,_xlfn.AGGREGATE(15,6,(ROW(ASCOPE_PMESII!$D$3:$D$62)-ROW(ASCOPE_PMESII!$D$3)+1)/(ASCOPE_PMESII!$D$3:$D$62="CONSTRAINT"),9-(COUNTIF(ASCOPE_PMESII!$B$3:$B$62,"CONSTRAINT")))),""),IF(9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9-(COUNTIF(ASCOPE_PMESII!$B$3:$B$62,"CONSTRAINT")+COUNTIF(ASCOPE_PMESII!$D$3:$D$62,"CONSTRAINT")))),""),IF(9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9-(COUNTIF(ASCOPE_PMESII!$B$3:$B$62,"CONSTRAINT")+COUNTIF(ASCOPE_PMESII!$D$3:$D$62,"CONSTRAINT")+COUNTIF(ASCOPE_PMESII!$F$3:$F$62,"CONSTRAINT")))),""),IF(9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9-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9-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12" s="21" t="str">
        <f t="array" ref="O12">IFERROR(IF(9&lt;=COUNTIF(ASCOPE_PMESII!$B$3:$B$62,"LIMITATION"),IFERROR(INDEX(ASCOPE_PMESII!$C$3:$C$62,_xlfn.AGGREGATE(15,6,(ROW(ASCOPE_PMESII!$B$3:$B$62)-ROW(ASCOPE_PMESII!$B$3)+1)/(ASCOPE_PMESII!$B$3:$B$62="LIMITATION"),9)),""),IF(9&lt;=(COUNTIF(ASCOPE_PMESII!$B$3:$B$62,"LIMITATION")+COUNTIF(ASCOPE_PMESII!$D$3:$D$62,"LIMITATION")),IFERROR(INDEX(ASCOPE_PMESII!$E$3:$E$62,_xlfn.AGGREGATE(15,6,(ROW(ASCOPE_PMESII!$D$3:$D$62)-ROW(ASCOPE_PMESII!$D$3)+1)/(ASCOPE_PMESII!$D$3:$D$62="LIMITATION"),9-(COUNTIF(ASCOPE_PMESII!$B$3:$B$62,"LIMITATION")))),""),IF(9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9-(COUNTIF(ASCOPE_PMESII!$B$3:$B$62,"LIMITATION")+COUNTIF(ASCOPE_PMESII!$D$3:$D$62,"LIMITATION")))),""),IF(9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9-(COUNTIF(ASCOPE_PMESII!$B$3:$B$62,"LIMITATION")+COUNTIF(ASCOPE_PMESII!$D$3:$D$62,"LIMITATION")+COUNTIF(ASCOPE_PMESII!$F$3:$F$62,"LIMITATION")))),""),IF(9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9-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9-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12" s="21" t="str">
        <f t="array" ref="P12">IFERROR(IF(9&lt;=COUNTIF(ASCOPE_PMESII!$B$3:$B$62,"CC"),IFERROR(INDEX(ASCOPE_PMESII!$C$3:$C$62,_xlfn.AGGREGATE(15,6,(ROW(ASCOPE_PMESII!$B$3:$B$62)-ROW(ASCOPE_PMESII!$B$3)+1)/(ASCOPE_PMESII!$B$3:$B$62="CC"),9)),""),IF(9&lt;=(COUNTIF(ASCOPE_PMESII!$B$3:$B$62,"CC")+COUNTIF(ASCOPE_PMESII!$D$3:$D$62,"CC")),IFERROR(INDEX(ASCOPE_PMESII!$E$3:$E$62,_xlfn.AGGREGATE(15,6,(ROW(ASCOPE_PMESII!$D$3:$D$62)-ROW(ASCOPE_PMESII!$D$3)+1)/(ASCOPE_PMESII!$D$3:$D$62="CC"),9-(COUNTIF(ASCOPE_PMESII!$B$3:$B$62,"CC")))),""),IF(9&lt;=(COUNTIF(ASCOPE_PMESII!$B$3:$B$62,"CC")+COUNTIF(ASCOPE_PMESII!$D$3:$D$62,"CC")+COUNTIF(ASCOPE_PMESII!$F$3:$F$62,"CC")),IFERROR(INDEX(ASCOPE_PMESII!$G$3:$G$62,_xlfn.AGGREGATE(15,6,(ROW(ASCOPE_PMESII!$F$3:$F$62)-ROW(ASCOPE_PMESII!$F$3)+1)/(ASCOPE_PMESII!$F$3:$F$62="CC"),9-(COUNTIF(ASCOPE_PMESII!$B$3:$B$62,"CC")+COUNTIF(ASCOPE_PMESII!$D$3:$D$62,"CC")))),""),IF(9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9-(COUNTIF(ASCOPE_PMESII!$B$3:$B$62,"CC")+COUNTIF(ASCOPE_PMESII!$D$3:$D$62,"CC")+COUNTIF(ASCOPE_PMESII!$F$3:$F$62,"CC")))),""),IF(9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9-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9-(COUNTIF(ASCOPE_PMESII!$B$3:$B$62,"CC")+COUNTIF(ASCOPE_PMESII!$D$3:$D$62,"CC")+COUNTIF(ASCOPE_PMESII!$F$3:$F$62,"CC")+COUNTIF(ASCOPE_PMESII!$H$3:$H$62,"CC")+COUNTIF(ASCOPE_PMESII!$J$3:$J$62,"CC")))),"")))))),"")</f>
        <v>KODAM 1 HQ MEDAN anchors IRS governance</v>
      </c>
      <c r="Q12" s="21" t="str">
        <f t="array" ref="Q12">IFERROR(IF(9&lt;=COUNTIF(ASCOPE_PMESII!$B$3:$B$62,"CR"),IFERROR(INDEX(ASCOPE_PMESII!$C$3:$C$62,_xlfn.AGGREGATE(15,6,(ROW(ASCOPE_PMESII!$B$3:$B$62)-ROW(ASCOPE_PMESII!$B$3)+1)/(ASCOPE_PMESII!$B$3:$B$62="CR"),9)),""),IF(9&lt;=(COUNTIF(ASCOPE_PMESII!$B$3:$B$62,"CR")+COUNTIF(ASCOPE_PMESII!$D$3:$D$62,"CR")),IFERROR(INDEX(ASCOPE_PMESII!$E$3:$E$62,_xlfn.AGGREGATE(15,6,(ROW(ASCOPE_PMESII!$D$3:$D$62)-ROW(ASCOPE_PMESII!$D$3)+1)/(ASCOPE_PMESII!$D$3:$D$62="CR"),9-(COUNTIF(ASCOPE_PMESII!$B$3:$B$62,"CR")))),""),IF(9&lt;=(COUNTIF(ASCOPE_PMESII!$B$3:$B$62,"CR")+COUNTIF(ASCOPE_PMESII!$D$3:$D$62,"CR")+COUNTIF(ASCOPE_PMESII!$F$3:$F$62,"CR")),IFERROR(INDEX(ASCOPE_PMESII!$G$3:$G$62,_xlfn.AGGREGATE(15,6,(ROW(ASCOPE_PMESII!$F$3:$F$62)-ROW(ASCOPE_PMESII!$F$3)+1)/(ASCOPE_PMESII!$F$3:$F$62="CR"),9-(COUNTIF(ASCOPE_PMESII!$B$3:$B$62,"CR")+COUNTIF(ASCOPE_PMESII!$D$3:$D$62,"CR")))),""),IF(9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9-(COUNTIF(ASCOPE_PMESII!$B$3:$B$62,"CR")+COUNTIF(ASCOPE_PMESII!$D$3:$D$62,"CR")+COUNTIF(ASCOPE_PMESII!$F$3:$F$62,"CR")))),""),IF(9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9-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9-(COUNTIF(ASCOPE_PMESII!$B$3:$B$62,"CR")+COUNTIF(ASCOPE_PMESII!$D$3:$D$62,"CR")+COUNTIF(ASCOPE_PMESII!$F$3:$F$62,"CR")+COUNTIF(ASCOPE_PMESII!$H$3:$H$62,"CR")+COUNTIF(ASCOPE_PMESII!$J$3:$J$62,"CR")))),"")))))),"")</f>
        <v>Legal, engineer and energy expertise required</v>
      </c>
      <c r="R12" s="94" t="str">
        <f t="array" ref="R12">IFERROR(IF(9&lt;=COUNTIF(ASCOPE_PMESII!$B$3:$B$62,"PCS"),IFERROR(INDEX(ASCOPE_PMESII!$C$3:$C$62,_xlfn.AGGREGATE(15,6,(ROW(ASCOPE_PMESII!$B$3:$B$62)-ROW(ASCOPE_PMESII!$B$3)+1)/(ASCOPE_PMESII!$B$3:$B$62="PCS"),9)),""),IF(9&lt;=(COUNTIF(ASCOPE_PMESII!$B$3:$B$62,"PCS")+COUNTIF(ASCOPE_PMESII!$D$3:$D$62,"PCS")),IFERROR(INDEX(ASCOPE_PMESII!$E$3:$E$62,_xlfn.AGGREGATE(15,6,(ROW(ASCOPE_PMESII!$D$3:$D$62)-ROW(ASCOPE_PMESII!$D$3)+1)/(ASCOPE_PMESII!$D$3:$D$62="PCS"),9-(COUNTIF(ASCOPE_PMESII!$B$3:$B$62,"PCS")))),""),IF(9&lt;=(COUNTIF(ASCOPE_PMESII!$B$3:$B$62,"PCS")+COUNTIF(ASCOPE_PMESII!$D$3:$D$62,"PCS")+COUNTIF(ASCOPE_PMESII!$F$3:$F$62,"PCS")),IFERROR(INDEX(ASCOPE_PMESII!$G$3:$G$62,_xlfn.AGGREGATE(15,6,(ROW(ASCOPE_PMESII!$F$3:$F$62)-ROW(ASCOPE_PMESII!$F$3)+1)/(ASCOPE_PMESII!$F$3:$F$62="PCS"),9-(COUNTIF(ASCOPE_PMESII!$B$3:$B$62,"PCS")+COUNTIF(ASCOPE_PMESII!$D$3:$D$62,"PCS")))),""),IF(9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9-(COUNTIF(ASCOPE_PMESII!$B$3:$B$62,"PCS")+COUNTIF(ASCOPE_PMESII!$D$3:$D$62,"PCS")+COUNTIF(ASCOPE_PMESII!$F$3:$F$62,"PCS")))),""),IF(9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9-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9-(COUNTIF(ASCOPE_PMESII!$B$3:$B$62,"PCS")+COUNTIF(ASCOPE_PMESII!$D$3:$D$62,"PCS")+COUNTIF(ASCOPE_PMESII!$F$3:$F$62,"PCS")+COUNTIF(ASCOPE_PMESII!$H$3:$H$62,"PCS")+COUNTIF(ASCOPE_PMESII!$J$3:$J$62,"PCS")))),"")))))),"")</f>
        <v/>
      </c>
    </row>
    <row r="13" spans="1:18" ht="34.5" customHeight="1">
      <c r="A13" s="22" t="str">
        <f t="array" ref="A13">IFERROR(IF(10&lt;=COUNTIF(ASCOPE_PMESII!$B$3:$B$62,"OE"),IFERROR(INDEX(ASCOPE_PMESII!$C$3:$C$62,_xlfn.AGGREGATE(15,6,(ROW(ASCOPE_PMESII!$B$3:$B$62)-ROW(ASCOPE_PMESII!$B$3)+1)/(ASCOPE_PMESII!$B$3:$B$62="OE"),10)),""),IF(10&lt;=(COUNTIF(ASCOPE_PMESII!$B$3:$B$62,"OE")+COUNTIF(ASCOPE_PMESII!$D$3:$D$62,"OE")),IFERROR(INDEX(ASCOPE_PMESII!$E$3:$E$62,_xlfn.AGGREGATE(15,6,(ROW(ASCOPE_PMESII!$D$3:$D$62)-ROW(ASCOPE_PMESII!$D$3)+1)/(ASCOPE_PMESII!$D$3:$D$62="OE"),10-(COUNTIF(ASCOPE_PMESII!$B$3:$B$62,"OE")))),""),IF(10&lt;=(COUNTIF(ASCOPE_PMESII!$B$3:$B$62,"OE")+COUNTIF(ASCOPE_PMESII!$D$3:$D$62,"OE")+COUNTIF(ASCOPE_PMESII!$F$3:$F$62,"OE")),IFERROR(INDEX(ASCOPE_PMESII!$G$3:$G$62,_xlfn.AGGREGATE(15,6,(ROW(ASCOPE_PMESII!$F$3:$F$62)-ROW(ASCOPE_PMESII!$F$3)+1)/(ASCOPE_PMESII!$F$3:$F$62="OE"),10-(COUNTIF(ASCOPE_PMESII!$B$3:$B$62,"OE")+COUNTIF(ASCOPE_PMESII!$D$3:$D$62,"OE")))),""),IF(10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10-(COUNTIF(ASCOPE_PMESII!$B$3:$B$62,"OE")+COUNTIF(ASCOPE_PMESII!$D$3:$D$62,"OE")+COUNTIF(ASCOPE_PMESII!$F$3:$F$62,"OE")))),""),IF(10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10-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10-(COUNTIF(ASCOPE_PMESII!$B$3:$B$62,"OE")+COUNTIF(ASCOPE_PMESII!$D$3:$D$62,"OE")+COUNTIF(ASCOPE_PMESII!$F$3:$F$62,"OE")+COUNTIF(ASCOPE_PMESII!$H$3:$H$62,"OE")+COUNTIF(ASCOPE_PMESII!$J$3:$J$62,"OE")))),"")))))),"")</f>
        <v/>
      </c>
      <c r="B13" s="22" t="str">
        <f t="array" ref="B13">IFERROR(IF(10&lt;=COUNTIF(ASCOPE_PMESII!$B$3:$B$62,"OA"),IFERROR(INDEX(ASCOPE_PMESII!$C$3:$C$62,_xlfn.AGGREGATE(15,6,(ROW(ASCOPE_PMESII!$B$3:$B$62)-ROW(ASCOPE_PMESII!$B$3)+1)/(ASCOPE_PMESII!$B$3:$B$62="OA"),10)),""),IF(10&lt;=(COUNTIF(ASCOPE_PMESII!$B$3:$B$62,"OA")+COUNTIF(ASCOPE_PMESII!$D$3:$D$62,"OA")),IFERROR(INDEX(ASCOPE_PMESII!$E$3:$E$62,_xlfn.AGGREGATE(15,6,(ROW(ASCOPE_PMESII!$D$3:$D$62)-ROW(ASCOPE_PMESII!$D$3)+1)/(ASCOPE_PMESII!$D$3:$D$62="OA"),10-(COUNTIF(ASCOPE_PMESII!$B$3:$B$62,"OA")))),""),IF(10&lt;=(COUNTIF(ASCOPE_PMESII!$B$3:$B$62,"OA")+COUNTIF(ASCOPE_PMESII!$D$3:$D$62,"OA")+COUNTIF(ASCOPE_PMESII!$F$3:$F$62,"OA")),IFERROR(INDEX(ASCOPE_PMESII!$G$3:$G$62,_xlfn.AGGREGATE(15,6,(ROW(ASCOPE_PMESII!$F$3:$F$62)-ROW(ASCOPE_PMESII!$F$3)+1)/(ASCOPE_PMESII!$F$3:$F$62="OA"),10-(COUNTIF(ASCOPE_PMESII!$B$3:$B$62,"OA")+COUNTIF(ASCOPE_PMESII!$D$3:$D$62,"OA")))),""),IF(10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10-(COUNTIF(ASCOPE_PMESII!$B$3:$B$62,"OA")+COUNTIF(ASCOPE_PMESII!$D$3:$D$62,"OA")+COUNTIF(ASCOPE_PMESII!$F$3:$F$62,"OA")))),""),IF(10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10-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10-(COUNTIF(ASCOPE_PMESII!$B$3:$B$62,"OA")+COUNTIF(ASCOPE_PMESII!$D$3:$D$62,"OA")+COUNTIF(ASCOPE_PMESII!$F$3:$F$62,"OA")+COUNTIF(ASCOPE_PMESII!$H$3:$H$62,"OA")+COUNTIF(ASCOPE_PMESII!$J$3:$J$62,"OA")))),"")))))),"")</f>
        <v/>
      </c>
      <c r="C13" s="22" t="str">
        <f t="array" ref="C13">IFERROR(IF(10&lt;=COUNTIF(ASCOPE_PMESII!$B$3:$B$62,"RISK"),IFERROR(INDEX(ASCOPE_PMESII!$C$3:$C$62,_xlfn.AGGREGATE(15,6,(ROW(ASCOPE_PMESII!$B$3:$B$62)-ROW(ASCOPE_PMESII!$B$3)+1)/(ASCOPE_PMESII!$B$3:$B$62="RISK"),10)),""),IF(10&lt;=(COUNTIF(ASCOPE_PMESII!$B$3:$B$62,"RISK")+COUNTIF(ASCOPE_PMESII!$D$3:$D$62,"RISK")),IFERROR(INDEX(ASCOPE_PMESII!$E$3:$E$62,_xlfn.AGGREGATE(15,6,(ROW(ASCOPE_PMESII!$D$3:$D$62)-ROW(ASCOPE_PMESII!$D$3)+1)/(ASCOPE_PMESII!$D$3:$D$62="RISK"),10-(COUNTIF(ASCOPE_PMESII!$B$3:$B$62,"RISK")))),""),IF(10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10-(COUNTIF(ASCOPE_PMESII!$B$3:$B$62,"RISK")+COUNTIF(ASCOPE_PMESII!$D$3:$D$62,"RISK")))),""),IF(10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10-(COUNTIF(ASCOPE_PMESII!$B$3:$B$62,"RISK")+COUNTIF(ASCOPE_PMESII!$D$3:$D$62,"RISK")+COUNTIF(ASCOPE_PMESII!$F$3:$F$62,"RISK")))),""),IF(10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10-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10-(COUNTIF(ASCOPE_PMESII!$B$3:$B$62,"RISK")+COUNTIF(ASCOPE_PMESII!$D$3:$D$62,"RISK")+COUNTIF(ASCOPE_PMESII!$F$3:$F$62,"RISK")+COUNTIF(ASCOPE_PMESII!$H$3:$H$62,"RISK")+COUNTIF(ASCOPE_PMESII!$J$3:$J$62,"RISK")))),"")))))),"")</f>
        <v>Urban destruction becomes IRS proof narrative</v>
      </c>
      <c r="D13" s="22" t="str">
        <f t="array" ref="D13">IFERROR(IF(10&lt;=COUNTIF(ASCOPE_PMESII!$B$3:$B$62,"CV"),IFERROR(INDEX(ASCOPE_PMESII!$C$3:$C$62,_xlfn.AGGREGATE(15,6,(ROW(ASCOPE_PMESII!$B$3:$B$62)-ROW(ASCOPE_PMESII!$B$3)+1)/(ASCOPE_PMESII!$B$3:$B$62="CV"),10)),""),IF(10&lt;=(COUNTIF(ASCOPE_PMESII!$B$3:$B$62,"CV")+COUNTIF(ASCOPE_PMESII!$D$3:$D$62,"CV")),IFERROR(INDEX(ASCOPE_PMESII!$E$3:$E$62,_xlfn.AGGREGATE(15,6,(ROW(ASCOPE_PMESII!$D$3:$D$62)-ROW(ASCOPE_PMESII!$D$3)+1)/(ASCOPE_PMESII!$D$3:$D$62="CV"),10-(COUNTIF(ASCOPE_PMESII!$B$3:$B$62,"CV")))),""),IF(10&lt;=(COUNTIF(ASCOPE_PMESII!$B$3:$B$62,"CV")+COUNTIF(ASCOPE_PMESII!$D$3:$D$62,"CV")+COUNTIF(ASCOPE_PMESII!$F$3:$F$62,"CV")),IFERROR(INDEX(ASCOPE_PMESII!$G$3:$G$62,_xlfn.AGGREGATE(15,6,(ROW(ASCOPE_PMESII!$F$3:$F$62)-ROW(ASCOPE_PMESII!$F$3)+1)/(ASCOPE_PMESII!$F$3:$F$62="CV"),10-(COUNTIF(ASCOPE_PMESII!$B$3:$B$62,"CV")+COUNTIF(ASCOPE_PMESII!$D$3:$D$62,"CV")))),""),IF(10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10-(COUNTIF(ASCOPE_PMESII!$B$3:$B$62,"CV")+COUNTIF(ASCOPE_PMESII!$D$3:$D$62,"CV")+COUNTIF(ASCOPE_PMESII!$F$3:$F$62,"CV")))),""),IF(10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10-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10-(COUNTIF(ASCOPE_PMESII!$B$3:$B$62,"CV")+COUNTIF(ASCOPE_PMESII!$D$3:$D$62,"CV")+COUNTIF(ASCOPE_PMESII!$F$3:$F$62,"CV")+COUNTIF(ASCOPE_PMESII!$H$3:$H$62,"CV")+COUNTIF(ASCOPE_PMESII!$J$3:$J$62,"CV")))),"")))))),"")</f>
        <v>Recognition campaign targets global and regional audiences</v>
      </c>
      <c r="E13" s="22" t="str">
        <f t="array" ref="E13">IFERROR(IF(10&lt;=COUNTIF(ASCOPE_PMESII!$B$3:$B$62,"COR"),IFERROR(INDEX(ASCOPE_PMESII!$C$3:$C$62,_xlfn.AGGREGATE(15,6,(ROW(ASCOPE_PMESII!$B$3:$B$62)-ROW(ASCOPE_PMESII!$B$3)+1)/(ASCOPE_PMESII!$B$3:$B$62="COR"),10)),""),IF(10&lt;=(COUNTIF(ASCOPE_PMESII!$B$3:$B$62,"COR")+COUNTIF(ASCOPE_PMESII!$D$3:$D$62,"COR")),IFERROR(INDEX(ASCOPE_PMESII!$E$3:$E$62,_xlfn.AGGREGATE(15,6,(ROW(ASCOPE_PMESII!$D$3:$D$62)-ROW(ASCOPE_PMESII!$D$3)+1)/(ASCOPE_PMESII!$D$3:$D$62="COR"),10-(COUNTIF(ASCOPE_PMESII!$B$3:$B$62,"COR")))),""),IF(10&lt;=(COUNTIF(ASCOPE_PMESII!$B$3:$B$62,"COR")+COUNTIF(ASCOPE_PMESII!$D$3:$D$62,"COR")+COUNTIF(ASCOPE_PMESII!$F$3:$F$62,"COR")),IFERROR(INDEX(ASCOPE_PMESII!$G$3:$G$62,_xlfn.AGGREGATE(15,6,(ROW(ASCOPE_PMESII!$F$3:$F$62)-ROW(ASCOPE_PMESII!$F$3)+1)/(ASCOPE_PMESII!$F$3:$F$62="COR"),10-(COUNTIF(ASCOPE_PMESII!$B$3:$B$62,"COR")+COUNTIF(ASCOPE_PMESII!$D$3:$D$62,"COR")))),""),IF(10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10-(COUNTIF(ASCOPE_PMESII!$B$3:$B$62,"COR")+COUNTIF(ASCOPE_PMESII!$D$3:$D$62,"COR")+COUNTIF(ASCOPE_PMESII!$F$3:$F$62,"COR")))),""),IF(10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10-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10-(COUNTIF(ASCOPE_PMESII!$B$3:$B$62,"COR")+COUNTIF(ASCOPE_PMESII!$D$3:$D$62,"COR")+COUNTIF(ASCOPE_PMESII!$F$3:$F$62,"COR")+COUNTIF(ASCOPE_PMESII!$H$3:$H$62,"COR")+COUNTIF(ASCOPE_PMESII!$J$3:$J$62,"COR")))),"")))))),"")</f>
        <v>Isolate armed actors before urban clearance</v>
      </c>
      <c r="F13" s="22" t="str">
        <f t="array" ref="F13">IFERROR(IF(10&lt;=COUNTIF(ASCOPE_PMESII!$B$3:$B$62,"REQT"),IFERROR(INDEX(ASCOPE_PMESII!$C$3:$C$62,_xlfn.AGGREGATE(15,6,(ROW(ASCOPE_PMESII!$B$3:$B$62)-ROW(ASCOPE_PMESII!$B$3)+1)/(ASCOPE_PMESII!$B$3:$B$62="REQT"),10)),""),IF(10&lt;=(COUNTIF(ASCOPE_PMESII!$B$3:$B$62,"REQT")+COUNTIF(ASCOPE_PMESII!$D$3:$D$62,"REQT")),IFERROR(INDEX(ASCOPE_PMESII!$E$3:$E$62,_xlfn.AGGREGATE(15,6,(ROW(ASCOPE_PMESII!$D$3:$D$62)-ROW(ASCOPE_PMESII!$D$3)+1)/(ASCOPE_PMESII!$D$3:$D$62="REQT"),10-(COUNTIF(ASCOPE_PMESII!$B$3:$B$62,"REQT")))),""),IF(10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10-(COUNTIF(ASCOPE_PMESII!$B$3:$B$62,"REQT")+COUNTIF(ASCOPE_PMESII!$D$3:$D$62,"REQT")))),""),IF(10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10-(COUNTIF(ASCOPE_PMESII!$B$3:$B$62,"REQT")+COUNTIF(ASCOPE_PMESII!$D$3:$D$62,"REQT")+COUNTIF(ASCOPE_PMESII!$F$3:$F$62,"REQT")))),""),IF(10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10-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10-(COUNTIF(ASCOPE_PMESII!$B$3:$B$62,"REQT")+COUNTIF(ASCOPE_PMESII!$D$3:$D$62,"REQT")+COUNTIF(ASCOPE_PMESII!$F$3:$F$62,"REQT")+COUNTIF(ASCOPE_PMESII!$H$3:$H$62,"REQT")+COUNTIF(ASCOPE_PMESII!$J$3:$J$62,"REQT")))),"")))))),"")</f>
        <v/>
      </c>
      <c r="G13" s="22" t="str">
        <f t="array" ref="G13">IFERROR(IF(10&lt;=COUNTIF(ASCOPE_PMESII!$B$3:$B$62,"REST"),IFERROR(INDEX(ASCOPE_PMESII!$C$3:$C$62,_xlfn.AGGREGATE(15,6,(ROW(ASCOPE_PMESII!$B$3:$B$62)-ROW(ASCOPE_PMESII!$B$3)+1)/(ASCOPE_PMESII!$B$3:$B$62="REST"),10)),""),IF(10&lt;=(COUNTIF(ASCOPE_PMESII!$B$3:$B$62,"REST")+COUNTIF(ASCOPE_PMESII!$D$3:$D$62,"REST")),IFERROR(INDEX(ASCOPE_PMESII!$E$3:$E$62,_xlfn.AGGREGATE(15,6,(ROW(ASCOPE_PMESII!$D$3:$D$62)-ROW(ASCOPE_PMESII!$D$3)+1)/(ASCOPE_PMESII!$D$3:$D$62="REST"),10-(COUNTIF(ASCOPE_PMESII!$B$3:$B$62,"REST")))),""),IF(10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10-(COUNTIF(ASCOPE_PMESII!$B$3:$B$62,"REST")+COUNTIF(ASCOPE_PMESII!$D$3:$D$62,"REST")))),""),IF(10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10-(COUNTIF(ASCOPE_PMESII!$B$3:$B$62,"REST")+COUNTIF(ASCOPE_PMESII!$D$3:$D$62,"REST")+COUNTIF(ASCOPE_PMESII!$F$3:$F$62,"REST")))),""),IF(10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10-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10-(COUNTIF(ASCOPE_PMESII!$B$3:$B$62,"REST")+COUNTIF(ASCOPE_PMESII!$D$3:$D$62,"REST")+COUNTIF(ASCOPE_PMESII!$F$3:$F$62,"REST")+COUNTIF(ASCOPE_PMESII!$H$3:$H$62,"REST")+COUNTIF(ASCOPE_PMESII!$J$3:$J$62,"REST")))),"")))))),"")</f>
        <v/>
      </c>
      <c r="H13" s="22" t="str">
        <f t="array" ref="H13">IFERROR(IF(10&lt;=COUNTIF(ASCOPE_PMESII!$B$3:$B$62,"KCD-MUST"),IFERROR(INDEX(ASCOPE_PMESII!$C$3:$C$62,_xlfn.AGGREGATE(15,6,(ROW(ASCOPE_PMESII!$B$3:$B$62)-ROW(ASCOPE_PMESII!$B$3)+1)/(ASCOPE_PMESII!$B$3:$B$62="KCD-MUST"),10)),""),IF(10&lt;=(COUNTIF(ASCOPE_PMESII!$B$3:$B$62,"KCD-MUST")+COUNTIF(ASCOPE_PMESII!$D$3:$D$62,"KCD-MUST")),IFERROR(INDEX(ASCOPE_PMESII!$E$3:$E$62,_xlfn.AGGREGATE(15,6,(ROW(ASCOPE_PMESII!$D$3:$D$62)-ROW(ASCOPE_PMESII!$D$3)+1)/(ASCOPE_PMESII!$D$3:$D$62="KCD-MUST"),10-(COUNTIF(ASCOPE_PMESII!$B$3:$B$62,"KCD-MUST")))),""),IF(10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10-(COUNTIF(ASCOPE_PMESII!$B$3:$B$62,"KCD-MUST")+COUNTIF(ASCOPE_PMESII!$D$3:$D$62,"KCD-MUST")))),""),IF(10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10-(COUNTIF(ASCOPE_PMESII!$B$3:$B$62,"KCD-MUST")+COUNTIF(ASCOPE_PMESII!$D$3:$D$62,"KCD-MUST")+COUNTIF(ASCOPE_PMESII!$F$3:$F$62,"KCD-MUST")))),""),IF(10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10-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10-(COUNTIF(ASCOPE_PMESII!$B$3:$B$62,"KCD-MUST")+COUNTIF(ASCOPE_PMESII!$D$3:$D$62,"KCD-MUST")+COUNTIF(ASCOPE_PMESII!$F$3:$F$62,"KCD-MUST")+COUNTIF(ASCOPE_PMESII!$H$3:$H$62,"KCD-MUST")+COUNTIF(ASCOPE_PMESII!$J$3:$J$62,"KCD-MUST")))),"")))))),"")</f>
        <v>Use local intermediaries before kinetic action</v>
      </c>
      <c r="I13" s="22" t="str">
        <f t="array" ref="I13">IFERROR(IF(10&lt;=COUNTIF(ASCOPE_PMESII!$B$3:$B$62,"KCD-SHOULD"),IFERROR(INDEX(ASCOPE_PMESII!$C$3:$C$62,_xlfn.AGGREGATE(15,6,(ROW(ASCOPE_PMESII!$B$3:$B$62)-ROW(ASCOPE_PMESII!$B$3)+1)/(ASCOPE_PMESII!$B$3:$B$62="KCD-SHOULD"),10)),""),IF(10&lt;=(COUNTIF(ASCOPE_PMESII!$B$3:$B$62,"KCD-SHOULD")+COUNTIF(ASCOPE_PMESII!$D$3:$D$62,"KCD-SHOULD")),IFERROR(INDEX(ASCOPE_PMESII!$E$3:$E$62,_xlfn.AGGREGATE(15,6,(ROW(ASCOPE_PMESII!$D$3:$D$62)-ROW(ASCOPE_PMESII!$D$3)+1)/(ASCOPE_PMESII!$D$3:$D$62="KCD-SHOULD"),10-(COUNTIF(ASCOPE_PMESII!$B$3:$B$62,"KCD-SHOULD")))),""),IF(10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10-(COUNTIF(ASCOPE_PMESII!$B$3:$B$62,"KCD-SHOULD")+COUNTIF(ASCOPE_PMESII!$D$3:$D$62,"KCD-SHOULD")))),""),IF(10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10-(COUNTIF(ASCOPE_PMESII!$B$3:$B$62,"KCD-SHOULD")+COUNTIF(ASCOPE_PMESII!$D$3:$D$62,"KCD-SHOULD")+COUNTIF(ASCOPE_PMESII!$F$3:$F$62,"KCD-SHOULD")))),""),IF(10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10-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10-(COUNTIF(ASCOPE_PMESII!$B$3:$B$62,"KCD-SHOULD")+COUNTIF(ASCOPE_PMESII!$D$3:$D$62,"KCD-SHOULD")+COUNTIF(ASCOPE_PMESII!$F$3:$F$62,"KCD-SHOULD")+COUNTIF(ASCOPE_PMESII!$H$3:$H$62,"KCD-SHOULD")+COUNTIF(ASCOPE_PMESII!$J$3:$J$62,"KCD-SHOULD")))),"")))))),"")</f>
        <v>Protect civil structures and public services</v>
      </c>
      <c r="J13" s="22" t="str">
        <f t="array" ref="J13">IFERROR(IF(10&lt;=COUNTIF(ASCOPE_PMESII!$B$3:$B$62,"KCD-SHOULD NOT"),IFERROR(INDEX(ASCOPE_PMESII!$C$3:$C$62,_xlfn.AGGREGATE(15,6,(ROW(ASCOPE_PMESII!$B$3:$B$62)-ROW(ASCOPE_PMESII!$B$3)+1)/(ASCOPE_PMESII!$B$3:$B$62="KCD-SHOULD NOT"),10)),""),IF(10&lt;=(COUNTIF(ASCOPE_PMESII!$B$3:$B$62,"KCD-SHOULD NOT")+COUNTIF(ASCOPE_PMESII!$D$3:$D$62,"KCD-SHOULD NOT")),IFERROR(INDEX(ASCOPE_PMESII!$E$3:$E$62,_xlfn.AGGREGATE(15,6,(ROW(ASCOPE_PMESII!$D$3:$D$62)-ROW(ASCOPE_PMESII!$D$3)+1)/(ASCOPE_PMESII!$D$3:$D$62="KCD-SHOULD NOT"),10-(COUNTIF(ASCOPE_PMESII!$B$3:$B$62,"KCD-SHOULD NOT")))),""),IF(10&lt;=(COUNTIF(ASCOPE_PMESII!$B$3:$B$62,"KCD-SHOULD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NOT"),10-(COUNTIF(ASCOPE_PMESII!$B$3:$B$62,"KCD-SHOULD NOT")+COUNTIF(ASCOPE_PMESII!$D$3:$D$62,"KCD-SHOULD NOT")))),""),IF(10&lt;=(COUNTIF(ASCOPE_PMESII!$B$3:$B$62,"KCD-SHOULD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NOT"),10-(COUNTIF(ASCOPE_PMESII!$B$3:$B$62,"KCD-SHOULD NOT")+COUNTIF(ASCOPE_PMESII!$D$3:$D$62,"KCD-SHOULD NOT")+COUNTIF(ASCOPE_PMESII!$F$3:$F$62,"KCD-SHOULD NOT")))),""),IF(10&lt;=(COUNTIF(ASCOPE_PMESII!$B$3:$B$62,"KCD-SHOULD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NOT"),10-(COUNTIF(ASCOPE_PMESII!$B$3:$B$62,"KCD-SHOULD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NOT"),10-(COUNTIF(ASCOPE_PMESII!$B$3:$B$62,"KCD-SHOULD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13" s="22" t="str">
        <f t="array" ref="K13">IFERROR(IF(10&lt;=COUNTIF(ASCOPE_PMESII!$B$3:$B$62,"KCD-CANNOT"),IFERROR(INDEX(ASCOPE_PMESII!$C$3:$C$62,_xlfn.AGGREGATE(15,6,(ROW(ASCOPE_PMESII!$B$3:$B$62)-ROW(ASCOPE_PMESII!$B$3)+1)/(ASCOPE_PMESII!$B$3:$B$62="KCD-CANNOT"),10)),""),IF(10&lt;=(COUNTIF(ASCOPE_PMESII!$B$3:$B$62,"KCD-CANNOT")+COUNTIF(ASCOPE_PMESII!$D$3:$D$62,"KCD-CANNOT")),IFERROR(INDEX(ASCOPE_PMESII!$E$3:$E$62,_xlfn.AGGREGATE(15,6,(ROW(ASCOPE_PMESII!$D$3:$D$62)-ROW(ASCOPE_PMESII!$D$3)+1)/(ASCOPE_PMESII!$D$3:$D$62="KCD-CANNOT"),10-(COUNTIF(ASCOPE_PMESII!$B$3:$B$62,"KCD-CANNOT")))),""),IF(10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10-(COUNTIF(ASCOPE_PMESII!$B$3:$B$62,"KCD-CANNOT")+COUNTIF(ASCOPE_PMESII!$D$3:$D$62,"KCD-CANNOT")))),""),IF(10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10-(COUNTIF(ASCOPE_PMESII!$B$3:$B$62,"KCD-CANNOT")+COUNTIF(ASCOPE_PMESII!$D$3:$D$62,"KCD-CANNOT")+COUNTIF(ASCOPE_PMESII!$F$3:$F$62,"KCD-CANNOT")))),""),IF(10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10-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10-(COUNTIF(ASCOPE_PMESII!$B$3:$B$62,"KCD-CANNOT")+COUNTIF(ASCOPE_PMESII!$D$3:$D$62,"KCD-CANNOT")+COUNTIF(ASCOPE_PMESII!$F$3:$F$62,"KCD-CANNOT")+COUNTIF(ASCOPE_PMESII!$H$3:$H$62,"KCD-CANNOT")+COUNTIF(ASCOPE_PMESII!$J$3:$J$62,"KCD-CANNOT")))),"")))))),"")</f>
        <v>Cannot clear cities without governance follow-through</v>
      </c>
      <c r="L13" s="22" t="str">
        <f t="array" ref="L13">IFERROR(IF(10&lt;=COUNTIF(ASCOPE_PMESII!$B$3:$B$62,"DECISION"),IFERROR(INDEX(ASCOPE_PMESII!$C$3:$C$62,_xlfn.AGGREGATE(15,6,(ROW(ASCOPE_PMESII!$B$3:$B$62)-ROW(ASCOPE_PMESII!$B$3)+1)/(ASCOPE_PMESII!$B$3:$B$62="DECISION"),10)),""),IF(10&lt;=(COUNTIF(ASCOPE_PMESII!$B$3:$B$62,"DECISION")+COUNTIF(ASCOPE_PMESII!$D$3:$D$62,"DECISION")),IFERROR(INDEX(ASCOPE_PMESII!$E$3:$E$62,_xlfn.AGGREGATE(15,6,(ROW(ASCOPE_PMESII!$D$3:$D$62)-ROW(ASCOPE_PMESII!$D$3)+1)/(ASCOPE_PMESII!$D$3:$D$62="DECISION"),10-(COUNTIF(ASCOPE_PMESII!$B$3:$B$62,"DECISION")))),""),IF(10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10-(COUNTIF(ASCOPE_PMESII!$B$3:$B$62,"DECISION")+COUNTIF(ASCOPE_PMESII!$D$3:$D$62,"DECISION")))),""),IF(10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10-(COUNTIF(ASCOPE_PMESII!$B$3:$B$62,"DECISION")+COUNTIF(ASCOPE_PMESII!$D$3:$D$62,"DECISION")+COUNTIF(ASCOPE_PMESII!$F$3:$F$62,"DECISION")))),""),IF(10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10-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10-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13" s="22" t="str">
        <f t="array" ref="M13">IFERROR(IF(10&lt;=COUNTIF(ASCOPE_PMESII!$B$3:$B$62,"ASSUMPTION"),IFERROR(INDEX(ASCOPE_PMESII!$C$3:$C$62,_xlfn.AGGREGATE(15,6,(ROW(ASCOPE_PMESII!$B$3:$B$62)-ROW(ASCOPE_PMESII!$B$3)+1)/(ASCOPE_PMESII!$B$3:$B$62="ASSUMPTION"),10)),""),IF(10&lt;=(COUNTIF(ASCOPE_PMESII!$B$3:$B$62,"ASSUMPTION")+COUNTIF(ASCOPE_PMESII!$D$3:$D$62,"ASSUMPTION")),IFERROR(INDEX(ASCOPE_PMESII!$E$3:$E$62,_xlfn.AGGREGATE(15,6,(ROW(ASCOPE_PMESII!$D$3:$D$62)-ROW(ASCOPE_PMESII!$D$3)+1)/(ASCOPE_PMESII!$D$3:$D$62="ASSUMPTION"),10-(COUNTIF(ASCOPE_PMESII!$B$3:$B$62,"ASSUMPTION")))),""),IF(10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10-(COUNTIF(ASCOPE_PMESII!$B$3:$B$62,"ASSUMPTION")+COUNTIF(ASCOPE_PMESII!$D$3:$D$62,"ASSUMPTION")))),""),IF(10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10-(COUNTIF(ASCOPE_PMESII!$B$3:$B$62,"ASSUMPTION")+COUNTIF(ASCOPE_PMESII!$D$3:$D$62,"ASSUMPTION")+COUNTIF(ASCOPE_PMESII!$F$3:$F$62,"ASSUMPTION")))),""),IF(10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10-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10-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13" s="22" t="str">
        <f t="array" ref="N13">IFERROR(IF(10&lt;=COUNTIF(ASCOPE_PMESII!$B$3:$B$62,"CONSTRAINT"),IFERROR(INDEX(ASCOPE_PMESII!$C$3:$C$62,_xlfn.AGGREGATE(15,6,(ROW(ASCOPE_PMESII!$B$3:$B$62)-ROW(ASCOPE_PMESII!$B$3)+1)/(ASCOPE_PMESII!$B$3:$B$62="CONSTRAINT"),10)),""),IF(10&lt;=(COUNTIF(ASCOPE_PMESII!$B$3:$B$62,"CONSTRAINT")+COUNTIF(ASCOPE_PMESII!$D$3:$D$62,"CONSTRAINT")),IFERROR(INDEX(ASCOPE_PMESII!$E$3:$E$62,_xlfn.AGGREGATE(15,6,(ROW(ASCOPE_PMESII!$D$3:$D$62)-ROW(ASCOPE_PMESII!$D$3)+1)/(ASCOPE_PMESII!$D$3:$D$62="CONSTRAINT"),10-(COUNTIF(ASCOPE_PMESII!$B$3:$B$62,"CONSTRAINT")))),""),IF(10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10-(COUNTIF(ASCOPE_PMESII!$B$3:$B$62,"CONSTRAINT")+COUNTIF(ASCOPE_PMESII!$D$3:$D$62,"CONSTRAINT")))),""),IF(10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10-(COUNTIF(ASCOPE_PMESII!$B$3:$B$62,"CONSTRAINT")+COUNTIF(ASCOPE_PMESII!$D$3:$D$62,"CONSTRAINT")+COUNTIF(ASCOPE_PMESII!$F$3:$F$62,"CONSTRAINT")))),""),IF(10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10-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10-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13" s="22" t="str">
        <f t="array" ref="O13">IFERROR(IF(10&lt;=COUNTIF(ASCOPE_PMESII!$B$3:$B$62,"LIMITATION"),IFERROR(INDEX(ASCOPE_PMESII!$C$3:$C$62,_xlfn.AGGREGATE(15,6,(ROW(ASCOPE_PMESII!$B$3:$B$62)-ROW(ASCOPE_PMESII!$B$3)+1)/(ASCOPE_PMESII!$B$3:$B$62="LIMITATION"),10)),""),IF(10&lt;=(COUNTIF(ASCOPE_PMESII!$B$3:$B$62,"LIMITATION")+COUNTIF(ASCOPE_PMESII!$D$3:$D$62,"LIMITATION")),IFERROR(INDEX(ASCOPE_PMESII!$E$3:$E$62,_xlfn.AGGREGATE(15,6,(ROW(ASCOPE_PMESII!$D$3:$D$62)-ROW(ASCOPE_PMESII!$D$3)+1)/(ASCOPE_PMESII!$D$3:$D$62="LIMITATION"),10-(COUNTIF(ASCOPE_PMESII!$B$3:$B$62,"LIMITATION")))),""),IF(10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10-(COUNTIF(ASCOPE_PMESII!$B$3:$B$62,"LIMITATION")+COUNTIF(ASCOPE_PMESII!$D$3:$D$62,"LIMITATION")))),""),IF(10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10-(COUNTIF(ASCOPE_PMESII!$B$3:$B$62,"LIMITATION")+COUNTIF(ASCOPE_PMESII!$D$3:$D$62,"LIMITATION")+COUNTIF(ASCOPE_PMESII!$F$3:$F$62,"LIMITATION")))),""),IF(10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10-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10-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13" s="22" t="str">
        <f t="array" ref="P13">IFERROR(IF(10&lt;=COUNTIF(ASCOPE_PMESII!$B$3:$B$62,"CC"),IFERROR(INDEX(ASCOPE_PMESII!$C$3:$C$62,_xlfn.AGGREGATE(15,6,(ROW(ASCOPE_PMESII!$B$3:$B$62)-ROW(ASCOPE_PMESII!$B$3)+1)/(ASCOPE_PMESII!$B$3:$B$62="CC"),10)),""),IF(10&lt;=(COUNTIF(ASCOPE_PMESII!$B$3:$B$62,"CC")+COUNTIF(ASCOPE_PMESII!$D$3:$D$62,"CC")),IFERROR(INDEX(ASCOPE_PMESII!$E$3:$E$62,_xlfn.AGGREGATE(15,6,(ROW(ASCOPE_PMESII!$D$3:$D$62)-ROW(ASCOPE_PMESII!$D$3)+1)/(ASCOPE_PMESII!$D$3:$D$62="CC"),10-(COUNTIF(ASCOPE_PMESII!$B$3:$B$62,"CC")))),""),IF(10&lt;=(COUNTIF(ASCOPE_PMESII!$B$3:$B$62,"CC")+COUNTIF(ASCOPE_PMESII!$D$3:$D$62,"CC")+COUNTIF(ASCOPE_PMESII!$F$3:$F$62,"CC")),IFERROR(INDEX(ASCOPE_PMESII!$G$3:$G$62,_xlfn.AGGREGATE(15,6,(ROW(ASCOPE_PMESII!$F$3:$F$62)-ROW(ASCOPE_PMESII!$F$3)+1)/(ASCOPE_PMESII!$F$3:$F$62="CC"),10-(COUNTIF(ASCOPE_PMESII!$B$3:$B$62,"CC")+COUNTIF(ASCOPE_PMESII!$D$3:$D$62,"CC")))),""),IF(10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10-(COUNTIF(ASCOPE_PMESII!$B$3:$B$62,"CC")+COUNTIF(ASCOPE_PMESII!$D$3:$D$62,"CC")+COUNTIF(ASCOPE_PMESII!$F$3:$F$62,"CC")))),""),IF(10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10-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10-(COUNTIF(ASCOPE_PMESII!$B$3:$B$62,"CC")+COUNTIF(ASCOPE_PMESII!$D$3:$D$62,"CC")+COUNTIF(ASCOPE_PMESII!$F$3:$F$62,"CC")+COUNTIF(ASCOPE_PMESII!$H$3:$H$62,"CC")+COUNTIF(ASCOPE_PMESII!$J$3:$J$62,"CC")))),"")))))),"")</f>
        <v>IRS holds air bases, naval bases and CDCM sites</v>
      </c>
      <c r="Q13" s="22" t="str">
        <f t="array" ref="Q13">IFERROR(IF(10&lt;=COUNTIF(ASCOPE_PMESII!$B$3:$B$62,"CR"),IFERROR(INDEX(ASCOPE_PMESII!$C$3:$C$62,_xlfn.AGGREGATE(15,6,(ROW(ASCOPE_PMESII!$B$3:$B$62)-ROW(ASCOPE_PMESII!$B$3)+1)/(ASCOPE_PMESII!$B$3:$B$62="CR"),10)),""),IF(10&lt;=(COUNTIF(ASCOPE_PMESII!$B$3:$B$62,"CR")+COUNTIF(ASCOPE_PMESII!$D$3:$D$62,"CR")),IFERROR(INDEX(ASCOPE_PMESII!$E$3:$E$62,_xlfn.AGGREGATE(15,6,(ROW(ASCOPE_PMESII!$D$3:$D$62)-ROW(ASCOPE_PMESII!$D$3)+1)/(ASCOPE_PMESII!$D$3:$D$62="CR"),10-(COUNTIF(ASCOPE_PMESII!$B$3:$B$62,"CR")))),""),IF(10&lt;=(COUNTIF(ASCOPE_PMESII!$B$3:$B$62,"CR")+COUNTIF(ASCOPE_PMESII!$D$3:$D$62,"CR")+COUNTIF(ASCOPE_PMESII!$F$3:$F$62,"CR")),IFERROR(INDEX(ASCOPE_PMESII!$G$3:$G$62,_xlfn.AGGREGATE(15,6,(ROW(ASCOPE_PMESII!$F$3:$F$62)-ROW(ASCOPE_PMESII!$F$3)+1)/(ASCOPE_PMESII!$F$3:$F$62="CR"),10-(COUNTIF(ASCOPE_PMESII!$B$3:$B$62,"CR")+COUNTIF(ASCOPE_PMESII!$D$3:$D$62,"CR")))),""),IF(10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10-(COUNTIF(ASCOPE_PMESII!$B$3:$B$62,"CR")+COUNTIF(ASCOPE_PMESII!$D$3:$D$62,"CR")+COUNTIF(ASCOPE_PMESII!$F$3:$F$62,"CR")))),""),IF(10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10-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10-(COUNTIF(ASCOPE_PMESII!$B$3:$B$62,"CR")+COUNTIF(ASCOPE_PMESII!$D$3:$D$62,"CR")+COUNTIF(ASCOPE_PMESII!$F$3:$F$62,"CR")+COUNTIF(ASCOPE_PMESII!$H$3:$H$62,"CR")+COUNTIF(ASCOPE_PMESII!$J$3:$J$62,"CR")))),"")))))),"")</f>
        <v>Police, civil admin and humanitarian access required</v>
      </c>
      <c r="R13" s="95" t="str">
        <f t="array" ref="R13">IFERROR(IF(10&lt;=COUNTIF(ASCOPE_PMESII!$B$3:$B$62,"PCS"),IFERROR(INDEX(ASCOPE_PMESII!$C$3:$C$62,_xlfn.AGGREGATE(15,6,(ROW(ASCOPE_PMESII!$B$3:$B$62)-ROW(ASCOPE_PMESII!$B$3)+1)/(ASCOPE_PMESII!$B$3:$B$62="PCS"),10)),""),IF(10&lt;=(COUNTIF(ASCOPE_PMESII!$B$3:$B$62,"PCS")+COUNTIF(ASCOPE_PMESII!$D$3:$D$62,"PCS")),IFERROR(INDEX(ASCOPE_PMESII!$E$3:$E$62,_xlfn.AGGREGATE(15,6,(ROW(ASCOPE_PMESII!$D$3:$D$62)-ROW(ASCOPE_PMESII!$D$3)+1)/(ASCOPE_PMESII!$D$3:$D$62="PCS"),10-(COUNTIF(ASCOPE_PMESII!$B$3:$B$62,"PCS")))),""),IF(10&lt;=(COUNTIF(ASCOPE_PMESII!$B$3:$B$62,"PCS")+COUNTIF(ASCOPE_PMESII!$D$3:$D$62,"PCS")+COUNTIF(ASCOPE_PMESII!$F$3:$F$62,"PCS")),IFERROR(INDEX(ASCOPE_PMESII!$G$3:$G$62,_xlfn.AGGREGATE(15,6,(ROW(ASCOPE_PMESII!$F$3:$F$62)-ROW(ASCOPE_PMESII!$F$3)+1)/(ASCOPE_PMESII!$F$3:$F$62="PCS"),10-(COUNTIF(ASCOPE_PMESII!$B$3:$B$62,"PCS")+COUNTIF(ASCOPE_PMESII!$D$3:$D$62,"PCS")))),""),IF(10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10-(COUNTIF(ASCOPE_PMESII!$B$3:$B$62,"PCS")+COUNTIF(ASCOPE_PMESII!$D$3:$D$62,"PCS")+COUNTIF(ASCOPE_PMESII!$F$3:$F$62,"PCS")))),""),IF(10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10-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10-(COUNTIF(ASCOPE_PMESII!$B$3:$B$62,"PCS")+COUNTIF(ASCOPE_PMESII!$D$3:$D$62,"PCS")+COUNTIF(ASCOPE_PMESII!$F$3:$F$62,"PCS")+COUNTIF(ASCOPE_PMESII!$H$3:$H$62,"PCS")+COUNTIF(ASCOPE_PMESII!$J$3:$J$62,"PCS")))),"")))))),"")</f>
        <v/>
      </c>
    </row>
    <row r="14" spans="1:18" ht="34.5" customHeight="1">
      <c r="A14" s="21" t="str">
        <f t="array" ref="A14">IFERROR(IF(11&lt;=COUNTIF(ASCOPE_PMESII!$B$3:$B$62,"OE"),IFERROR(INDEX(ASCOPE_PMESII!$C$3:$C$62,_xlfn.AGGREGATE(15,6,(ROW(ASCOPE_PMESII!$B$3:$B$62)-ROW(ASCOPE_PMESII!$B$3)+1)/(ASCOPE_PMESII!$B$3:$B$62="OE"),11)),""),IF(11&lt;=(COUNTIF(ASCOPE_PMESII!$B$3:$B$62,"OE")+COUNTIF(ASCOPE_PMESII!$D$3:$D$62,"OE")),IFERROR(INDEX(ASCOPE_PMESII!$E$3:$E$62,_xlfn.AGGREGATE(15,6,(ROW(ASCOPE_PMESII!$D$3:$D$62)-ROW(ASCOPE_PMESII!$D$3)+1)/(ASCOPE_PMESII!$D$3:$D$62="OE"),11-(COUNTIF(ASCOPE_PMESII!$B$3:$B$62,"OE")))),""),IF(11&lt;=(COUNTIF(ASCOPE_PMESII!$B$3:$B$62,"OE")+COUNTIF(ASCOPE_PMESII!$D$3:$D$62,"OE")+COUNTIF(ASCOPE_PMESII!$F$3:$F$62,"OE")),IFERROR(INDEX(ASCOPE_PMESII!$G$3:$G$62,_xlfn.AGGREGATE(15,6,(ROW(ASCOPE_PMESII!$F$3:$F$62)-ROW(ASCOPE_PMESII!$F$3)+1)/(ASCOPE_PMESII!$F$3:$F$62="OE"),11-(COUNTIF(ASCOPE_PMESII!$B$3:$B$62,"OE")+COUNTIF(ASCOPE_PMESII!$D$3:$D$62,"OE")))),""),IF(11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11-(COUNTIF(ASCOPE_PMESII!$B$3:$B$62,"OE")+COUNTIF(ASCOPE_PMESII!$D$3:$D$62,"OE")+COUNTIF(ASCOPE_PMESII!$F$3:$F$62,"OE")))),""),IF(11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11-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11-(COUNTIF(ASCOPE_PMESII!$B$3:$B$62,"OE")+COUNTIF(ASCOPE_PMESII!$D$3:$D$62,"OE")+COUNTIF(ASCOPE_PMESII!$F$3:$F$62,"OE")+COUNTIF(ASCOPE_PMESII!$H$3:$H$62,"OE")+COUNTIF(ASCOPE_PMESII!$J$3:$J$62,"OE")))),"")))))),"")</f>
        <v/>
      </c>
      <c r="B14" s="21" t="str">
        <f t="array" ref="B14">IFERROR(IF(11&lt;=COUNTIF(ASCOPE_PMESII!$B$3:$B$62,"OA"),IFERROR(INDEX(ASCOPE_PMESII!$C$3:$C$62,_xlfn.AGGREGATE(15,6,(ROW(ASCOPE_PMESII!$B$3:$B$62)-ROW(ASCOPE_PMESII!$B$3)+1)/(ASCOPE_PMESII!$B$3:$B$62="OA"),11)),""),IF(11&lt;=(COUNTIF(ASCOPE_PMESII!$B$3:$B$62,"OA")+COUNTIF(ASCOPE_PMESII!$D$3:$D$62,"OA")),IFERROR(INDEX(ASCOPE_PMESII!$E$3:$E$62,_xlfn.AGGREGATE(15,6,(ROW(ASCOPE_PMESII!$D$3:$D$62)-ROW(ASCOPE_PMESII!$D$3)+1)/(ASCOPE_PMESII!$D$3:$D$62="OA"),11-(COUNTIF(ASCOPE_PMESII!$B$3:$B$62,"OA")))),""),IF(11&lt;=(COUNTIF(ASCOPE_PMESII!$B$3:$B$62,"OA")+COUNTIF(ASCOPE_PMESII!$D$3:$D$62,"OA")+COUNTIF(ASCOPE_PMESII!$F$3:$F$62,"OA")),IFERROR(INDEX(ASCOPE_PMESII!$G$3:$G$62,_xlfn.AGGREGATE(15,6,(ROW(ASCOPE_PMESII!$F$3:$F$62)-ROW(ASCOPE_PMESII!$F$3)+1)/(ASCOPE_PMESII!$F$3:$F$62="OA"),11-(COUNTIF(ASCOPE_PMESII!$B$3:$B$62,"OA")+COUNTIF(ASCOPE_PMESII!$D$3:$D$62,"OA")))),""),IF(11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11-(COUNTIF(ASCOPE_PMESII!$B$3:$B$62,"OA")+COUNTIF(ASCOPE_PMESII!$D$3:$D$62,"OA")+COUNTIF(ASCOPE_PMESII!$F$3:$F$62,"OA")))),""),IF(11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11-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11-(COUNTIF(ASCOPE_PMESII!$B$3:$B$62,"OA")+COUNTIF(ASCOPE_PMESII!$D$3:$D$62,"OA")+COUNTIF(ASCOPE_PMESII!$F$3:$F$62,"OA")+COUNTIF(ASCOPE_PMESII!$H$3:$H$62,"OA")+COUNTIF(ASCOPE_PMESII!$J$3:$J$62,"OA")))),"")))))),"")</f>
        <v/>
      </c>
      <c r="C14" s="21" t="str">
        <f t="array" ref="C14">IFERROR(IF(11&lt;=COUNTIF(ASCOPE_PMESII!$B$3:$B$62,"RISK"),IFERROR(INDEX(ASCOPE_PMESII!$C$3:$C$62,_xlfn.AGGREGATE(15,6,(ROW(ASCOPE_PMESII!$B$3:$B$62)-ROW(ASCOPE_PMESII!$B$3)+1)/(ASCOPE_PMESII!$B$3:$B$62="RISK"),11)),""),IF(11&lt;=(COUNTIF(ASCOPE_PMESII!$B$3:$B$62,"RISK")+COUNTIF(ASCOPE_PMESII!$D$3:$D$62,"RISK")),IFERROR(INDEX(ASCOPE_PMESII!$E$3:$E$62,_xlfn.AGGREGATE(15,6,(ROW(ASCOPE_PMESII!$D$3:$D$62)-ROW(ASCOPE_PMESII!$D$3)+1)/(ASCOPE_PMESII!$D$3:$D$62="RISK"),11-(COUNTIF(ASCOPE_PMESII!$B$3:$B$62,"RISK")))),""),IF(11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11-(COUNTIF(ASCOPE_PMESII!$B$3:$B$62,"RISK")+COUNTIF(ASCOPE_PMESII!$D$3:$D$62,"RISK")))),""),IF(11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11-(COUNTIF(ASCOPE_PMESII!$B$3:$B$62,"RISK")+COUNTIF(ASCOPE_PMESII!$D$3:$D$62,"RISK")+COUNTIF(ASCOPE_PMESII!$F$3:$F$62,"RISK")))),""),IF(11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11-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11-(COUNTIF(ASCOPE_PMESII!$B$3:$B$62,"RISK")+COUNTIF(ASCOPE_PMESII!$D$3:$D$62,"RISK")+COUNTIF(ASCOPE_PMESII!$F$3:$F$62,"RISK")+COUNTIF(ASCOPE_PMESII!$H$3:$H$62,"RISK")+COUNTIF(ASCOPE_PMESII!$J$3:$J$62,"RISK")))),"")))))),"")</f>
        <v>Captured port under fire becomes liability</v>
      </c>
      <c r="D14" s="21" t="str">
        <f t="array" ref="D14">IFERROR(IF(11&lt;=COUNTIF(ASCOPE_PMESII!$B$3:$B$62,"CV"),IFERROR(INDEX(ASCOPE_PMESII!$C$3:$C$62,_xlfn.AGGREGATE(15,6,(ROW(ASCOPE_PMESII!$B$3:$B$62)-ROW(ASCOPE_PMESII!$B$3)+1)/(ASCOPE_PMESII!$B$3:$B$62="CV"),11)),""),IF(11&lt;=(COUNTIF(ASCOPE_PMESII!$B$3:$B$62,"CV")+COUNTIF(ASCOPE_PMESII!$D$3:$D$62,"CV")),IFERROR(INDEX(ASCOPE_PMESII!$E$3:$E$62,_xlfn.AGGREGATE(15,6,(ROW(ASCOPE_PMESII!$D$3:$D$62)-ROW(ASCOPE_PMESII!$D$3)+1)/(ASCOPE_PMESII!$D$3:$D$62="CV"),11-(COUNTIF(ASCOPE_PMESII!$B$3:$B$62,"CV")))),""),IF(11&lt;=(COUNTIF(ASCOPE_PMESII!$B$3:$B$62,"CV")+COUNTIF(ASCOPE_PMESII!$D$3:$D$62,"CV")+COUNTIF(ASCOPE_PMESII!$F$3:$F$62,"CV")),IFERROR(INDEX(ASCOPE_PMESII!$G$3:$G$62,_xlfn.AGGREGATE(15,6,(ROW(ASCOPE_PMESII!$F$3:$F$62)-ROW(ASCOPE_PMESII!$F$3)+1)/(ASCOPE_PMESII!$F$3:$F$62="CV"),11-(COUNTIF(ASCOPE_PMESII!$B$3:$B$62,"CV")+COUNTIF(ASCOPE_PMESII!$D$3:$D$62,"CV")))),""),IF(11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11-(COUNTIF(ASCOPE_PMESII!$B$3:$B$62,"CV")+COUNTIF(ASCOPE_PMESII!$D$3:$D$62,"CV")+COUNTIF(ASCOPE_PMESII!$F$3:$F$62,"CV")))),""),IF(11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11-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11-(COUNTIF(ASCOPE_PMESII!$B$3:$B$62,"CV")+COUNTIF(ASCOPE_PMESII!$D$3:$D$62,"CV")+COUNTIF(ASCOPE_PMESII!$F$3:$F$62,"CV")+COUNTIF(ASCOPE_PMESII!$H$3:$H$62,"CV")+COUNTIF(ASCOPE_PMESII!$J$3:$J$62,"CV")))),"")))))),"")</f>
        <v>MEDAN control gives IRS state-like appearance</v>
      </c>
      <c r="E14" s="21" t="str">
        <f t="array" ref="E14">IFERROR(IF(11&lt;=COUNTIF(ASCOPE_PMESII!$B$3:$B$62,"COR"),IFERROR(INDEX(ASCOPE_PMESII!$C$3:$C$62,_xlfn.AGGREGATE(15,6,(ROW(ASCOPE_PMESII!$B$3:$B$62)-ROW(ASCOPE_PMESII!$B$3)+1)/(ASCOPE_PMESII!$B$3:$B$62="COR"),11)),""),IF(11&lt;=(COUNTIF(ASCOPE_PMESII!$B$3:$B$62,"COR")+COUNTIF(ASCOPE_PMESII!$D$3:$D$62,"COR")),IFERROR(INDEX(ASCOPE_PMESII!$E$3:$E$62,_xlfn.AGGREGATE(15,6,(ROW(ASCOPE_PMESII!$D$3:$D$62)-ROW(ASCOPE_PMESII!$D$3)+1)/(ASCOPE_PMESII!$D$3:$D$62="COR"),11-(COUNTIF(ASCOPE_PMESII!$B$3:$B$62,"COR")))),""),IF(11&lt;=(COUNTIF(ASCOPE_PMESII!$B$3:$B$62,"COR")+COUNTIF(ASCOPE_PMESII!$D$3:$D$62,"COR")+COUNTIF(ASCOPE_PMESII!$F$3:$F$62,"COR")),IFERROR(INDEX(ASCOPE_PMESII!$G$3:$G$62,_xlfn.AGGREGATE(15,6,(ROW(ASCOPE_PMESII!$F$3:$F$62)-ROW(ASCOPE_PMESII!$F$3)+1)/(ASCOPE_PMESII!$F$3:$F$62="COR"),11-(COUNTIF(ASCOPE_PMESII!$B$3:$B$62,"COR")+COUNTIF(ASCOPE_PMESII!$D$3:$D$62,"COR")))),""),IF(11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11-(COUNTIF(ASCOPE_PMESII!$B$3:$B$62,"COR")+COUNTIF(ASCOPE_PMESII!$D$3:$D$62,"COR")+COUNTIF(ASCOPE_PMESII!$F$3:$F$62,"COR")))),""),IF(11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11-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11-(COUNTIF(ASCOPE_PMESII!$B$3:$B$62,"COR")+COUNTIF(ASCOPE_PMESII!$D$3:$D$62,"COR")+COUNTIF(ASCOPE_PMESII!$F$3:$F$62,"COR")+COUNTIF(ASCOPE_PMESII!$H$3:$H$62,"COR")+COUNTIF(ASCOPE_PMESII!$J$3:$J$62,"COR")))),"")))))),"")</f>
        <v>Secure XPOD/APOD and onward MSR together</v>
      </c>
      <c r="F14" s="21" t="str">
        <f t="array" ref="F14">IFERROR(IF(11&lt;=COUNTIF(ASCOPE_PMESII!$B$3:$B$62,"REQT"),IFERROR(INDEX(ASCOPE_PMESII!$C$3:$C$62,_xlfn.AGGREGATE(15,6,(ROW(ASCOPE_PMESII!$B$3:$B$62)-ROW(ASCOPE_PMESII!$B$3)+1)/(ASCOPE_PMESII!$B$3:$B$62="REQT"),11)),""),IF(11&lt;=(COUNTIF(ASCOPE_PMESII!$B$3:$B$62,"REQT")+COUNTIF(ASCOPE_PMESII!$D$3:$D$62,"REQT")),IFERROR(INDEX(ASCOPE_PMESII!$E$3:$E$62,_xlfn.AGGREGATE(15,6,(ROW(ASCOPE_PMESII!$D$3:$D$62)-ROW(ASCOPE_PMESII!$D$3)+1)/(ASCOPE_PMESII!$D$3:$D$62="REQT"),11-(COUNTIF(ASCOPE_PMESII!$B$3:$B$62,"REQT")))),""),IF(11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11-(COUNTIF(ASCOPE_PMESII!$B$3:$B$62,"REQT")+COUNTIF(ASCOPE_PMESII!$D$3:$D$62,"REQT")))),""),IF(11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11-(COUNTIF(ASCOPE_PMESII!$B$3:$B$62,"REQT")+COUNTIF(ASCOPE_PMESII!$D$3:$D$62,"REQT")+COUNTIF(ASCOPE_PMESII!$F$3:$F$62,"REQT")))),""),IF(11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11-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11-(COUNTIF(ASCOPE_PMESII!$B$3:$B$62,"REQT")+COUNTIF(ASCOPE_PMESII!$D$3:$D$62,"REQT")+COUNTIF(ASCOPE_PMESII!$F$3:$F$62,"REQT")+COUNTIF(ASCOPE_PMESII!$H$3:$H$62,"REQT")+COUNTIF(ASCOPE_PMESII!$J$3:$J$62,"REQT")))),"")))))),"")</f>
        <v/>
      </c>
      <c r="G14" s="21" t="str">
        <f t="array" ref="G14">IFERROR(IF(11&lt;=COUNTIF(ASCOPE_PMESII!$B$3:$B$62,"REST"),IFERROR(INDEX(ASCOPE_PMESII!$C$3:$C$62,_xlfn.AGGREGATE(15,6,(ROW(ASCOPE_PMESII!$B$3:$B$62)-ROW(ASCOPE_PMESII!$B$3)+1)/(ASCOPE_PMESII!$B$3:$B$62="REST"),11)),""),IF(11&lt;=(COUNTIF(ASCOPE_PMESII!$B$3:$B$62,"REST")+COUNTIF(ASCOPE_PMESII!$D$3:$D$62,"REST")),IFERROR(INDEX(ASCOPE_PMESII!$E$3:$E$62,_xlfn.AGGREGATE(15,6,(ROW(ASCOPE_PMESII!$D$3:$D$62)-ROW(ASCOPE_PMESII!$D$3)+1)/(ASCOPE_PMESII!$D$3:$D$62="REST"),11-(COUNTIF(ASCOPE_PMESII!$B$3:$B$62,"REST")))),""),IF(11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11-(COUNTIF(ASCOPE_PMESII!$B$3:$B$62,"REST")+COUNTIF(ASCOPE_PMESII!$D$3:$D$62,"REST")))),""),IF(11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11-(COUNTIF(ASCOPE_PMESII!$B$3:$B$62,"REST")+COUNTIF(ASCOPE_PMESII!$D$3:$D$62,"REST")+COUNTIF(ASCOPE_PMESII!$F$3:$F$62,"REST")))),""),IF(11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11-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11-(COUNTIF(ASCOPE_PMESII!$B$3:$B$62,"REST")+COUNTIF(ASCOPE_PMESII!$D$3:$D$62,"REST")+COUNTIF(ASCOPE_PMESII!$F$3:$F$62,"REST")+COUNTIF(ASCOPE_PMESII!$H$3:$H$62,"REST")+COUNTIF(ASCOPE_PMESII!$J$3:$J$62,"REST")))),"")))))),"")</f>
        <v/>
      </c>
      <c r="H14" s="21" t="str">
        <f t="array" ref="H14">IFERROR(IF(11&lt;=COUNTIF(ASCOPE_PMESII!$B$3:$B$62,"KCD-MUST"),IFERROR(INDEX(ASCOPE_PMESII!$C$3:$C$62,_xlfn.AGGREGATE(15,6,(ROW(ASCOPE_PMESII!$B$3:$B$62)-ROW(ASCOPE_PMESII!$B$3)+1)/(ASCOPE_PMESII!$B$3:$B$62="KCD-MUST"),11)),""),IF(11&lt;=(COUNTIF(ASCOPE_PMESII!$B$3:$B$62,"KCD-MUST")+COUNTIF(ASCOPE_PMESII!$D$3:$D$62,"KCD-MUST")),IFERROR(INDEX(ASCOPE_PMESII!$E$3:$E$62,_xlfn.AGGREGATE(15,6,(ROW(ASCOPE_PMESII!$D$3:$D$62)-ROW(ASCOPE_PMESII!$D$3)+1)/(ASCOPE_PMESII!$D$3:$D$62="KCD-MUST"),11-(COUNTIF(ASCOPE_PMESII!$B$3:$B$62,"KCD-MUST")))),""),IF(11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11-(COUNTIF(ASCOPE_PMESII!$B$3:$B$62,"KCD-MUST")+COUNTIF(ASCOPE_PMESII!$D$3:$D$62,"KCD-MUST")))),""),IF(11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11-(COUNTIF(ASCOPE_PMESII!$B$3:$B$62,"KCD-MUST")+COUNTIF(ASCOPE_PMESII!$D$3:$D$62,"KCD-MUST")+COUNTIF(ASCOPE_PMESII!$F$3:$F$62,"KCD-MUST")))),""),IF(11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11-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11-(COUNTIF(ASCOPE_PMESII!$B$3:$B$62,"KCD-MUST")+COUNTIF(ASCOPE_PMESII!$D$3:$D$62,"KCD-MUST")+COUNTIF(ASCOPE_PMESII!$F$3:$F$62,"KCD-MUST")+COUNTIF(ASCOPE_PMESII!$H$3:$H$62,"KCD-MUST")+COUNTIF(ASCOPE_PMESII!$J$3:$J$62,"KCD-MUST")))),"")))))),"")</f>
        <v>Integrate port seizure with counter-A2/AD</v>
      </c>
      <c r="I14" s="21" t="str">
        <f t="array" ref="I14">IFERROR(IF(11&lt;=COUNTIF(ASCOPE_PMESII!$B$3:$B$62,"KCD-SHOULD"),IFERROR(INDEX(ASCOPE_PMESII!$C$3:$C$62,_xlfn.AGGREGATE(15,6,(ROW(ASCOPE_PMESII!$B$3:$B$62)-ROW(ASCOPE_PMESII!$B$3)+1)/(ASCOPE_PMESII!$B$3:$B$62="KCD-SHOULD"),11)),""),IF(11&lt;=(COUNTIF(ASCOPE_PMESII!$B$3:$B$62,"KCD-SHOULD")+COUNTIF(ASCOPE_PMESII!$D$3:$D$62,"KCD-SHOULD")),IFERROR(INDEX(ASCOPE_PMESII!$E$3:$E$62,_xlfn.AGGREGATE(15,6,(ROW(ASCOPE_PMESII!$D$3:$D$62)-ROW(ASCOPE_PMESII!$D$3)+1)/(ASCOPE_PMESII!$D$3:$D$62="KCD-SHOULD"),11-(COUNTIF(ASCOPE_PMESII!$B$3:$B$62,"KCD-SHOULD")))),""),IF(11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11-(COUNTIF(ASCOPE_PMESII!$B$3:$B$62,"KCD-SHOULD")+COUNTIF(ASCOPE_PMESII!$D$3:$D$62,"KCD-SHOULD")))),""),IF(11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11-(COUNTIF(ASCOPE_PMESII!$B$3:$B$62,"KCD-SHOULD")+COUNTIF(ASCOPE_PMESII!$D$3:$D$62,"KCD-SHOULD")+COUNTIF(ASCOPE_PMESII!$F$3:$F$62,"KCD-SHOULD")))),""),IF(11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11-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11-(COUNTIF(ASCOPE_PMESII!$B$3:$B$62,"KCD-SHOULD")+COUNTIF(ASCOPE_PMESII!$D$3:$D$62,"KCD-SHOULD")+COUNTIF(ASCOPE_PMESII!$F$3:$F$62,"KCD-SHOULD")+COUNTIF(ASCOPE_PMESII!$H$3:$H$62,"KCD-SHOULD")+COUNTIF(ASCOPE_PMESII!$J$3:$J$62,"KCD-SHOULD")))),"")))))),"")</f>
        <v>Create redundancy through Malaysia/Singapore staging</v>
      </c>
      <c r="J14" s="21" t="str">
        <f t="array" ref="J14">IFERROR(IF(11&lt;=COUNTIF(ASCOPE_PMESII!$B$3:$B$62,"KCD-SHOULD NOT"),IFERROR(INDEX(ASCOPE_PMESII!$C$3:$C$62,_xlfn.AGGREGATE(15,6,(ROW(ASCOPE_PMESII!$B$3:$B$62)-ROW(ASCOPE_PMESII!$B$3)+1)/(ASCOPE_PMESII!$B$3:$B$62="KCD-SHOULD NOT"),11)),""),IF(11&lt;=(COUNTIF(ASCOPE_PMESII!$B$3:$B$62,"KCD-SHOULD NOT")+COUNTIF(ASCOPE_PMESII!$D$3:$D$62,"KCD-SHOULD NOT")),IFERROR(INDEX(ASCOPE_PMESII!$E$3:$E$62,_xlfn.AGGREGATE(15,6,(ROW(ASCOPE_PMESII!$D$3:$D$62)-ROW(ASCOPE_PMESII!$D$3)+1)/(ASCOPE_PMESII!$D$3:$D$62="KCD-SHOULD NOT"),11-(COUNTIF(ASCOPE_PMESII!$B$3:$B$62,"KCD-SHOULD NOT")))),""),IF(11&lt;=(COUNTIF(ASCOPE_PMESII!$B$3:$B$62,"KCD-SHOULD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NOT"),11-(COUNTIF(ASCOPE_PMESII!$B$3:$B$62,"KCD-SHOULD NOT")+COUNTIF(ASCOPE_PMESII!$D$3:$D$62,"KCD-SHOULD NOT")))),""),IF(11&lt;=(COUNTIF(ASCOPE_PMESII!$B$3:$B$62,"KCD-SHOULD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NOT"),11-(COUNTIF(ASCOPE_PMESII!$B$3:$B$62,"KCD-SHOULD NOT")+COUNTIF(ASCOPE_PMESII!$D$3:$D$62,"KCD-SHOULD NOT")+COUNTIF(ASCOPE_PMESII!$F$3:$F$62,"KCD-SHOULD NOT")))),""),IF(11&lt;=(COUNTIF(ASCOPE_PMESII!$B$3:$B$62,"KCD-SHOULD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NOT"),11-(COUNTIF(ASCOPE_PMESII!$B$3:$B$62,"KCD-SHOULD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NOT"),11-(COUNTIF(ASCOPE_PMESII!$B$3:$B$62,"KCD-SHOULD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14" s="21" t="str">
        <f t="array" ref="K14">IFERROR(IF(11&lt;=COUNTIF(ASCOPE_PMESII!$B$3:$B$62,"KCD-CANNOT"),IFERROR(INDEX(ASCOPE_PMESII!$C$3:$C$62,_xlfn.AGGREGATE(15,6,(ROW(ASCOPE_PMESII!$B$3:$B$62)-ROW(ASCOPE_PMESII!$B$3)+1)/(ASCOPE_PMESII!$B$3:$B$62="KCD-CANNOT"),11)),""),IF(11&lt;=(COUNTIF(ASCOPE_PMESII!$B$3:$B$62,"KCD-CANNOT")+COUNTIF(ASCOPE_PMESII!$D$3:$D$62,"KCD-CANNOT")),IFERROR(INDEX(ASCOPE_PMESII!$E$3:$E$62,_xlfn.AGGREGATE(15,6,(ROW(ASCOPE_PMESII!$D$3:$D$62)-ROW(ASCOPE_PMESII!$D$3)+1)/(ASCOPE_PMESII!$D$3:$D$62="KCD-CANNOT"),11-(COUNTIF(ASCOPE_PMESII!$B$3:$B$62,"KCD-CANNOT")))),""),IF(11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11-(COUNTIF(ASCOPE_PMESII!$B$3:$B$62,"KCD-CANNOT")+COUNTIF(ASCOPE_PMESII!$D$3:$D$62,"KCD-CANNOT")))),""),IF(11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11-(COUNTIF(ASCOPE_PMESII!$B$3:$B$62,"KCD-CANNOT")+COUNTIF(ASCOPE_PMESII!$D$3:$D$62,"KCD-CANNOT")+COUNTIF(ASCOPE_PMESII!$F$3:$F$62,"KCD-CANNOT")))),""),IF(11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11-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11-(COUNTIF(ASCOPE_PMESII!$B$3:$B$62,"KCD-CANNOT")+COUNTIF(ASCOPE_PMESII!$D$3:$D$62,"KCD-CANNOT")+COUNTIF(ASCOPE_PMESII!$F$3:$F$62,"KCD-CANNOT")+COUNTIF(ASCOPE_PMESII!$H$3:$H$62,"KCD-CANNOT")+COUNTIF(ASCOPE_PMESII!$J$3:$J$62,"KCD-CANNOT")))),"")))))),"")</f>
        <v>Cannot treat entry node as secured once occupied</v>
      </c>
      <c r="L14" s="21" t="str">
        <f t="array" ref="L14">IFERROR(IF(11&lt;=COUNTIF(ASCOPE_PMESII!$B$3:$B$62,"DECISION"),IFERROR(INDEX(ASCOPE_PMESII!$C$3:$C$62,_xlfn.AGGREGATE(15,6,(ROW(ASCOPE_PMESII!$B$3:$B$62)-ROW(ASCOPE_PMESII!$B$3)+1)/(ASCOPE_PMESII!$B$3:$B$62="DECISION"),11)),""),IF(11&lt;=(COUNTIF(ASCOPE_PMESII!$B$3:$B$62,"DECISION")+COUNTIF(ASCOPE_PMESII!$D$3:$D$62,"DECISION")),IFERROR(INDEX(ASCOPE_PMESII!$E$3:$E$62,_xlfn.AGGREGATE(15,6,(ROW(ASCOPE_PMESII!$D$3:$D$62)-ROW(ASCOPE_PMESII!$D$3)+1)/(ASCOPE_PMESII!$D$3:$D$62="DECISION"),11-(COUNTIF(ASCOPE_PMESII!$B$3:$B$62,"DECISION")))),""),IF(11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11-(COUNTIF(ASCOPE_PMESII!$B$3:$B$62,"DECISION")+COUNTIF(ASCOPE_PMESII!$D$3:$D$62,"DECISION")))),""),IF(11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11-(COUNTIF(ASCOPE_PMESII!$B$3:$B$62,"DECISION")+COUNTIF(ASCOPE_PMESII!$D$3:$D$62,"DECISION")+COUNTIF(ASCOPE_PMESII!$F$3:$F$62,"DECISION")))),""),IF(11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11-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11-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14" s="21" t="str">
        <f t="array" ref="M14">IFERROR(IF(11&lt;=COUNTIF(ASCOPE_PMESII!$B$3:$B$62,"ASSUMPTION"),IFERROR(INDEX(ASCOPE_PMESII!$C$3:$C$62,_xlfn.AGGREGATE(15,6,(ROW(ASCOPE_PMESII!$B$3:$B$62)-ROW(ASCOPE_PMESII!$B$3)+1)/(ASCOPE_PMESII!$B$3:$B$62="ASSUMPTION"),11)),""),IF(11&lt;=(COUNTIF(ASCOPE_PMESII!$B$3:$B$62,"ASSUMPTION")+COUNTIF(ASCOPE_PMESII!$D$3:$D$62,"ASSUMPTION")),IFERROR(INDEX(ASCOPE_PMESII!$E$3:$E$62,_xlfn.AGGREGATE(15,6,(ROW(ASCOPE_PMESII!$D$3:$D$62)-ROW(ASCOPE_PMESII!$D$3)+1)/(ASCOPE_PMESII!$D$3:$D$62="ASSUMPTION"),11-(COUNTIF(ASCOPE_PMESII!$B$3:$B$62,"ASSUMPTION")))),""),IF(11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11-(COUNTIF(ASCOPE_PMESII!$B$3:$B$62,"ASSUMPTION")+COUNTIF(ASCOPE_PMESII!$D$3:$D$62,"ASSUMPTION")))),""),IF(11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11-(COUNTIF(ASCOPE_PMESII!$B$3:$B$62,"ASSUMPTION")+COUNTIF(ASCOPE_PMESII!$D$3:$D$62,"ASSUMPTION")+COUNTIF(ASCOPE_PMESII!$F$3:$F$62,"ASSUMPTION")))),""),IF(11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11-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11-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14" s="21" t="str">
        <f t="array" ref="N14">IFERROR(IF(11&lt;=COUNTIF(ASCOPE_PMESII!$B$3:$B$62,"CONSTRAINT"),IFERROR(INDEX(ASCOPE_PMESII!$C$3:$C$62,_xlfn.AGGREGATE(15,6,(ROW(ASCOPE_PMESII!$B$3:$B$62)-ROW(ASCOPE_PMESII!$B$3)+1)/(ASCOPE_PMESII!$B$3:$B$62="CONSTRAINT"),11)),""),IF(11&lt;=(COUNTIF(ASCOPE_PMESII!$B$3:$B$62,"CONSTRAINT")+COUNTIF(ASCOPE_PMESII!$D$3:$D$62,"CONSTRAINT")),IFERROR(INDEX(ASCOPE_PMESII!$E$3:$E$62,_xlfn.AGGREGATE(15,6,(ROW(ASCOPE_PMESII!$D$3:$D$62)-ROW(ASCOPE_PMESII!$D$3)+1)/(ASCOPE_PMESII!$D$3:$D$62="CONSTRAINT"),11-(COUNTIF(ASCOPE_PMESII!$B$3:$B$62,"CONSTRAINT")))),""),IF(11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11-(COUNTIF(ASCOPE_PMESII!$B$3:$B$62,"CONSTRAINT")+COUNTIF(ASCOPE_PMESII!$D$3:$D$62,"CONSTRAINT")))),""),IF(11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11-(COUNTIF(ASCOPE_PMESII!$B$3:$B$62,"CONSTRAINT")+COUNTIF(ASCOPE_PMESII!$D$3:$D$62,"CONSTRAINT")+COUNTIF(ASCOPE_PMESII!$F$3:$F$62,"CONSTRAINT")))),""),IF(11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11-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11-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14" s="21" t="str">
        <f t="array" ref="O14">IFERROR(IF(11&lt;=COUNTIF(ASCOPE_PMESII!$B$3:$B$62,"LIMITATION"),IFERROR(INDEX(ASCOPE_PMESII!$C$3:$C$62,_xlfn.AGGREGATE(15,6,(ROW(ASCOPE_PMESII!$B$3:$B$62)-ROW(ASCOPE_PMESII!$B$3)+1)/(ASCOPE_PMESII!$B$3:$B$62="LIMITATION"),11)),""),IF(11&lt;=(COUNTIF(ASCOPE_PMESII!$B$3:$B$62,"LIMITATION")+COUNTIF(ASCOPE_PMESII!$D$3:$D$62,"LIMITATION")),IFERROR(INDEX(ASCOPE_PMESII!$E$3:$E$62,_xlfn.AGGREGATE(15,6,(ROW(ASCOPE_PMESII!$D$3:$D$62)-ROW(ASCOPE_PMESII!$D$3)+1)/(ASCOPE_PMESII!$D$3:$D$62="LIMITATION"),11-(COUNTIF(ASCOPE_PMESII!$B$3:$B$62,"LIMITATION")))),""),IF(11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11-(COUNTIF(ASCOPE_PMESII!$B$3:$B$62,"LIMITATION")+COUNTIF(ASCOPE_PMESII!$D$3:$D$62,"LIMITATION")))),""),IF(11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11-(COUNTIF(ASCOPE_PMESII!$B$3:$B$62,"LIMITATION")+COUNTIF(ASCOPE_PMESII!$D$3:$D$62,"LIMITATION")+COUNTIF(ASCOPE_PMESII!$F$3:$F$62,"LIMITATION")))),""),IF(11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11-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11-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14" s="21" t="str">
        <f t="array" ref="P14">IFERROR(IF(11&lt;=COUNTIF(ASCOPE_PMESII!$B$3:$B$62,"CC"),IFERROR(INDEX(ASCOPE_PMESII!$C$3:$C$62,_xlfn.AGGREGATE(15,6,(ROW(ASCOPE_PMESII!$B$3:$B$62)-ROW(ASCOPE_PMESII!$B$3)+1)/(ASCOPE_PMESII!$B$3:$B$62="CC"),11)),""),IF(11&lt;=(COUNTIF(ASCOPE_PMESII!$B$3:$B$62,"CC")+COUNTIF(ASCOPE_PMESII!$D$3:$D$62,"CC")),IFERROR(INDEX(ASCOPE_PMESII!$E$3:$E$62,_xlfn.AGGREGATE(15,6,(ROW(ASCOPE_PMESII!$D$3:$D$62)-ROW(ASCOPE_PMESII!$D$3)+1)/(ASCOPE_PMESII!$D$3:$D$62="CC"),11-(COUNTIF(ASCOPE_PMESII!$B$3:$B$62,"CC")))),""),IF(11&lt;=(COUNTIF(ASCOPE_PMESII!$B$3:$B$62,"CC")+COUNTIF(ASCOPE_PMESII!$D$3:$D$62,"CC")+COUNTIF(ASCOPE_PMESII!$F$3:$F$62,"CC")),IFERROR(INDEX(ASCOPE_PMESII!$G$3:$G$62,_xlfn.AGGREGATE(15,6,(ROW(ASCOPE_PMESII!$F$3:$F$62)-ROW(ASCOPE_PMESII!$F$3)+1)/(ASCOPE_PMESII!$F$3:$F$62="CC"),11-(COUNTIF(ASCOPE_PMESII!$B$3:$B$62,"CC")+COUNTIF(ASCOPE_PMESII!$D$3:$D$62,"CC")))),""),IF(11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11-(COUNTIF(ASCOPE_PMESII!$B$3:$B$62,"CC")+COUNTIF(ASCOPE_PMESII!$D$3:$D$62,"CC")+COUNTIF(ASCOPE_PMESII!$F$3:$F$62,"CC")))),""),IF(11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11-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11-(COUNTIF(ASCOPE_PMESII!$B$3:$B$62,"CC")+COUNTIF(ASCOPE_PMESII!$D$3:$D$62,"CC")+COUNTIF(ASCOPE_PMESII!$F$3:$F$62,"CC")+COUNTIF(ASCOPE_PMESII!$H$3:$H$62,"CC")+COUNTIF(ASCOPE_PMESII!$J$3:$J$62,"CC")))),"")))))),"")</f>
        <v>Bridges and MSRs are operational choke points</v>
      </c>
      <c r="Q14" s="21" t="str">
        <f t="array" ref="Q14">IFERROR(IF(11&lt;=COUNTIF(ASCOPE_PMESII!$B$3:$B$62,"CR"),IFERROR(INDEX(ASCOPE_PMESII!$C$3:$C$62,_xlfn.AGGREGATE(15,6,(ROW(ASCOPE_PMESII!$B$3:$B$62)-ROW(ASCOPE_PMESII!$B$3)+1)/(ASCOPE_PMESII!$B$3:$B$62="CR"),11)),""),IF(11&lt;=(COUNTIF(ASCOPE_PMESII!$B$3:$B$62,"CR")+COUNTIF(ASCOPE_PMESII!$D$3:$D$62,"CR")),IFERROR(INDEX(ASCOPE_PMESII!$E$3:$E$62,_xlfn.AGGREGATE(15,6,(ROW(ASCOPE_PMESII!$D$3:$D$62)-ROW(ASCOPE_PMESII!$D$3)+1)/(ASCOPE_PMESII!$D$3:$D$62="CR"),11-(COUNTIF(ASCOPE_PMESII!$B$3:$B$62,"CR")))),""),IF(11&lt;=(COUNTIF(ASCOPE_PMESII!$B$3:$B$62,"CR")+COUNTIF(ASCOPE_PMESII!$D$3:$D$62,"CR")+COUNTIF(ASCOPE_PMESII!$F$3:$F$62,"CR")),IFERROR(INDEX(ASCOPE_PMESII!$G$3:$G$62,_xlfn.AGGREGATE(15,6,(ROW(ASCOPE_PMESII!$F$3:$F$62)-ROW(ASCOPE_PMESII!$F$3)+1)/(ASCOPE_PMESII!$F$3:$F$62="CR"),11-(COUNTIF(ASCOPE_PMESII!$B$3:$B$62,"CR")+COUNTIF(ASCOPE_PMESII!$D$3:$D$62,"CR")))),""),IF(11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11-(COUNTIF(ASCOPE_PMESII!$B$3:$B$62,"CR")+COUNTIF(ASCOPE_PMESII!$D$3:$D$62,"CR")+COUNTIF(ASCOPE_PMESII!$F$3:$F$62,"CR")))),""),IF(11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11-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11-(COUNTIF(ASCOPE_PMESII!$B$3:$B$62,"CR")+COUNTIF(ASCOPE_PMESII!$D$3:$D$62,"CR")+COUNTIF(ASCOPE_PMESII!$F$3:$F$62,"CR")+COUNTIF(ASCOPE_PMESII!$H$3:$H$62,"CR")+COUNTIF(ASCOPE_PMESII!$J$3:$J$62,"CR")))),"")))))),"")</f>
        <v>Engineers, FP, EOD and movement control required</v>
      </c>
      <c r="R14" s="94" t="str">
        <f t="array" ref="R14">IFERROR(IF(11&lt;=COUNTIF(ASCOPE_PMESII!$B$3:$B$62,"PCS"),IFERROR(INDEX(ASCOPE_PMESII!$C$3:$C$62,_xlfn.AGGREGATE(15,6,(ROW(ASCOPE_PMESII!$B$3:$B$62)-ROW(ASCOPE_PMESII!$B$3)+1)/(ASCOPE_PMESII!$B$3:$B$62="PCS"),11)),""),IF(11&lt;=(COUNTIF(ASCOPE_PMESII!$B$3:$B$62,"PCS")+COUNTIF(ASCOPE_PMESII!$D$3:$D$62,"PCS")),IFERROR(INDEX(ASCOPE_PMESII!$E$3:$E$62,_xlfn.AGGREGATE(15,6,(ROW(ASCOPE_PMESII!$D$3:$D$62)-ROW(ASCOPE_PMESII!$D$3)+1)/(ASCOPE_PMESII!$D$3:$D$62="PCS"),11-(COUNTIF(ASCOPE_PMESII!$B$3:$B$62,"PCS")))),""),IF(11&lt;=(COUNTIF(ASCOPE_PMESII!$B$3:$B$62,"PCS")+COUNTIF(ASCOPE_PMESII!$D$3:$D$62,"PCS")+COUNTIF(ASCOPE_PMESII!$F$3:$F$62,"PCS")),IFERROR(INDEX(ASCOPE_PMESII!$G$3:$G$62,_xlfn.AGGREGATE(15,6,(ROW(ASCOPE_PMESII!$F$3:$F$62)-ROW(ASCOPE_PMESII!$F$3)+1)/(ASCOPE_PMESII!$F$3:$F$62="PCS"),11-(COUNTIF(ASCOPE_PMESII!$B$3:$B$62,"PCS")+COUNTIF(ASCOPE_PMESII!$D$3:$D$62,"PCS")))),""),IF(11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11-(COUNTIF(ASCOPE_PMESII!$B$3:$B$62,"PCS")+COUNTIF(ASCOPE_PMESII!$D$3:$D$62,"PCS")+COUNTIF(ASCOPE_PMESII!$F$3:$F$62,"PCS")))),""),IF(11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11-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11-(COUNTIF(ASCOPE_PMESII!$B$3:$B$62,"PCS")+COUNTIF(ASCOPE_PMESII!$D$3:$D$62,"PCS")+COUNTIF(ASCOPE_PMESII!$F$3:$F$62,"PCS")+COUNTIF(ASCOPE_PMESII!$H$3:$H$62,"PCS")+COUNTIF(ASCOPE_PMESII!$J$3:$J$62,"PCS")))),"")))))),"")</f>
        <v/>
      </c>
    </row>
    <row r="15" spans="1:18" ht="34.5" customHeight="1">
      <c r="A15" s="22" t="str">
        <f t="array" ref="A15">IFERROR(IF(12&lt;=COUNTIF(ASCOPE_PMESII!$B$3:$B$62,"OE"),IFERROR(INDEX(ASCOPE_PMESII!$C$3:$C$62,_xlfn.AGGREGATE(15,6,(ROW(ASCOPE_PMESII!$B$3:$B$62)-ROW(ASCOPE_PMESII!$B$3)+1)/(ASCOPE_PMESII!$B$3:$B$62="OE"),12)),""),IF(12&lt;=(COUNTIF(ASCOPE_PMESII!$B$3:$B$62,"OE")+COUNTIF(ASCOPE_PMESII!$D$3:$D$62,"OE")),IFERROR(INDEX(ASCOPE_PMESII!$E$3:$E$62,_xlfn.AGGREGATE(15,6,(ROW(ASCOPE_PMESII!$D$3:$D$62)-ROW(ASCOPE_PMESII!$D$3)+1)/(ASCOPE_PMESII!$D$3:$D$62="OE"),12-(COUNTIF(ASCOPE_PMESII!$B$3:$B$62,"OE")))),""),IF(12&lt;=(COUNTIF(ASCOPE_PMESII!$B$3:$B$62,"OE")+COUNTIF(ASCOPE_PMESII!$D$3:$D$62,"OE")+COUNTIF(ASCOPE_PMESII!$F$3:$F$62,"OE")),IFERROR(INDEX(ASCOPE_PMESII!$G$3:$G$62,_xlfn.AGGREGATE(15,6,(ROW(ASCOPE_PMESII!$F$3:$F$62)-ROW(ASCOPE_PMESII!$F$3)+1)/(ASCOPE_PMESII!$F$3:$F$62="OE"),12-(COUNTIF(ASCOPE_PMESII!$B$3:$B$62,"OE")+COUNTIF(ASCOPE_PMESII!$D$3:$D$62,"OE")))),""),IF(12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12-(COUNTIF(ASCOPE_PMESII!$B$3:$B$62,"OE")+COUNTIF(ASCOPE_PMESII!$D$3:$D$62,"OE")+COUNTIF(ASCOPE_PMESII!$F$3:$F$62,"OE")))),""),IF(12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12-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12-(COUNTIF(ASCOPE_PMESII!$B$3:$B$62,"OE")+COUNTIF(ASCOPE_PMESII!$D$3:$D$62,"OE")+COUNTIF(ASCOPE_PMESII!$F$3:$F$62,"OE")+COUNTIF(ASCOPE_PMESII!$H$3:$H$62,"OE")+COUNTIF(ASCOPE_PMESII!$J$3:$J$62,"OE")))),"")))))),"")</f>
        <v/>
      </c>
      <c r="B15" s="22" t="str">
        <f t="array" ref="B15">IFERROR(IF(12&lt;=COUNTIF(ASCOPE_PMESII!$B$3:$B$62,"OA"),IFERROR(INDEX(ASCOPE_PMESII!$C$3:$C$62,_xlfn.AGGREGATE(15,6,(ROW(ASCOPE_PMESII!$B$3:$B$62)-ROW(ASCOPE_PMESII!$B$3)+1)/(ASCOPE_PMESII!$B$3:$B$62="OA"),12)),""),IF(12&lt;=(COUNTIF(ASCOPE_PMESII!$B$3:$B$62,"OA")+COUNTIF(ASCOPE_PMESII!$D$3:$D$62,"OA")),IFERROR(INDEX(ASCOPE_PMESII!$E$3:$E$62,_xlfn.AGGREGATE(15,6,(ROW(ASCOPE_PMESII!$D$3:$D$62)-ROW(ASCOPE_PMESII!$D$3)+1)/(ASCOPE_PMESII!$D$3:$D$62="OA"),12-(COUNTIF(ASCOPE_PMESII!$B$3:$B$62,"OA")))),""),IF(12&lt;=(COUNTIF(ASCOPE_PMESII!$B$3:$B$62,"OA")+COUNTIF(ASCOPE_PMESII!$D$3:$D$62,"OA")+COUNTIF(ASCOPE_PMESII!$F$3:$F$62,"OA")),IFERROR(INDEX(ASCOPE_PMESII!$G$3:$G$62,_xlfn.AGGREGATE(15,6,(ROW(ASCOPE_PMESII!$F$3:$F$62)-ROW(ASCOPE_PMESII!$F$3)+1)/(ASCOPE_PMESII!$F$3:$F$62="OA"),12-(COUNTIF(ASCOPE_PMESII!$B$3:$B$62,"OA")+COUNTIF(ASCOPE_PMESII!$D$3:$D$62,"OA")))),""),IF(12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12-(COUNTIF(ASCOPE_PMESII!$B$3:$B$62,"OA")+COUNTIF(ASCOPE_PMESII!$D$3:$D$62,"OA")+COUNTIF(ASCOPE_PMESII!$F$3:$F$62,"OA")))),""),IF(12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12-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12-(COUNTIF(ASCOPE_PMESII!$B$3:$B$62,"OA")+COUNTIF(ASCOPE_PMESII!$D$3:$D$62,"OA")+COUNTIF(ASCOPE_PMESII!$F$3:$F$62,"OA")+COUNTIF(ASCOPE_PMESII!$H$3:$H$62,"OA")+COUNTIF(ASCOPE_PMESII!$J$3:$J$62,"OA")))),"")))))),"")</f>
        <v/>
      </c>
      <c r="C15" s="22" t="str">
        <f t="array" ref="C15">IFERROR(IF(12&lt;=COUNTIF(ASCOPE_PMESII!$B$3:$B$62,"RISK"),IFERROR(INDEX(ASCOPE_PMESII!$C$3:$C$62,_xlfn.AGGREGATE(15,6,(ROW(ASCOPE_PMESII!$B$3:$B$62)-ROW(ASCOPE_PMESII!$B$3)+1)/(ASCOPE_PMESII!$B$3:$B$62="RISK"),12)),""),IF(12&lt;=(COUNTIF(ASCOPE_PMESII!$B$3:$B$62,"RISK")+COUNTIF(ASCOPE_PMESII!$D$3:$D$62,"RISK")),IFERROR(INDEX(ASCOPE_PMESII!$E$3:$E$62,_xlfn.AGGREGATE(15,6,(ROW(ASCOPE_PMESII!$D$3:$D$62)-ROW(ASCOPE_PMESII!$D$3)+1)/(ASCOPE_PMESII!$D$3:$D$62="RISK"),12-(COUNTIF(ASCOPE_PMESII!$B$3:$B$62,"RISK")))),""),IF(12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12-(COUNTIF(ASCOPE_PMESII!$B$3:$B$62,"RISK")+COUNTIF(ASCOPE_PMESII!$D$3:$D$62,"RISK")))),""),IF(12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12-(COUNTIF(ASCOPE_PMESII!$B$3:$B$62,"RISK")+COUNTIF(ASCOPE_PMESII!$D$3:$D$62,"RISK")+COUNTIF(ASCOPE_PMESII!$F$3:$F$62,"RISK")))),""),IF(12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12-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12-(COUNTIF(ASCOPE_PMESII!$B$3:$B$62,"RISK")+COUNTIF(ASCOPE_PMESII!$D$3:$D$62,"RISK")+COUNTIF(ASCOPE_PMESII!$F$3:$F$62,"RISK")+COUNTIF(ASCOPE_PMESII!$H$3:$H$62,"RISK")+COUNTIF(ASCOPE_PMESII!$J$3:$J$62,"RISK")))),"")))))),"")</f>
        <v>Media outage can look like censorship</v>
      </c>
      <c r="D15" s="22" t="str">
        <f t="array" ref="D15">IFERROR(IF(12&lt;=COUNTIF(ASCOPE_PMESII!$B$3:$B$62,"CV"),IFERROR(INDEX(ASCOPE_PMESII!$C$3:$C$62,_xlfn.AGGREGATE(15,6,(ROW(ASCOPE_PMESII!$B$3:$B$62)-ROW(ASCOPE_PMESII!$B$3)+1)/(ASCOPE_PMESII!$B$3:$B$62="CV"),12)),""),IF(12&lt;=(COUNTIF(ASCOPE_PMESII!$B$3:$B$62,"CV")+COUNTIF(ASCOPE_PMESII!$D$3:$D$62,"CV")),IFERROR(INDEX(ASCOPE_PMESII!$E$3:$E$62,_xlfn.AGGREGATE(15,6,(ROW(ASCOPE_PMESII!$D$3:$D$62)-ROW(ASCOPE_PMESII!$D$3)+1)/(ASCOPE_PMESII!$D$3:$D$62="CV"),12-(COUNTIF(ASCOPE_PMESII!$B$3:$B$62,"CV")))),""),IF(12&lt;=(COUNTIF(ASCOPE_PMESII!$B$3:$B$62,"CV")+COUNTIF(ASCOPE_PMESII!$D$3:$D$62,"CV")+COUNTIF(ASCOPE_PMESII!$F$3:$F$62,"CV")),IFERROR(INDEX(ASCOPE_PMESII!$G$3:$G$62,_xlfn.AGGREGATE(15,6,(ROW(ASCOPE_PMESII!$F$3:$F$62)-ROW(ASCOPE_PMESII!$F$3)+1)/(ASCOPE_PMESII!$F$3:$F$62="CV"),12-(COUNTIF(ASCOPE_PMESII!$B$3:$B$62,"CV")+COUNTIF(ASCOPE_PMESII!$D$3:$D$62,"CV")))),""),IF(12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12-(COUNTIF(ASCOPE_PMESII!$B$3:$B$62,"CV")+COUNTIF(ASCOPE_PMESII!$D$3:$D$62,"CV")+COUNTIF(ASCOPE_PMESII!$F$3:$F$62,"CV")))),""),IF(12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12-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12-(COUNTIF(ASCOPE_PMESII!$B$3:$B$62,"CV")+COUNTIF(ASCOPE_PMESII!$D$3:$D$62,"CV")+COUNTIF(ASCOPE_PMESII!$F$3:$F$62,"CV")+COUNTIF(ASCOPE_PMESII!$H$3:$H$62,"CV")+COUNTIF(ASCOPE_PMESII!$J$3:$J$62,"CV")))),"")))))),"")</f>
        <v>Provincial offices give IRS coercive legitimacy</v>
      </c>
      <c r="E15" s="22" t="str">
        <f t="array" ref="E15">IFERROR(IF(12&lt;=COUNTIF(ASCOPE_PMESII!$B$3:$B$62,"COR"),IFERROR(INDEX(ASCOPE_PMESII!$C$3:$C$62,_xlfn.AGGREGATE(15,6,(ROW(ASCOPE_PMESII!$B$3:$B$62)-ROW(ASCOPE_PMESII!$B$3)+1)/(ASCOPE_PMESII!$B$3:$B$62="COR"),12)),""),IF(12&lt;=(COUNTIF(ASCOPE_PMESII!$B$3:$B$62,"COR")+COUNTIF(ASCOPE_PMESII!$D$3:$D$62,"COR")),IFERROR(INDEX(ASCOPE_PMESII!$E$3:$E$62,_xlfn.AGGREGATE(15,6,(ROW(ASCOPE_PMESII!$D$3:$D$62)-ROW(ASCOPE_PMESII!$D$3)+1)/(ASCOPE_PMESII!$D$3:$D$62="COR"),12-(COUNTIF(ASCOPE_PMESII!$B$3:$B$62,"COR")))),""),IF(12&lt;=(COUNTIF(ASCOPE_PMESII!$B$3:$B$62,"COR")+COUNTIF(ASCOPE_PMESII!$D$3:$D$62,"COR")+COUNTIF(ASCOPE_PMESII!$F$3:$F$62,"COR")),IFERROR(INDEX(ASCOPE_PMESII!$G$3:$G$62,_xlfn.AGGREGATE(15,6,(ROW(ASCOPE_PMESII!$F$3:$F$62)-ROW(ASCOPE_PMESII!$F$3)+1)/(ASCOPE_PMESII!$F$3:$F$62="COR"),12-(COUNTIF(ASCOPE_PMESII!$B$3:$B$62,"COR")+COUNTIF(ASCOPE_PMESII!$D$3:$D$62,"COR")))),""),IF(12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12-(COUNTIF(ASCOPE_PMESII!$B$3:$B$62,"COR")+COUNTIF(ASCOPE_PMESII!$D$3:$D$62,"COR")+COUNTIF(ASCOPE_PMESII!$F$3:$F$62,"COR")))),""),IF(12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12-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12-(COUNTIF(ASCOPE_PMESII!$B$3:$B$62,"COR")+COUNTIF(ASCOPE_PMESII!$D$3:$D$62,"COR")+COUNTIF(ASCOPE_PMESII!$F$3:$F$62,"COR")+COUNTIF(ASCOPE_PMESII!$H$3:$H$62,"COR")+COUNTIF(ASCOPE_PMESII!$J$3:$J$62,"COR")))),"")))))),"")</f>
        <v>Integrate EW, cyber, PA and legal review</v>
      </c>
      <c r="F15" s="22" t="str">
        <f t="array" ref="F15">IFERROR(IF(12&lt;=COUNTIF(ASCOPE_PMESII!$B$3:$B$62,"REQT"),IFERROR(INDEX(ASCOPE_PMESII!$C$3:$C$62,_xlfn.AGGREGATE(15,6,(ROW(ASCOPE_PMESII!$B$3:$B$62)-ROW(ASCOPE_PMESII!$B$3)+1)/(ASCOPE_PMESII!$B$3:$B$62="REQT"),12)),""),IF(12&lt;=(COUNTIF(ASCOPE_PMESII!$B$3:$B$62,"REQT")+COUNTIF(ASCOPE_PMESII!$D$3:$D$62,"REQT")),IFERROR(INDEX(ASCOPE_PMESII!$E$3:$E$62,_xlfn.AGGREGATE(15,6,(ROW(ASCOPE_PMESII!$D$3:$D$62)-ROW(ASCOPE_PMESII!$D$3)+1)/(ASCOPE_PMESII!$D$3:$D$62="REQT"),12-(COUNTIF(ASCOPE_PMESII!$B$3:$B$62,"REQT")))),""),IF(12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12-(COUNTIF(ASCOPE_PMESII!$B$3:$B$62,"REQT")+COUNTIF(ASCOPE_PMESII!$D$3:$D$62,"REQT")))),""),IF(12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12-(COUNTIF(ASCOPE_PMESII!$B$3:$B$62,"REQT")+COUNTIF(ASCOPE_PMESII!$D$3:$D$62,"REQT")+COUNTIF(ASCOPE_PMESII!$F$3:$F$62,"REQT")))),""),IF(12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12-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12-(COUNTIF(ASCOPE_PMESII!$B$3:$B$62,"REQT")+COUNTIF(ASCOPE_PMESII!$D$3:$D$62,"REQT")+COUNTIF(ASCOPE_PMESII!$F$3:$F$62,"REQT")+COUNTIF(ASCOPE_PMESII!$H$3:$H$62,"REQT")+COUNTIF(ASCOPE_PMESII!$J$3:$J$62,"REQT")))),"")))))),"")</f>
        <v/>
      </c>
      <c r="G15" s="22" t="str">
        <f t="array" ref="G15">IFERROR(IF(12&lt;=COUNTIF(ASCOPE_PMESII!$B$3:$B$62,"REST"),IFERROR(INDEX(ASCOPE_PMESII!$C$3:$C$62,_xlfn.AGGREGATE(15,6,(ROW(ASCOPE_PMESII!$B$3:$B$62)-ROW(ASCOPE_PMESII!$B$3)+1)/(ASCOPE_PMESII!$B$3:$B$62="REST"),12)),""),IF(12&lt;=(COUNTIF(ASCOPE_PMESII!$B$3:$B$62,"REST")+COUNTIF(ASCOPE_PMESII!$D$3:$D$62,"REST")),IFERROR(INDEX(ASCOPE_PMESII!$E$3:$E$62,_xlfn.AGGREGATE(15,6,(ROW(ASCOPE_PMESII!$D$3:$D$62)-ROW(ASCOPE_PMESII!$D$3)+1)/(ASCOPE_PMESII!$D$3:$D$62="REST"),12-(COUNTIF(ASCOPE_PMESII!$B$3:$B$62,"REST")))),""),IF(12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12-(COUNTIF(ASCOPE_PMESII!$B$3:$B$62,"REST")+COUNTIF(ASCOPE_PMESII!$D$3:$D$62,"REST")))),""),IF(12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12-(COUNTIF(ASCOPE_PMESII!$B$3:$B$62,"REST")+COUNTIF(ASCOPE_PMESII!$D$3:$D$62,"REST")+COUNTIF(ASCOPE_PMESII!$F$3:$F$62,"REST")))),""),IF(12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12-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12-(COUNTIF(ASCOPE_PMESII!$B$3:$B$62,"REST")+COUNTIF(ASCOPE_PMESII!$D$3:$D$62,"REST")+COUNTIF(ASCOPE_PMESII!$F$3:$F$62,"REST")+COUNTIF(ASCOPE_PMESII!$H$3:$H$62,"REST")+COUNTIF(ASCOPE_PMESII!$J$3:$J$62,"REST")))),"")))))),"")</f>
        <v/>
      </c>
      <c r="H15" s="22" t="str">
        <f t="array" ref="H15">IFERROR(IF(12&lt;=COUNTIF(ASCOPE_PMESII!$B$3:$B$62,"KCD-MUST"),IFERROR(INDEX(ASCOPE_PMESII!$C$3:$C$62,_xlfn.AGGREGATE(15,6,(ROW(ASCOPE_PMESII!$B$3:$B$62)-ROW(ASCOPE_PMESII!$B$3)+1)/(ASCOPE_PMESII!$B$3:$B$62="KCD-MUST"),12)),""),IF(12&lt;=(COUNTIF(ASCOPE_PMESII!$B$3:$B$62,"KCD-MUST")+COUNTIF(ASCOPE_PMESII!$D$3:$D$62,"KCD-MUST")),IFERROR(INDEX(ASCOPE_PMESII!$E$3:$E$62,_xlfn.AGGREGATE(15,6,(ROW(ASCOPE_PMESII!$D$3:$D$62)-ROW(ASCOPE_PMESII!$D$3)+1)/(ASCOPE_PMESII!$D$3:$D$62="KCD-MUST"),12-(COUNTIF(ASCOPE_PMESII!$B$3:$B$62,"KCD-MUST")))),""),IF(12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12-(COUNTIF(ASCOPE_PMESII!$B$3:$B$62,"KCD-MUST")+COUNTIF(ASCOPE_PMESII!$D$3:$D$62,"KCD-MUST")))),""),IF(12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12-(COUNTIF(ASCOPE_PMESII!$B$3:$B$62,"KCD-MUST")+COUNTIF(ASCOPE_PMESII!$D$3:$D$62,"KCD-MUST")+COUNTIF(ASCOPE_PMESII!$F$3:$F$62,"KCD-MUST")))),""),IF(12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12-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12-(COUNTIF(ASCOPE_PMESII!$B$3:$B$62,"KCD-MUST")+COUNTIF(ASCOPE_PMESII!$D$3:$D$62,"KCD-MUST")+COUNTIF(ASCOPE_PMESII!$F$3:$F$62,"KCD-MUST")+COUNTIF(ASCOPE_PMESII!$H$3:$H$62,"KCD-MUST")+COUNTIF(ASCOPE_PMESII!$J$3:$J$62,"KCD-MUST")))),"")))))),"")</f>
        <v>Protect evidence chains for every information claim</v>
      </c>
      <c r="I15" s="22" t="str">
        <f t="array" ref="I15">IFERROR(IF(12&lt;=COUNTIF(ASCOPE_PMESII!$B$3:$B$62,"KCD-SHOULD"),IFERROR(INDEX(ASCOPE_PMESII!$C$3:$C$62,_xlfn.AGGREGATE(15,6,(ROW(ASCOPE_PMESII!$B$3:$B$62)-ROW(ASCOPE_PMESII!$B$3)+1)/(ASCOPE_PMESII!$B$3:$B$62="KCD-SHOULD"),12)),""),IF(12&lt;=(COUNTIF(ASCOPE_PMESII!$B$3:$B$62,"KCD-SHOULD")+COUNTIF(ASCOPE_PMESII!$D$3:$D$62,"KCD-SHOULD")),IFERROR(INDEX(ASCOPE_PMESII!$E$3:$E$62,_xlfn.AGGREGATE(15,6,(ROW(ASCOPE_PMESII!$D$3:$D$62)-ROW(ASCOPE_PMESII!$D$3)+1)/(ASCOPE_PMESII!$D$3:$D$62="KCD-SHOULD"),12-(COUNTIF(ASCOPE_PMESII!$B$3:$B$62,"KCD-SHOULD")))),""),IF(12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12-(COUNTIF(ASCOPE_PMESII!$B$3:$B$62,"KCD-SHOULD")+COUNTIF(ASCOPE_PMESII!$D$3:$D$62,"KCD-SHOULD")))),""),IF(12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12-(COUNTIF(ASCOPE_PMESII!$B$3:$B$62,"KCD-SHOULD")+COUNTIF(ASCOPE_PMESII!$D$3:$D$62,"KCD-SHOULD")+COUNTIF(ASCOPE_PMESII!$F$3:$F$62,"KCD-SHOULD")))),""),IF(12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12-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12-(COUNTIF(ASCOPE_PMESII!$B$3:$B$62,"KCD-SHOULD")+COUNTIF(ASCOPE_PMESII!$D$3:$D$62,"KCD-SHOULD")+COUNTIF(ASCOPE_PMESII!$F$3:$F$62,"KCD-SHOULD")+COUNTIF(ASCOPE_PMESII!$H$3:$H$62,"KCD-SHOULD")+COUNTIF(ASCOPE_PMESII!$J$3:$J$62,"KCD-SHOULD")))),"")))))),"")</f>
        <v>Exploit sensors without collapsing civilian comms</v>
      </c>
      <c r="J15" s="22" t="str">
        <f t="array" ref="J15">IFERROR(IF(12&lt;=COUNTIF(ASCOPE_PMESII!$B$3:$B$62,"KCD-SHOULD NOT"),IFERROR(INDEX(ASCOPE_PMESII!$C$3:$C$62,_xlfn.AGGREGATE(15,6,(ROW(ASCOPE_PMESII!$B$3:$B$62)-ROW(ASCOPE_PMESII!$B$3)+1)/(ASCOPE_PMESII!$B$3:$B$62="KCD-SHOULD NOT"),12)),""),IF(12&lt;=(COUNTIF(ASCOPE_PMESII!$B$3:$B$62,"KCD-SHOULD NOT")+COUNTIF(ASCOPE_PMESII!$D$3:$D$62,"KCD-SHOULD NOT")),IFERROR(INDEX(ASCOPE_PMESII!$E$3:$E$62,_xlfn.AGGREGATE(15,6,(ROW(ASCOPE_PMESII!$D$3:$D$62)-ROW(ASCOPE_PMESII!$D$3)+1)/(ASCOPE_PMESII!$D$3:$D$62="KCD-SHOULD NOT"),12-(COUNTIF(ASCOPE_PMESII!$B$3:$B$62,"KCD-SHOULD NOT")))),""),IF(12&lt;=(COUNTIF(ASCOPE_PMESII!$B$3:$B$62,"KCD-SHOULD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NOT"),12-(COUNTIF(ASCOPE_PMESII!$B$3:$B$62,"KCD-SHOULD NOT")+COUNTIF(ASCOPE_PMESII!$D$3:$D$62,"KCD-SHOULD NOT")))),""),IF(12&lt;=(COUNTIF(ASCOPE_PMESII!$B$3:$B$62,"KCD-SHOULD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NOT"),12-(COUNTIF(ASCOPE_PMESII!$B$3:$B$62,"KCD-SHOULD NOT")+COUNTIF(ASCOPE_PMESII!$D$3:$D$62,"KCD-SHOULD NOT")+COUNTIF(ASCOPE_PMESII!$F$3:$F$62,"KCD-SHOULD NOT")))),""),IF(12&lt;=(COUNTIF(ASCOPE_PMESII!$B$3:$B$62,"KCD-SHOULD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NOT"),12-(COUNTIF(ASCOPE_PMESII!$B$3:$B$62,"KCD-SHOULD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NOT"),12-(COUNTIF(ASCOPE_PMESII!$B$3:$B$62,"KCD-SHOULD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15" s="22" t="str">
        <f t="array" ref="K15">IFERROR(IF(12&lt;=COUNTIF(ASCOPE_PMESII!$B$3:$B$62,"KCD-CANNOT"),IFERROR(INDEX(ASCOPE_PMESII!$C$3:$C$62,_xlfn.AGGREGATE(15,6,(ROW(ASCOPE_PMESII!$B$3:$B$62)-ROW(ASCOPE_PMESII!$B$3)+1)/(ASCOPE_PMESII!$B$3:$B$62="KCD-CANNOT"),12)),""),IF(12&lt;=(COUNTIF(ASCOPE_PMESII!$B$3:$B$62,"KCD-CANNOT")+COUNTIF(ASCOPE_PMESII!$D$3:$D$62,"KCD-CANNOT")),IFERROR(INDEX(ASCOPE_PMESII!$E$3:$E$62,_xlfn.AGGREGATE(15,6,(ROW(ASCOPE_PMESII!$D$3:$D$62)-ROW(ASCOPE_PMESII!$D$3)+1)/(ASCOPE_PMESII!$D$3:$D$62="KCD-CANNOT"),12-(COUNTIF(ASCOPE_PMESII!$B$3:$B$62,"KCD-CANNOT")))),""),IF(12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12-(COUNTIF(ASCOPE_PMESII!$B$3:$B$62,"KCD-CANNOT")+COUNTIF(ASCOPE_PMESII!$D$3:$D$62,"KCD-CANNOT")))),""),IF(12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12-(COUNTIF(ASCOPE_PMESII!$B$3:$B$62,"KCD-CANNOT")+COUNTIF(ASCOPE_PMESII!$D$3:$D$62,"KCD-CANNOT")+COUNTIF(ASCOPE_PMESII!$F$3:$F$62,"KCD-CANNOT")))),""),IF(12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12-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12-(COUNTIF(ASCOPE_PMESII!$B$3:$B$62,"KCD-CANNOT")+COUNTIF(ASCOPE_PMESII!$D$3:$D$62,"KCD-CANNOT")+COUNTIF(ASCOPE_PMESII!$F$3:$F$62,"KCD-CANNOT")+COUNTIF(ASCOPE_PMESII!$H$3:$H$62,"KCD-CANNOT")+COUNTIF(ASCOPE_PMESII!$J$3:$J$62,"KCD-CANNOT")))),"")))))),"")</f>
        <v>Cannot separate cyber effects from legitimacy effects</v>
      </c>
      <c r="L15" s="22" t="str">
        <f t="array" ref="L15">IFERROR(IF(12&lt;=COUNTIF(ASCOPE_PMESII!$B$3:$B$62,"DECISION"),IFERROR(INDEX(ASCOPE_PMESII!$C$3:$C$62,_xlfn.AGGREGATE(15,6,(ROW(ASCOPE_PMESII!$B$3:$B$62)-ROW(ASCOPE_PMESII!$B$3)+1)/(ASCOPE_PMESII!$B$3:$B$62="DECISION"),12)),""),IF(12&lt;=(COUNTIF(ASCOPE_PMESII!$B$3:$B$62,"DECISION")+COUNTIF(ASCOPE_PMESII!$D$3:$D$62,"DECISION")),IFERROR(INDEX(ASCOPE_PMESII!$E$3:$E$62,_xlfn.AGGREGATE(15,6,(ROW(ASCOPE_PMESII!$D$3:$D$62)-ROW(ASCOPE_PMESII!$D$3)+1)/(ASCOPE_PMESII!$D$3:$D$62="DECISION"),12-(COUNTIF(ASCOPE_PMESII!$B$3:$B$62,"DECISION")))),""),IF(12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12-(COUNTIF(ASCOPE_PMESII!$B$3:$B$62,"DECISION")+COUNTIF(ASCOPE_PMESII!$D$3:$D$62,"DECISION")))),""),IF(12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12-(COUNTIF(ASCOPE_PMESII!$B$3:$B$62,"DECISION")+COUNTIF(ASCOPE_PMESII!$D$3:$D$62,"DECISION")+COUNTIF(ASCOPE_PMESII!$F$3:$F$62,"DECISION")))),""),IF(12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12-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12-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15" s="22" t="str">
        <f t="array" ref="M15">IFERROR(IF(12&lt;=COUNTIF(ASCOPE_PMESII!$B$3:$B$62,"ASSUMPTION"),IFERROR(INDEX(ASCOPE_PMESII!$C$3:$C$62,_xlfn.AGGREGATE(15,6,(ROW(ASCOPE_PMESII!$B$3:$B$62)-ROW(ASCOPE_PMESII!$B$3)+1)/(ASCOPE_PMESII!$B$3:$B$62="ASSUMPTION"),12)),""),IF(12&lt;=(COUNTIF(ASCOPE_PMESII!$B$3:$B$62,"ASSUMPTION")+COUNTIF(ASCOPE_PMESII!$D$3:$D$62,"ASSUMPTION")),IFERROR(INDEX(ASCOPE_PMESII!$E$3:$E$62,_xlfn.AGGREGATE(15,6,(ROW(ASCOPE_PMESII!$D$3:$D$62)-ROW(ASCOPE_PMESII!$D$3)+1)/(ASCOPE_PMESII!$D$3:$D$62="ASSUMPTION"),12-(COUNTIF(ASCOPE_PMESII!$B$3:$B$62,"ASSUMPTION")))),""),IF(12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12-(COUNTIF(ASCOPE_PMESII!$B$3:$B$62,"ASSUMPTION")+COUNTIF(ASCOPE_PMESII!$D$3:$D$62,"ASSUMPTION")))),""),IF(12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12-(COUNTIF(ASCOPE_PMESII!$B$3:$B$62,"ASSUMPTION")+COUNTIF(ASCOPE_PMESII!$D$3:$D$62,"ASSUMPTION")+COUNTIF(ASCOPE_PMESII!$F$3:$F$62,"ASSUMPTION")))),""),IF(12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12-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12-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15" s="22" t="str">
        <f t="array" ref="N15">IFERROR(IF(12&lt;=COUNTIF(ASCOPE_PMESII!$B$3:$B$62,"CONSTRAINT"),IFERROR(INDEX(ASCOPE_PMESII!$C$3:$C$62,_xlfn.AGGREGATE(15,6,(ROW(ASCOPE_PMESII!$B$3:$B$62)-ROW(ASCOPE_PMESII!$B$3)+1)/(ASCOPE_PMESII!$B$3:$B$62="CONSTRAINT"),12)),""),IF(12&lt;=(COUNTIF(ASCOPE_PMESII!$B$3:$B$62,"CONSTRAINT")+COUNTIF(ASCOPE_PMESII!$D$3:$D$62,"CONSTRAINT")),IFERROR(INDEX(ASCOPE_PMESII!$E$3:$E$62,_xlfn.AGGREGATE(15,6,(ROW(ASCOPE_PMESII!$D$3:$D$62)-ROW(ASCOPE_PMESII!$D$3)+1)/(ASCOPE_PMESII!$D$3:$D$62="CONSTRAINT"),12-(COUNTIF(ASCOPE_PMESII!$B$3:$B$62,"CONSTRAINT")))),""),IF(12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12-(COUNTIF(ASCOPE_PMESII!$B$3:$B$62,"CONSTRAINT")+COUNTIF(ASCOPE_PMESII!$D$3:$D$62,"CONSTRAINT")))),""),IF(12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12-(COUNTIF(ASCOPE_PMESII!$B$3:$B$62,"CONSTRAINT")+COUNTIF(ASCOPE_PMESII!$D$3:$D$62,"CONSTRAINT")+COUNTIF(ASCOPE_PMESII!$F$3:$F$62,"CONSTRAINT")))),""),IF(12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12-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12-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15" s="22" t="str">
        <f t="array" ref="O15">IFERROR(IF(12&lt;=COUNTIF(ASCOPE_PMESII!$B$3:$B$62,"LIMITATION"),IFERROR(INDEX(ASCOPE_PMESII!$C$3:$C$62,_xlfn.AGGREGATE(15,6,(ROW(ASCOPE_PMESII!$B$3:$B$62)-ROW(ASCOPE_PMESII!$B$3)+1)/(ASCOPE_PMESII!$B$3:$B$62="LIMITATION"),12)),""),IF(12&lt;=(COUNTIF(ASCOPE_PMESII!$B$3:$B$62,"LIMITATION")+COUNTIF(ASCOPE_PMESII!$D$3:$D$62,"LIMITATION")),IFERROR(INDEX(ASCOPE_PMESII!$E$3:$E$62,_xlfn.AGGREGATE(15,6,(ROW(ASCOPE_PMESII!$D$3:$D$62)-ROW(ASCOPE_PMESII!$D$3)+1)/(ASCOPE_PMESII!$D$3:$D$62="LIMITATION"),12-(COUNTIF(ASCOPE_PMESII!$B$3:$B$62,"LIMITATION")))),""),IF(12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12-(COUNTIF(ASCOPE_PMESII!$B$3:$B$62,"LIMITATION")+COUNTIF(ASCOPE_PMESII!$D$3:$D$62,"LIMITATION")))),""),IF(12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12-(COUNTIF(ASCOPE_PMESII!$B$3:$B$62,"LIMITATION")+COUNTIF(ASCOPE_PMESII!$D$3:$D$62,"LIMITATION")+COUNTIF(ASCOPE_PMESII!$F$3:$F$62,"LIMITATION")))),""),IF(12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12-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12-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15" s="22" t="str">
        <f t="array" ref="P15">IFERROR(IF(12&lt;=COUNTIF(ASCOPE_PMESII!$B$3:$B$62,"CC"),IFERROR(INDEX(ASCOPE_PMESII!$C$3:$C$62,_xlfn.AGGREGATE(15,6,(ROW(ASCOPE_PMESII!$B$3:$B$62)-ROW(ASCOPE_PMESII!$B$3)+1)/(ASCOPE_PMESII!$B$3:$B$62="CC"),12)),""),IF(12&lt;=(COUNTIF(ASCOPE_PMESII!$B$3:$B$62,"CC")+COUNTIF(ASCOPE_PMESII!$D$3:$D$62,"CC")),IFERROR(INDEX(ASCOPE_PMESII!$E$3:$E$62,_xlfn.AGGREGATE(15,6,(ROW(ASCOPE_PMESII!$D$3:$D$62)-ROW(ASCOPE_PMESII!$D$3)+1)/(ASCOPE_PMESII!$D$3:$D$62="CC"),12-(COUNTIF(ASCOPE_PMESII!$B$3:$B$62,"CC")))),""),IF(12&lt;=(COUNTIF(ASCOPE_PMESII!$B$3:$B$62,"CC")+COUNTIF(ASCOPE_PMESII!$D$3:$D$62,"CC")+COUNTIF(ASCOPE_PMESII!$F$3:$F$62,"CC")),IFERROR(INDEX(ASCOPE_PMESII!$G$3:$G$62,_xlfn.AGGREGATE(15,6,(ROW(ASCOPE_PMESII!$F$3:$F$62)-ROW(ASCOPE_PMESII!$F$3)+1)/(ASCOPE_PMESII!$F$3:$F$62="CC"),12-(COUNTIF(ASCOPE_PMESII!$B$3:$B$62,"CC")+COUNTIF(ASCOPE_PMESII!$D$3:$D$62,"CC")))),""),IF(12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12-(COUNTIF(ASCOPE_PMESII!$B$3:$B$62,"CC")+COUNTIF(ASCOPE_PMESII!$D$3:$D$62,"CC")+COUNTIF(ASCOPE_PMESII!$F$3:$F$62,"CC")))),""),IF(12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12-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12-(COUNTIF(ASCOPE_PMESII!$B$3:$B$62,"CC")+COUNTIF(ASCOPE_PMESII!$D$3:$D$62,"CC")+COUNTIF(ASCOPE_PMESII!$F$3:$F$62,"CC")+COUNTIF(ASCOPE_PMESII!$H$3:$H$62,"CC")+COUNTIF(ASCOPE_PMESII!$J$3:$J$62,"CC")))),"")))))),"")</f>
        <v>Ports, refineries, LNG plant and pipelines are dual-use</v>
      </c>
      <c r="Q15" s="22" t="str">
        <f t="array" ref="Q15">IFERROR(IF(12&lt;=COUNTIF(ASCOPE_PMESII!$B$3:$B$62,"CR"),IFERROR(INDEX(ASCOPE_PMESII!$C$3:$C$62,_xlfn.AGGREGATE(15,6,(ROW(ASCOPE_PMESII!$B$3:$B$62)-ROW(ASCOPE_PMESII!$B$3)+1)/(ASCOPE_PMESII!$B$3:$B$62="CR"),12)),""),IF(12&lt;=(COUNTIF(ASCOPE_PMESII!$B$3:$B$62,"CR")+COUNTIF(ASCOPE_PMESII!$D$3:$D$62,"CR")),IFERROR(INDEX(ASCOPE_PMESII!$E$3:$E$62,_xlfn.AGGREGATE(15,6,(ROW(ASCOPE_PMESII!$D$3:$D$62)-ROW(ASCOPE_PMESII!$D$3)+1)/(ASCOPE_PMESII!$D$3:$D$62="CR"),12-(COUNTIF(ASCOPE_PMESII!$B$3:$B$62,"CR")))),""),IF(12&lt;=(COUNTIF(ASCOPE_PMESII!$B$3:$B$62,"CR")+COUNTIF(ASCOPE_PMESII!$D$3:$D$62,"CR")+COUNTIF(ASCOPE_PMESII!$F$3:$F$62,"CR")),IFERROR(INDEX(ASCOPE_PMESII!$G$3:$G$62,_xlfn.AGGREGATE(15,6,(ROW(ASCOPE_PMESII!$F$3:$F$62)-ROW(ASCOPE_PMESII!$F$3)+1)/(ASCOPE_PMESII!$F$3:$F$62="CR"),12-(COUNTIF(ASCOPE_PMESII!$B$3:$B$62,"CR")+COUNTIF(ASCOPE_PMESII!$D$3:$D$62,"CR")))),""),IF(12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12-(COUNTIF(ASCOPE_PMESII!$B$3:$B$62,"CR")+COUNTIF(ASCOPE_PMESII!$D$3:$D$62,"CR")+COUNTIF(ASCOPE_PMESII!$F$3:$F$62,"CR")))),""),IF(12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12-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12-(COUNTIF(ASCOPE_PMESII!$B$3:$B$62,"CR")+COUNTIF(ASCOPE_PMESII!$D$3:$D$62,"CR")+COUNTIF(ASCOPE_PMESII!$F$3:$F$62,"CR")+COUNTIF(ASCOPE_PMESII!$H$3:$H$62,"CR")+COUNTIF(ASCOPE_PMESII!$J$3:$J$62,"CR")))),"")))))),"")</f>
        <v>Target folders require civilian impact assessment</v>
      </c>
      <c r="R15" s="95" t="str">
        <f t="array" ref="R15">IFERROR(IF(12&lt;=COUNTIF(ASCOPE_PMESII!$B$3:$B$62,"PCS"),IFERROR(INDEX(ASCOPE_PMESII!$C$3:$C$62,_xlfn.AGGREGATE(15,6,(ROW(ASCOPE_PMESII!$B$3:$B$62)-ROW(ASCOPE_PMESII!$B$3)+1)/(ASCOPE_PMESII!$B$3:$B$62="PCS"),12)),""),IF(12&lt;=(COUNTIF(ASCOPE_PMESII!$B$3:$B$62,"PCS")+COUNTIF(ASCOPE_PMESII!$D$3:$D$62,"PCS")),IFERROR(INDEX(ASCOPE_PMESII!$E$3:$E$62,_xlfn.AGGREGATE(15,6,(ROW(ASCOPE_PMESII!$D$3:$D$62)-ROW(ASCOPE_PMESII!$D$3)+1)/(ASCOPE_PMESII!$D$3:$D$62="PCS"),12-(COUNTIF(ASCOPE_PMESII!$B$3:$B$62,"PCS")))),""),IF(12&lt;=(COUNTIF(ASCOPE_PMESII!$B$3:$B$62,"PCS")+COUNTIF(ASCOPE_PMESII!$D$3:$D$62,"PCS")+COUNTIF(ASCOPE_PMESII!$F$3:$F$62,"PCS")),IFERROR(INDEX(ASCOPE_PMESII!$G$3:$G$62,_xlfn.AGGREGATE(15,6,(ROW(ASCOPE_PMESII!$F$3:$F$62)-ROW(ASCOPE_PMESII!$F$3)+1)/(ASCOPE_PMESII!$F$3:$F$62="PCS"),12-(COUNTIF(ASCOPE_PMESII!$B$3:$B$62,"PCS")+COUNTIF(ASCOPE_PMESII!$D$3:$D$62,"PCS")))),""),IF(12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12-(COUNTIF(ASCOPE_PMESII!$B$3:$B$62,"PCS")+COUNTIF(ASCOPE_PMESII!$D$3:$D$62,"PCS")+COUNTIF(ASCOPE_PMESII!$F$3:$F$62,"PCS")))),""),IF(12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12-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12-(COUNTIF(ASCOPE_PMESII!$B$3:$B$62,"PCS")+COUNTIF(ASCOPE_PMESII!$D$3:$D$62,"PCS")+COUNTIF(ASCOPE_PMESII!$F$3:$F$62,"PCS")+COUNTIF(ASCOPE_PMESII!$H$3:$H$62,"PCS")+COUNTIF(ASCOPE_PMESII!$J$3:$J$62,"PCS")))),"")))))),"")</f>
        <v/>
      </c>
    </row>
    <row r="16" spans="1:18" ht="34.5" customHeight="1">
      <c r="A16" s="21" t="str">
        <f t="array" ref="A16">IFERROR(IF(13&lt;=COUNTIF(ASCOPE_PMESII!$B$3:$B$62,"OE"),IFERROR(INDEX(ASCOPE_PMESII!$C$3:$C$62,_xlfn.AGGREGATE(15,6,(ROW(ASCOPE_PMESII!$B$3:$B$62)-ROW(ASCOPE_PMESII!$B$3)+1)/(ASCOPE_PMESII!$B$3:$B$62="OE"),13)),""),IF(13&lt;=(COUNTIF(ASCOPE_PMESII!$B$3:$B$62,"OE")+COUNTIF(ASCOPE_PMESII!$D$3:$D$62,"OE")),IFERROR(INDEX(ASCOPE_PMESII!$E$3:$E$62,_xlfn.AGGREGATE(15,6,(ROW(ASCOPE_PMESII!$D$3:$D$62)-ROW(ASCOPE_PMESII!$D$3)+1)/(ASCOPE_PMESII!$D$3:$D$62="OE"),13-(COUNTIF(ASCOPE_PMESII!$B$3:$B$62,"OE")))),""),IF(13&lt;=(COUNTIF(ASCOPE_PMESII!$B$3:$B$62,"OE")+COUNTIF(ASCOPE_PMESII!$D$3:$D$62,"OE")+COUNTIF(ASCOPE_PMESII!$F$3:$F$62,"OE")),IFERROR(INDEX(ASCOPE_PMESII!$G$3:$G$62,_xlfn.AGGREGATE(15,6,(ROW(ASCOPE_PMESII!$F$3:$F$62)-ROW(ASCOPE_PMESII!$F$3)+1)/(ASCOPE_PMESII!$F$3:$F$62="OE"),13-(COUNTIF(ASCOPE_PMESII!$B$3:$B$62,"OE")+COUNTIF(ASCOPE_PMESII!$D$3:$D$62,"OE")))),""),IF(13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13-(COUNTIF(ASCOPE_PMESII!$B$3:$B$62,"OE")+COUNTIF(ASCOPE_PMESII!$D$3:$D$62,"OE")+COUNTIF(ASCOPE_PMESII!$F$3:$F$62,"OE")))),""),IF(13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13-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13-(COUNTIF(ASCOPE_PMESII!$B$3:$B$62,"OE")+COUNTIF(ASCOPE_PMESII!$D$3:$D$62,"OE")+COUNTIF(ASCOPE_PMESII!$F$3:$F$62,"OE")+COUNTIF(ASCOPE_PMESII!$H$3:$H$62,"OE")+COUNTIF(ASCOPE_PMESII!$J$3:$J$62,"OE")))),"")))))),"")</f>
        <v/>
      </c>
      <c r="B16" s="21" t="str">
        <f t="array" ref="B16">IFERROR(IF(13&lt;=COUNTIF(ASCOPE_PMESII!$B$3:$B$62,"OA"),IFERROR(INDEX(ASCOPE_PMESII!$C$3:$C$62,_xlfn.AGGREGATE(15,6,(ROW(ASCOPE_PMESII!$B$3:$B$62)-ROW(ASCOPE_PMESII!$B$3)+1)/(ASCOPE_PMESII!$B$3:$B$62="OA"),13)),""),IF(13&lt;=(COUNTIF(ASCOPE_PMESII!$B$3:$B$62,"OA")+COUNTIF(ASCOPE_PMESII!$D$3:$D$62,"OA")),IFERROR(INDEX(ASCOPE_PMESII!$E$3:$E$62,_xlfn.AGGREGATE(15,6,(ROW(ASCOPE_PMESII!$D$3:$D$62)-ROW(ASCOPE_PMESII!$D$3)+1)/(ASCOPE_PMESII!$D$3:$D$62="OA"),13-(COUNTIF(ASCOPE_PMESII!$B$3:$B$62,"OA")))),""),IF(13&lt;=(COUNTIF(ASCOPE_PMESII!$B$3:$B$62,"OA")+COUNTIF(ASCOPE_PMESII!$D$3:$D$62,"OA")+COUNTIF(ASCOPE_PMESII!$F$3:$F$62,"OA")),IFERROR(INDEX(ASCOPE_PMESII!$G$3:$G$62,_xlfn.AGGREGATE(15,6,(ROW(ASCOPE_PMESII!$F$3:$F$62)-ROW(ASCOPE_PMESII!$F$3)+1)/(ASCOPE_PMESII!$F$3:$F$62="OA"),13-(COUNTIF(ASCOPE_PMESII!$B$3:$B$62,"OA")+COUNTIF(ASCOPE_PMESII!$D$3:$D$62,"OA")))),""),IF(13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13-(COUNTIF(ASCOPE_PMESII!$B$3:$B$62,"OA")+COUNTIF(ASCOPE_PMESII!$D$3:$D$62,"OA")+COUNTIF(ASCOPE_PMESII!$F$3:$F$62,"OA")))),""),IF(13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13-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13-(COUNTIF(ASCOPE_PMESII!$B$3:$B$62,"OA")+COUNTIF(ASCOPE_PMESII!$D$3:$D$62,"OA")+COUNTIF(ASCOPE_PMESII!$F$3:$F$62,"OA")+COUNTIF(ASCOPE_PMESII!$H$3:$H$62,"OA")+COUNTIF(ASCOPE_PMESII!$J$3:$J$62,"OA")))),"")))))),"")</f>
        <v/>
      </c>
      <c r="C16" s="21" t="str">
        <f t="array" ref="C16">IFERROR(IF(13&lt;=COUNTIF(ASCOPE_PMESII!$B$3:$B$62,"RISK"),IFERROR(INDEX(ASCOPE_PMESII!$C$3:$C$62,_xlfn.AGGREGATE(15,6,(ROW(ASCOPE_PMESII!$B$3:$B$62)-ROW(ASCOPE_PMESII!$B$3)+1)/(ASCOPE_PMESII!$B$3:$B$62="RISK"),13)),""),IF(13&lt;=(COUNTIF(ASCOPE_PMESII!$B$3:$B$62,"RISK")+COUNTIF(ASCOPE_PMESII!$D$3:$D$62,"RISK")),IFERROR(INDEX(ASCOPE_PMESII!$E$3:$E$62,_xlfn.AGGREGATE(15,6,(ROW(ASCOPE_PMESII!$D$3:$D$62)-ROW(ASCOPE_PMESII!$D$3)+1)/(ASCOPE_PMESII!$D$3:$D$62="RISK"),13-(COUNTIF(ASCOPE_PMESII!$B$3:$B$62,"RISK")))),""),IF(13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13-(COUNTIF(ASCOPE_PMESII!$B$3:$B$62,"RISK")+COUNTIF(ASCOPE_PMESII!$D$3:$D$62,"RISK")))),""),IF(13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13-(COUNTIF(ASCOPE_PMESII!$B$3:$B$62,"RISK")+COUNTIF(ASCOPE_PMESII!$D$3:$D$62,"RISK")+COUNTIF(ASCOPE_PMESII!$F$3:$F$62,"RISK")))),""),IF(13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13-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13-(COUNTIF(ASCOPE_PMESII!$B$3:$B$62,"RISK")+COUNTIF(ASCOPE_PMESII!$D$3:$D$62,"RISK")+COUNTIF(ASCOPE_PMESII!$F$3:$F$62,"RISK")+COUNTIF(ASCOPE_PMESII!$H$3:$H$62,"RISK")+COUNTIF(ASCOPE_PMESII!$J$3:$J$62,"RISK")))),"")))))),"")</f>
        <v>NATO overreach undermines GoIND legitimacy</v>
      </c>
      <c r="D16" s="21" t="str">
        <f t="array" ref="D16">IFERROR(IF(13&lt;=COUNTIF(ASCOPE_PMESII!$B$3:$B$62,"CV"),IFERROR(INDEX(ASCOPE_PMESII!$C$3:$C$62,_xlfn.AGGREGATE(15,6,(ROW(ASCOPE_PMESII!$B$3:$B$62)-ROW(ASCOPE_PMESII!$B$3)+1)/(ASCOPE_PMESII!$B$3:$B$62="CV"),13)),""),IF(13&lt;=(COUNTIF(ASCOPE_PMESII!$B$3:$B$62,"CV")+COUNTIF(ASCOPE_PMESII!$D$3:$D$62,"CV")),IFERROR(INDEX(ASCOPE_PMESII!$E$3:$E$62,_xlfn.AGGREGATE(15,6,(ROW(ASCOPE_PMESII!$D$3:$D$62)-ROW(ASCOPE_PMESII!$D$3)+1)/(ASCOPE_PMESII!$D$3:$D$62="CV"),13-(COUNTIF(ASCOPE_PMESII!$B$3:$B$62,"CV")))),""),IF(13&lt;=(COUNTIF(ASCOPE_PMESII!$B$3:$B$62,"CV")+COUNTIF(ASCOPE_PMESII!$D$3:$D$62,"CV")+COUNTIF(ASCOPE_PMESII!$F$3:$F$62,"CV")),IFERROR(INDEX(ASCOPE_PMESII!$G$3:$G$62,_xlfn.AGGREGATE(15,6,(ROW(ASCOPE_PMESII!$F$3:$F$62)-ROW(ASCOPE_PMESII!$F$3)+1)/(ASCOPE_PMESII!$F$3:$F$62="CV"),13-(COUNTIF(ASCOPE_PMESII!$B$3:$B$62,"CV")+COUNTIF(ASCOPE_PMESII!$D$3:$D$62,"CV")))),""),IF(13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13-(COUNTIF(ASCOPE_PMESII!$B$3:$B$62,"CV")+COUNTIF(ASCOPE_PMESII!$D$3:$D$62,"CV")+COUNTIF(ASCOPE_PMESII!$F$3:$F$62,"CV")))),""),IF(13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13-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13-(COUNTIF(ASCOPE_PMESII!$B$3:$B$62,"CV")+COUNTIF(ASCOPE_PMESII!$D$3:$D$62,"CV")+COUNTIF(ASCOPE_PMESII!$F$3:$F$62,"CV")+COUNTIF(ASCOPE_PMESII!$H$3:$H$62,"CV")+COUNTIF(ASCOPE_PMESII!$J$3:$J$62,"CV")))),"")))))),"")</f>
        <v>BELAWAN, MEDAN and DUMAI enable joint defence</v>
      </c>
      <c r="E16" s="21" t="str">
        <f t="array" ref="E16">IFERROR(IF(13&lt;=COUNTIF(ASCOPE_PMESII!$B$3:$B$62,"COR"),IFERROR(INDEX(ASCOPE_PMESII!$C$3:$C$62,_xlfn.AGGREGATE(15,6,(ROW(ASCOPE_PMESII!$B$3:$B$62)-ROW(ASCOPE_PMESII!$B$3)+1)/(ASCOPE_PMESII!$B$3:$B$62="COR"),13)),""),IF(13&lt;=(COUNTIF(ASCOPE_PMESII!$B$3:$B$62,"COR")+COUNTIF(ASCOPE_PMESII!$D$3:$D$62,"COR")),IFERROR(INDEX(ASCOPE_PMESII!$E$3:$E$62,_xlfn.AGGREGATE(15,6,(ROW(ASCOPE_PMESII!$D$3:$D$62)-ROW(ASCOPE_PMESII!$D$3)+1)/(ASCOPE_PMESII!$D$3:$D$62="COR"),13-(COUNTIF(ASCOPE_PMESII!$B$3:$B$62,"COR")))),""),IF(13&lt;=(COUNTIF(ASCOPE_PMESII!$B$3:$B$62,"COR")+COUNTIF(ASCOPE_PMESII!$D$3:$D$62,"COR")+COUNTIF(ASCOPE_PMESII!$F$3:$F$62,"COR")),IFERROR(INDEX(ASCOPE_PMESII!$G$3:$G$62,_xlfn.AGGREGATE(15,6,(ROW(ASCOPE_PMESII!$F$3:$F$62)-ROW(ASCOPE_PMESII!$F$3)+1)/(ASCOPE_PMESII!$F$3:$F$62="COR"),13-(COUNTIF(ASCOPE_PMESII!$B$3:$B$62,"COR")+COUNTIF(ASCOPE_PMESII!$D$3:$D$62,"COR")))),""),IF(13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13-(COUNTIF(ASCOPE_PMESII!$B$3:$B$62,"COR")+COUNTIF(ASCOPE_PMESII!$D$3:$D$62,"COR")+COUNTIF(ASCOPE_PMESII!$F$3:$F$62,"COR")))),""),IF(13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13-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13-(COUNTIF(ASCOPE_PMESII!$B$3:$B$62,"COR")+COUNTIF(ASCOPE_PMESII!$D$3:$D$62,"COR")+COUNTIF(ASCOPE_PMESII!$F$3:$F$62,"COR")+COUNTIF(ASCOPE_PMESII!$H$3:$H$62,"COR")+COUNTIF(ASCOPE_PMESII!$J$3:$J$62,"COR")))),"")))))),"")</f>
        <v>Enable GoIND entry through secured XPOD</v>
      </c>
      <c r="F16" s="21" t="str">
        <f t="array" ref="F16">IFERROR(IF(13&lt;=COUNTIF(ASCOPE_PMESII!$B$3:$B$62,"REQT"),IFERROR(INDEX(ASCOPE_PMESII!$C$3:$C$62,_xlfn.AGGREGATE(15,6,(ROW(ASCOPE_PMESII!$B$3:$B$62)-ROW(ASCOPE_PMESII!$B$3)+1)/(ASCOPE_PMESII!$B$3:$B$62="REQT"),13)),""),IF(13&lt;=(COUNTIF(ASCOPE_PMESII!$B$3:$B$62,"REQT")+COUNTIF(ASCOPE_PMESII!$D$3:$D$62,"REQT")),IFERROR(INDEX(ASCOPE_PMESII!$E$3:$E$62,_xlfn.AGGREGATE(15,6,(ROW(ASCOPE_PMESII!$D$3:$D$62)-ROW(ASCOPE_PMESII!$D$3)+1)/(ASCOPE_PMESII!$D$3:$D$62="REQT"),13-(COUNTIF(ASCOPE_PMESII!$B$3:$B$62,"REQT")))),""),IF(13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13-(COUNTIF(ASCOPE_PMESII!$B$3:$B$62,"REQT")+COUNTIF(ASCOPE_PMESII!$D$3:$D$62,"REQT")))),""),IF(13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13-(COUNTIF(ASCOPE_PMESII!$B$3:$B$62,"REQT")+COUNTIF(ASCOPE_PMESII!$D$3:$D$62,"REQT")+COUNTIF(ASCOPE_PMESII!$F$3:$F$62,"REQT")))),""),IF(13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13-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13-(COUNTIF(ASCOPE_PMESII!$B$3:$B$62,"REQT")+COUNTIF(ASCOPE_PMESII!$D$3:$D$62,"REQT")+COUNTIF(ASCOPE_PMESII!$F$3:$F$62,"REQT")+COUNTIF(ASCOPE_PMESII!$H$3:$H$62,"REQT")+COUNTIF(ASCOPE_PMESII!$J$3:$J$62,"REQT")))),"")))))),"")</f>
        <v/>
      </c>
      <c r="G16" s="21" t="str">
        <f t="array" ref="G16">IFERROR(IF(13&lt;=COUNTIF(ASCOPE_PMESII!$B$3:$B$62,"REST"),IFERROR(INDEX(ASCOPE_PMESII!$C$3:$C$62,_xlfn.AGGREGATE(15,6,(ROW(ASCOPE_PMESII!$B$3:$B$62)-ROW(ASCOPE_PMESII!$B$3)+1)/(ASCOPE_PMESII!$B$3:$B$62="REST"),13)),""),IF(13&lt;=(COUNTIF(ASCOPE_PMESII!$B$3:$B$62,"REST")+COUNTIF(ASCOPE_PMESII!$D$3:$D$62,"REST")),IFERROR(INDEX(ASCOPE_PMESII!$E$3:$E$62,_xlfn.AGGREGATE(15,6,(ROW(ASCOPE_PMESII!$D$3:$D$62)-ROW(ASCOPE_PMESII!$D$3)+1)/(ASCOPE_PMESII!$D$3:$D$62="REST"),13-(COUNTIF(ASCOPE_PMESII!$B$3:$B$62,"REST")))),""),IF(13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13-(COUNTIF(ASCOPE_PMESII!$B$3:$B$62,"REST")+COUNTIF(ASCOPE_PMESII!$D$3:$D$62,"REST")))),""),IF(13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13-(COUNTIF(ASCOPE_PMESII!$B$3:$B$62,"REST")+COUNTIF(ASCOPE_PMESII!$D$3:$D$62,"REST")+COUNTIF(ASCOPE_PMESII!$F$3:$F$62,"REST")))),""),IF(13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13-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13-(COUNTIF(ASCOPE_PMESII!$B$3:$B$62,"REST")+COUNTIF(ASCOPE_PMESII!$D$3:$D$62,"REST")+COUNTIF(ASCOPE_PMESII!$F$3:$F$62,"REST")+COUNTIF(ASCOPE_PMESII!$H$3:$H$62,"REST")+COUNTIF(ASCOPE_PMESII!$J$3:$J$62,"REST")))),"")))))),"")</f>
        <v/>
      </c>
      <c r="H16" s="21" t="str">
        <f t="array" ref="H16">IFERROR(IF(13&lt;=COUNTIF(ASCOPE_PMESII!$B$3:$B$62,"KCD-MUST"),IFERROR(INDEX(ASCOPE_PMESII!$C$3:$C$62,_xlfn.AGGREGATE(15,6,(ROW(ASCOPE_PMESII!$B$3:$B$62)-ROW(ASCOPE_PMESII!$B$3)+1)/(ASCOPE_PMESII!$B$3:$B$62="KCD-MUST"),13)),""),IF(13&lt;=(COUNTIF(ASCOPE_PMESII!$B$3:$B$62,"KCD-MUST")+COUNTIF(ASCOPE_PMESII!$D$3:$D$62,"KCD-MUST")),IFERROR(INDEX(ASCOPE_PMESII!$E$3:$E$62,_xlfn.AGGREGATE(15,6,(ROW(ASCOPE_PMESII!$D$3:$D$62)-ROW(ASCOPE_PMESII!$D$3)+1)/(ASCOPE_PMESII!$D$3:$D$62="KCD-MUST"),13-(COUNTIF(ASCOPE_PMESII!$B$3:$B$62,"KCD-MUST")))),""),IF(13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13-(COUNTIF(ASCOPE_PMESII!$B$3:$B$62,"KCD-MUST")+COUNTIF(ASCOPE_PMESII!$D$3:$D$62,"KCD-MUST")))),""),IF(13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13-(COUNTIF(ASCOPE_PMESII!$B$3:$B$62,"KCD-MUST")+COUNTIF(ASCOPE_PMESII!$D$3:$D$62,"KCD-MUST")+COUNTIF(ASCOPE_PMESII!$F$3:$F$62,"KCD-MUST")))),""),IF(13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13-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13-(COUNTIF(ASCOPE_PMESII!$B$3:$B$62,"KCD-MUST")+COUNTIF(ASCOPE_PMESII!$D$3:$D$62,"KCD-MUST")+COUNTIF(ASCOPE_PMESII!$F$3:$F$62,"KCD-MUST")+COUNTIF(ASCOPE_PMESII!$H$3:$H$62,"KCD-MUST")+COUNTIF(ASCOPE_PMESII!$J$3:$J$62,"KCD-MUST")))),"")))))),"")</f>
        <v>GoIND must be face of restored authority</v>
      </c>
      <c r="I16" s="21" t="str">
        <f t="array" ref="I16">IFERROR(IF(13&lt;=COUNTIF(ASCOPE_PMESII!$B$3:$B$62,"KCD-SHOULD"),IFERROR(INDEX(ASCOPE_PMESII!$C$3:$C$62,_xlfn.AGGREGATE(15,6,(ROW(ASCOPE_PMESII!$B$3:$B$62)-ROW(ASCOPE_PMESII!$B$3)+1)/(ASCOPE_PMESII!$B$3:$B$62="KCD-SHOULD"),13)),""),IF(13&lt;=(COUNTIF(ASCOPE_PMESII!$B$3:$B$62,"KCD-SHOULD")+COUNTIF(ASCOPE_PMESII!$D$3:$D$62,"KCD-SHOULD")),IFERROR(INDEX(ASCOPE_PMESII!$E$3:$E$62,_xlfn.AGGREGATE(15,6,(ROW(ASCOPE_PMESII!$D$3:$D$62)-ROW(ASCOPE_PMESII!$D$3)+1)/(ASCOPE_PMESII!$D$3:$D$62="KCD-SHOULD"),13-(COUNTIF(ASCOPE_PMESII!$B$3:$B$62,"KCD-SHOULD")))),""),IF(13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13-(COUNTIF(ASCOPE_PMESII!$B$3:$B$62,"KCD-SHOULD")+COUNTIF(ASCOPE_PMESII!$D$3:$D$62,"KCD-SHOULD")))),""),IF(13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13-(COUNTIF(ASCOPE_PMESII!$B$3:$B$62,"KCD-SHOULD")+COUNTIF(ASCOPE_PMESII!$D$3:$D$62,"KCD-SHOULD")+COUNTIF(ASCOPE_PMESII!$F$3:$F$62,"KCD-SHOULD")))),""),IF(13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13-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13-(COUNTIF(ASCOPE_PMESII!$B$3:$B$62,"KCD-SHOULD")+COUNTIF(ASCOPE_PMESII!$D$3:$D$62,"KCD-SHOULD")+COUNTIF(ASCOPE_PMESII!$F$3:$F$62,"KCD-SHOULD")+COUNTIF(ASCOPE_PMESII!$H$3:$H$62,"KCD-SHOULD")+COUNTIF(ASCOPE_PMESII!$J$3:$J$62,"KCD-SHOULD")))),"")))))),"")</f>
        <v>Use NATO to enable, not replace, governance</v>
      </c>
      <c r="J16" s="21" t="str">
        <f t="array" ref="J16">IFERROR(IF(13&lt;=COUNTIF(ASCOPE_PMESII!$B$3:$B$62,"KCD-SHOULD NOT"),IFERROR(INDEX(ASCOPE_PMESII!$C$3:$C$62,_xlfn.AGGREGATE(15,6,(ROW(ASCOPE_PMESII!$B$3:$B$62)-ROW(ASCOPE_PMESII!$B$3)+1)/(ASCOPE_PMESII!$B$3:$B$62="KCD-SHOULD NOT"),13)),""),IF(13&lt;=(COUNTIF(ASCOPE_PMESII!$B$3:$B$62,"KCD-SHOULD NOT")+COUNTIF(ASCOPE_PMESII!$D$3:$D$62,"KCD-SHOULD NOT")),IFERROR(INDEX(ASCOPE_PMESII!$E$3:$E$62,_xlfn.AGGREGATE(15,6,(ROW(ASCOPE_PMESII!$D$3:$D$62)-ROW(ASCOPE_PMESII!$D$3)+1)/(ASCOPE_PMESII!$D$3:$D$62="KCD-SHOULD NOT"),13-(COUNTIF(ASCOPE_PMESII!$B$3:$B$62,"KCD-SHOULD NOT")))),""),IF(13&lt;=(COUNTIF(ASCOPE_PMESII!$B$3:$B$62,"KCD-SHOULD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NOT"),13-(COUNTIF(ASCOPE_PMESII!$B$3:$B$62,"KCD-SHOULD NOT")+COUNTIF(ASCOPE_PMESII!$D$3:$D$62,"KCD-SHOULD NOT")))),""),IF(13&lt;=(COUNTIF(ASCOPE_PMESII!$B$3:$B$62,"KCD-SHOULD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NOT"),13-(COUNTIF(ASCOPE_PMESII!$B$3:$B$62,"KCD-SHOULD NOT")+COUNTIF(ASCOPE_PMESII!$D$3:$D$62,"KCD-SHOULD NOT")+COUNTIF(ASCOPE_PMESII!$F$3:$F$62,"KCD-SHOULD NOT")))),""),IF(13&lt;=(COUNTIF(ASCOPE_PMESII!$B$3:$B$62,"KCD-SHOULD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NOT"),13-(COUNTIF(ASCOPE_PMESII!$B$3:$B$62,"KCD-SHOULD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NOT"),13-(COUNTIF(ASCOPE_PMESII!$B$3:$B$62,"KCD-SHOULD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16" s="21" t="str">
        <f t="array" ref="K16">IFERROR(IF(13&lt;=COUNTIF(ASCOPE_PMESII!$B$3:$B$62,"KCD-CANNOT"),IFERROR(INDEX(ASCOPE_PMESII!$C$3:$C$62,_xlfn.AGGREGATE(15,6,(ROW(ASCOPE_PMESII!$B$3:$B$62)-ROW(ASCOPE_PMESII!$B$3)+1)/(ASCOPE_PMESII!$B$3:$B$62="KCD-CANNOT"),13)),""),IF(13&lt;=(COUNTIF(ASCOPE_PMESII!$B$3:$B$62,"KCD-CANNOT")+COUNTIF(ASCOPE_PMESII!$D$3:$D$62,"KCD-CANNOT")),IFERROR(INDEX(ASCOPE_PMESII!$E$3:$E$62,_xlfn.AGGREGATE(15,6,(ROW(ASCOPE_PMESII!$D$3:$D$62)-ROW(ASCOPE_PMESII!$D$3)+1)/(ASCOPE_PMESII!$D$3:$D$62="KCD-CANNOT"),13-(COUNTIF(ASCOPE_PMESII!$B$3:$B$62,"KCD-CANNOT")))),""),IF(13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13-(COUNTIF(ASCOPE_PMESII!$B$3:$B$62,"KCD-CANNOT")+COUNTIF(ASCOPE_PMESII!$D$3:$D$62,"KCD-CANNOT")))),""),IF(13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13-(COUNTIF(ASCOPE_PMESII!$B$3:$B$62,"KCD-CANNOT")+COUNTIF(ASCOPE_PMESII!$D$3:$D$62,"KCD-CANNOT")+COUNTIF(ASCOPE_PMESII!$F$3:$F$62,"KCD-CANNOT")))),""),IF(13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13-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13-(COUNTIF(ASCOPE_PMESII!$B$3:$B$62,"KCD-CANNOT")+COUNTIF(ASCOPE_PMESII!$D$3:$D$62,"KCD-CANNOT")+COUNTIF(ASCOPE_PMESII!$F$3:$F$62,"KCD-CANNOT")+COUNTIF(ASCOPE_PMESII!$H$3:$H$62,"KCD-CANNOT")+COUNTIF(ASCOPE_PMESII!$J$3:$J$62,"KCD-CANNOT")))),"")))))),"")</f>
        <v>Cannot rebuild sovereignty by NATO-only action</v>
      </c>
      <c r="L16" s="21" t="str">
        <f t="array" ref="L16">IFERROR(IF(13&lt;=COUNTIF(ASCOPE_PMESII!$B$3:$B$62,"DECISION"),IFERROR(INDEX(ASCOPE_PMESII!$C$3:$C$62,_xlfn.AGGREGATE(15,6,(ROW(ASCOPE_PMESII!$B$3:$B$62)-ROW(ASCOPE_PMESII!$B$3)+1)/(ASCOPE_PMESII!$B$3:$B$62="DECISION"),13)),""),IF(13&lt;=(COUNTIF(ASCOPE_PMESII!$B$3:$B$62,"DECISION")+COUNTIF(ASCOPE_PMESII!$D$3:$D$62,"DECISION")),IFERROR(INDEX(ASCOPE_PMESII!$E$3:$E$62,_xlfn.AGGREGATE(15,6,(ROW(ASCOPE_PMESII!$D$3:$D$62)-ROW(ASCOPE_PMESII!$D$3)+1)/(ASCOPE_PMESII!$D$3:$D$62="DECISION"),13-(COUNTIF(ASCOPE_PMESII!$B$3:$B$62,"DECISION")))),""),IF(13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13-(COUNTIF(ASCOPE_PMESII!$B$3:$B$62,"DECISION")+COUNTIF(ASCOPE_PMESII!$D$3:$D$62,"DECISION")))),""),IF(13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13-(COUNTIF(ASCOPE_PMESII!$B$3:$B$62,"DECISION")+COUNTIF(ASCOPE_PMESII!$D$3:$D$62,"DECISION")+COUNTIF(ASCOPE_PMESII!$F$3:$F$62,"DECISION")))),""),IF(13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13-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13-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16" s="21" t="str">
        <f t="array" ref="M16">IFERROR(IF(13&lt;=COUNTIF(ASCOPE_PMESII!$B$3:$B$62,"ASSUMPTION"),IFERROR(INDEX(ASCOPE_PMESII!$C$3:$C$62,_xlfn.AGGREGATE(15,6,(ROW(ASCOPE_PMESII!$B$3:$B$62)-ROW(ASCOPE_PMESII!$B$3)+1)/(ASCOPE_PMESII!$B$3:$B$62="ASSUMPTION"),13)),""),IF(13&lt;=(COUNTIF(ASCOPE_PMESII!$B$3:$B$62,"ASSUMPTION")+COUNTIF(ASCOPE_PMESII!$D$3:$D$62,"ASSUMPTION")),IFERROR(INDEX(ASCOPE_PMESII!$E$3:$E$62,_xlfn.AGGREGATE(15,6,(ROW(ASCOPE_PMESII!$D$3:$D$62)-ROW(ASCOPE_PMESII!$D$3)+1)/(ASCOPE_PMESII!$D$3:$D$62="ASSUMPTION"),13-(COUNTIF(ASCOPE_PMESII!$B$3:$B$62,"ASSUMPTION")))),""),IF(13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13-(COUNTIF(ASCOPE_PMESII!$B$3:$B$62,"ASSUMPTION")+COUNTIF(ASCOPE_PMESII!$D$3:$D$62,"ASSUMPTION")))),""),IF(13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13-(COUNTIF(ASCOPE_PMESII!$B$3:$B$62,"ASSUMPTION")+COUNTIF(ASCOPE_PMESII!$D$3:$D$62,"ASSUMPTION")+COUNTIF(ASCOPE_PMESII!$F$3:$F$62,"ASSUMPTION")))),""),IF(13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13-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13-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16" s="21" t="str">
        <f t="array" ref="N16">IFERROR(IF(13&lt;=COUNTIF(ASCOPE_PMESII!$B$3:$B$62,"CONSTRAINT"),IFERROR(INDEX(ASCOPE_PMESII!$C$3:$C$62,_xlfn.AGGREGATE(15,6,(ROW(ASCOPE_PMESII!$B$3:$B$62)-ROW(ASCOPE_PMESII!$B$3)+1)/(ASCOPE_PMESII!$B$3:$B$62="CONSTRAINT"),13)),""),IF(13&lt;=(COUNTIF(ASCOPE_PMESII!$B$3:$B$62,"CONSTRAINT")+COUNTIF(ASCOPE_PMESII!$D$3:$D$62,"CONSTRAINT")),IFERROR(INDEX(ASCOPE_PMESII!$E$3:$E$62,_xlfn.AGGREGATE(15,6,(ROW(ASCOPE_PMESII!$D$3:$D$62)-ROW(ASCOPE_PMESII!$D$3)+1)/(ASCOPE_PMESII!$D$3:$D$62="CONSTRAINT"),13-(COUNTIF(ASCOPE_PMESII!$B$3:$B$62,"CONSTRAINT")))),""),IF(13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13-(COUNTIF(ASCOPE_PMESII!$B$3:$B$62,"CONSTRAINT")+COUNTIF(ASCOPE_PMESII!$D$3:$D$62,"CONSTRAINT")))),""),IF(13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13-(COUNTIF(ASCOPE_PMESII!$B$3:$B$62,"CONSTRAINT")+COUNTIF(ASCOPE_PMESII!$D$3:$D$62,"CONSTRAINT")+COUNTIF(ASCOPE_PMESII!$F$3:$F$62,"CONSTRAINT")))),""),IF(13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13-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13-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16" s="21" t="str">
        <f t="array" ref="O16">IFERROR(IF(13&lt;=COUNTIF(ASCOPE_PMESII!$B$3:$B$62,"LIMITATION"),IFERROR(INDEX(ASCOPE_PMESII!$C$3:$C$62,_xlfn.AGGREGATE(15,6,(ROW(ASCOPE_PMESII!$B$3:$B$62)-ROW(ASCOPE_PMESII!$B$3)+1)/(ASCOPE_PMESII!$B$3:$B$62="LIMITATION"),13)),""),IF(13&lt;=(COUNTIF(ASCOPE_PMESII!$B$3:$B$62,"LIMITATION")+COUNTIF(ASCOPE_PMESII!$D$3:$D$62,"LIMITATION")),IFERROR(INDEX(ASCOPE_PMESII!$E$3:$E$62,_xlfn.AGGREGATE(15,6,(ROW(ASCOPE_PMESII!$D$3:$D$62)-ROW(ASCOPE_PMESII!$D$3)+1)/(ASCOPE_PMESII!$D$3:$D$62="LIMITATION"),13-(COUNTIF(ASCOPE_PMESII!$B$3:$B$62,"LIMITATION")))),""),IF(13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13-(COUNTIF(ASCOPE_PMESII!$B$3:$B$62,"LIMITATION")+COUNTIF(ASCOPE_PMESII!$D$3:$D$62,"LIMITATION")))),""),IF(13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13-(COUNTIF(ASCOPE_PMESII!$B$3:$B$62,"LIMITATION")+COUNTIF(ASCOPE_PMESII!$D$3:$D$62,"LIMITATION")+COUNTIF(ASCOPE_PMESII!$F$3:$F$62,"LIMITATION")))),""),IF(13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13-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13-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16" s="21" t="str">
        <f t="array" ref="P16">IFERROR(IF(13&lt;=COUNTIF(ASCOPE_PMESII!$B$3:$B$62,"CC"),IFERROR(INDEX(ASCOPE_PMESII!$C$3:$C$62,_xlfn.AGGREGATE(15,6,(ROW(ASCOPE_PMESII!$B$3:$B$62)-ROW(ASCOPE_PMESII!$B$3)+1)/(ASCOPE_PMESII!$B$3:$B$62="CC"),13)),""),IF(13&lt;=(COUNTIF(ASCOPE_PMESII!$B$3:$B$62,"CC")+COUNTIF(ASCOPE_PMESII!$D$3:$D$62,"CC")),IFERROR(INDEX(ASCOPE_PMESII!$E$3:$E$62,_xlfn.AGGREGATE(15,6,(ROW(ASCOPE_PMESII!$D$3:$D$62)-ROW(ASCOPE_PMESII!$D$3)+1)/(ASCOPE_PMESII!$D$3:$D$62="CC"),13-(COUNTIF(ASCOPE_PMESII!$B$3:$B$62,"CC")))),""),IF(13&lt;=(COUNTIF(ASCOPE_PMESII!$B$3:$B$62,"CC")+COUNTIF(ASCOPE_PMESII!$D$3:$D$62,"CC")+COUNTIF(ASCOPE_PMESII!$F$3:$F$62,"CC")),IFERROR(INDEX(ASCOPE_PMESII!$G$3:$G$62,_xlfn.AGGREGATE(15,6,(ROW(ASCOPE_PMESII!$F$3:$F$62)-ROW(ASCOPE_PMESII!$F$3)+1)/(ASCOPE_PMESII!$F$3:$F$62="CC"),13-(COUNTIF(ASCOPE_PMESII!$B$3:$B$62,"CC")+COUNTIF(ASCOPE_PMESII!$D$3:$D$62,"CC")))),""),IF(13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13-(COUNTIF(ASCOPE_PMESII!$B$3:$B$62,"CC")+COUNTIF(ASCOPE_PMESII!$D$3:$D$62,"CC")+COUNTIF(ASCOPE_PMESII!$F$3:$F$62,"CC")))),""),IF(13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13-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13-(COUNTIF(ASCOPE_PMESII!$B$3:$B$62,"CC")+COUNTIF(ASCOPE_PMESII!$D$3:$D$62,"CC")+COUNTIF(ASCOPE_PMESII!$F$3:$F$62,"CC")+COUNTIF(ASCOPE_PMESII!$H$3:$H$62,"CC")+COUNTIF(ASCOPE_PMESII!$J$3:$J$62,"CC")))),"")))))),"")</f>
        <v>Medan and port cities are social control hubs</v>
      </c>
      <c r="Q16" s="21" t="str">
        <f t="array" ref="Q16">IFERROR(IF(13&lt;=COUNTIF(ASCOPE_PMESII!$B$3:$B$62,"CR"),IFERROR(INDEX(ASCOPE_PMESII!$C$3:$C$62,_xlfn.AGGREGATE(15,6,(ROW(ASCOPE_PMESII!$B$3:$B$62)-ROW(ASCOPE_PMESII!$B$3)+1)/(ASCOPE_PMESII!$B$3:$B$62="CR"),13)),""),IF(13&lt;=(COUNTIF(ASCOPE_PMESII!$B$3:$B$62,"CR")+COUNTIF(ASCOPE_PMESII!$D$3:$D$62,"CR")),IFERROR(INDEX(ASCOPE_PMESII!$E$3:$E$62,_xlfn.AGGREGATE(15,6,(ROW(ASCOPE_PMESII!$D$3:$D$62)-ROW(ASCOPE_PMESII!$D$3)+1)/(ASCOPE_PMESII!$D$3:$D$62="CR"),13-(COUNTIF(ASCOPE_PMESII!$B$3:$B$62,"CR")))),""),IF(13&lt;=(COUNTIF(ASCOPE_PMESII!$B$3:$B$62,"CR")+COUNTIF(ASCOPE_PMESII!$D$3:$D$62,"CR")+COUNTIF(ASCOPE_PMESII!$F$3:$F$62,"CR")),IFERROR(INDEX(ASCOPE_PMESII!$G$3:$G$62,_xlfn.AGGREGATE(15,6,(ROW(ASCOPE_PMESII!$F$3:$F$62)-ROW(ASCOPE_PMESII!$F$3)+1)/(ASCOPE_PMESII!$F$3:$F$62="CR"),13-(COUNTIF(ASCOPE_PMESII!$B$3:$B$62,"CR")+COUNTIF(ASCOPE_PMESII!$D$3:$D$62,"CR")))),""),IF(13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13-(COUNTIF(ASCOPE_PMESII!$B$3:$B$62,"CR")+COUNTIF(ASCOPE_PMESII!$D$3:$D$62,"CR")+COUNTIF(ASCOPE_PMESII!$F$3:$F$62,"CR")))),""),IF(13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13-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13-(COUNTIF(ASCOPE_PMESII!$B$3:$B$62,"CR")+COUNTIF(ASCOPE_PMESII!$D$3:$D$62,"CR")+COUNTIF(ASCOPE_PMESII!$F$3:$F$62,"CR")+COUNTIF(ASCOPE_PMESII!$H$3:$H$62,"CR")+COUNTIF(ASCOPE_PMESII!$J$3:$J$62,"CR")))),"")))))),"")</f>
        <v>Coalition lift and protection enable GoIND re-entry</v>
      </c>
      <c r="R16" s="94" t="str">
        <f t="array" ref="R16">IFERROR(IF(13&lt;=COUNTIF(ASCOPE_PMESII!$B$3:$B$62,"PCS"),IFERROR(INDEX(ASCOPE_PMESII!$C$3:$C$62,_xlfn.AGGREGATE(15,6,(ROW(ASCOPE_PMESII!$B$3:$B$62)-ROW(ASCOPE_PMESII!$B$3)+1)/(ASCOPE_PMESII!$B$3:$B$62="PCS"),13)),""),IF(13&lt;=(COUNTIF(ASCOPE_PMESII!$B$3:$B$62,"PCS")+COUNTIF(ASCOPE_PMESII!$D$3:$D$62,"PCS")),IFERROR(INDEX(ASCOPE_PMESII!$E$3:$E$62,_xlfn.AGGREGATE(15,6,(ROW(ASCOPE_PMESII!$D$3:$D$62)-ROW(ASCOPE_PMESII!$D$3)+1)/(ASCOPE_PMESII!$D$3:$D$62="PCS"),13-(COUNTIF(ASCOPE_PMESII!$B$3:$B$62,"PCS")))),""),IF(13&lt;=(COUNTIF(ASCOPE_PMESII!$B$3:$B$62,"PCS")+COUNTIF(ASCOPE_PMESII!$D$3:$D$62,"PCS")+COUNTIF(ASCOPE_PMESII!$F$3:$F$62,"PCS")),IFERROR(INDEX(ASCOPE_PMESII!$G$3:$G$62,_xlfn.AGGREGATE(15,6,(ROW(ASCOPE_PMESII!$F$3:$F$62)-ROW(ASCOPE_PMESII!$F$3)+1)/(ASCOPE_PMESII!$F$3:$F$62="PCS"),13-(COUNTIF(ASCOPE_PMESII!$B$3:$B$62,"PCS")+COUNTIF(ASCOPE_PMESII!$D$3:$D$62,"PCS")))),""),IF(13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13-(COUNTIF(ASCOPE_PMESII!$B$3:$B$62,"PCS")+COUNTIF(ASCOPE_PMESII!$D$3:$D$62,"PCS")+COUNTIF(ASCOPE_PMESII!$F$3:$F$62,"PCS")))),""),IF(13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13-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13-(COUNTIF(ASCOPE_PMESII!$B$3:$B$62,"PCS")+COUNTIF(ASCOPE_PMESII!$D$3:$D$62,"PCS")+COUNTIF(ASCOPE_PMESII!$F$3:$F$62,"PCS")+COUNTIF(ASCOPE_PMESII!$H$3:$H$62,"PCS")+COUNTIF(ASCOPE_PMESII!$J$3:$J$62,"PCS")))),"")))))),"")</f>
        <v/>
      </c>
    </row>
    <row r="17" spans="1:18" ht="34.5" customHeight="1">
      <c r="A17" s="22" t="str">
        <f t="array" ref="A17">IFERROR(IF(14&lt;=COUNTIF(ASCOPE_PMESII!$B$3:$B$62,"OE"),IFERROR(INDEX(ASCOPE_PMESII!$C$3:$C$62,_xlfn.AGGREGATE(15,6,(ROW(ASCOPE_PMESII!$B$3:$B$62)-ROW(ASCOPE_PMESII!$B$3)+1)/(ASCOPE_PMESII!$B$3:$B$62="OE"),14)),""),IF(14&lt;=(COUNTIF(ASCOPE_PMESII!$B$3:$B$62,"OE")+COUNTIF(ASCOPE_PMESII!$D$3:$D$62,"OE")),IFERROR(INDEX(ASCOPE_PMESII!$E$3:$E$62,_xlfn.AGGREGATE(15,6,(ROW(ASCOPE_PMESII!$D$3:$D$62)-ROW(ASCOPE_PMESII!$D$3)+1)/(ASCOPE_PMESII!$D$3:$D$62="OE"),14-(COUNTIF(ASCOPE_PMESII!$B$3:$B$62,"OE")))),""),IF(14&lt;=(COUNTIF(ASCOPE_PMESII!$B$3:$B$62,"OE")+COUNTIF(ASCOPE_PMESII!$D$3:$D$62,"OE")+COUNTIF(ASCOPE_PMESII!$F$3:$F$62,"OE")),IFERROR(INDEX(ASCOPE_PMESII!$G$3:$G$62,_xlfn.AGGREGATE(15,6,(ROW(ASCOPE_PMESII!$F$3:$F$62)-ROW(ASCOPE_PMESII!$F$3)+1)/(ASCOPE_PMESII!$F$3:$F$62="OE"),14-(COUNTIF(ASCOPE_PMESII!$B$3:$B$62,"OE")+COUNTIF(ASCOPE_PMESII!$D$3:$D$62,"OE")))),""),IF(14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14-(COUNTIF(ASCOPE_PMESII!$B$3:$B$62,"OE")+COUNTIF(ASCOPE_PMESII!$D$3:$D$62,"OE")+COUNTIF(ASCOPE_PMESII!$F$3:$F$62,"OE")))),""),IF(14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14-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14-(COUNTIF(ASCOPE_PMESII!$B$3:$B$62,"OE")+COUNTIF(ASCOPE_PMESII!$D$3:$D$62,"OE")+COUNTIF(ASCOPE_PMESII!$F$3:$F$62,"OE")+COUNTIF(ASCOPE_PMESII!$H$3:$H$62,"OE")+COUNTIF(ASCOPE_PMESII!$J$3:$J$62,"OE")))),"")))))),"")</f>
        <v/>
      </c>
      <c r="B17" s="22" t="str">
        <f t="array" ref="B17">IFERROR(IF(14&lt;=COUNTIF(ASCOPE_PMESII!$B$3:$B$62,"OA"),IFERROR(INDEX(ASCOPE_PMESII!$C$3:$C$62,_xlfn.AGGREGATE(15,6,(ROW(ASCOPE_PMESII!$B$3:$B$62)-ROW(ASCOPE_PMESII!$B$3)+1)/(ASCOPE_PMESII!$B$3:$B$62="OA"),14)),""),IF(14&lt;=(COUNTIF(ASCOPE_PMESII!$B$3:$B$62,"OA")+COUNTIF(ASCOPE_PMESII!$D$3:$D$62,"OA")),IFERROR(INDEX(ASCOPE_PMESII!$E$3:$E$62,_xlfn.AGGREGATE(15,6,(ROW(ASCOPE_PMESII!$D$3:$D$62)-ROW(ASCOPE_PMESII!$D$3)+1)/(ASCOPE_PMESII!$D$3:$D$62="OA"),14-(COUNTIF(ASCOPE_PMESII!$B$3:$B$62,"OA")))),""),IF(14&lt;=(COUNTIF(ASCOPE_PMESII!$B$3:$B$62,"OA")+COUNTIF(ASCOPE_PMESII!$D$3:$D$62,"OA")+COUNTIF(ASCOPE_PMESII!$F$3:$F$62,"OA")),IFERROR(INDEX(ASCOPE_PMESII!$G$3:$G$62,_xlfn.AGGREGATE(15,6,(ROW(ASCOPE_PMESII!$F$3:$F$62)-ROW(ASCOPE_PMESII!$F$3)+1)/(ASCOPE_PMESII!$F$3:$F$62="OA"),14-(COUNTIF(ASCOPE_PMESII!$B$3:$B$62,"OA")+COUNTIF(ASCOPE_PMESII!$D$3:$D$62,"OA")))),""),IF(14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14-(COUNTIF(ASCOPE_PMESII!$B$3:$B$62,"OA")+COUNTIF(ASCOPE_PMESII!$D$3:$D$62,"OA")+COUNTIF(ASCOPE_PMESII!$F$3:$F$62,"OA")))),""),IF(14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14-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14-(COUNTIF(ASCOPE_PMESII!$B$3:$B$62,"OA")+COUNTIF(ASCOPE_PMESII!$D$3:$D$62,"OA")+COUNTIF(ASCOPE_PMESII!$F$3:$F$62,"OA")+COUNTIF(ASCOPE_PMESII!$H$3:$H$62,"OA")+COUNTIF(ASCOPE_PMESII!$J$3:$J$62,"OA")))),"")))))),"")</f>
        <v/>
      </c>
      <c r="C17" s="22" t="str">
        <f t="array" ref="C17">IFERROR(IF(14&lt;=COUNTIF(ASCOPE_PMESII!$B$3:$B$62,"RISK"),IFERROR(INDEX(ASCOPE_PMESII!$C$3:$C$62,_xlfn.AGGREGATE(15,6,(ROW(ASCOPE_PMESII!$B$3:$B$62)-ROW(ASCOPE_PMESII!$B$3)+1)/(ASCOPE_PMESII!$B$3:$B$62="RISK"),14)),""),IF(14&lt;=(COUNTIF(ASCOPE_PMESII!$B$3:$B$62,"RISK")+COUNTIF(ASCOPE_PMESII!$D$3:$D$62,"RISK")),IFERROR(INDEX(ASCOPE_PMESII!$E$3:$E$62,_xlfn.AGGREGATE(15,6,(ROW(ASCOPE_PMESII!$D$3:$D$62)-ROW(ASCOPE_PMESII!$D$3)+1)/(ASCOPE_PMESII!$D$3:$D$62="RISK"),14-(COUNTIF(ASCOPE_PMESII!$B$3:$B$62,"RISK")))),""),IF(14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14-(COUNTIF(ASCOPE_PMESII!$B$3:$B$62,"RISK")+COUNTIF(ASCOPE_PMESII!$D$3:$D$62,"RISK")))),""),IF(14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14-(COUNTIF(ASCOPE_PMESII!$B$3:$B$62,"RISK")+COUNTIF(ASCOPE_PMESII!$D$3:$D$62,"RISK")+COUNTIF(ASCOPE_PMESII!$F$3:$F$62,"RISK")))),""),IF(14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14-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14-(COUNTIF(ASCOPE_PMESII!$B$3:$B$62,"RISK")+COUNTIF(ASCOPE_PMESII!$D$3:$D$62,"RISK")+COUNTIF(ASCOPE_PMESII!$F$3:$F$62,"RISK")+COUNTIF(ASCOPE_PMESII!$H$3:$H$62,"RISK")+COUNTIF(ASCOPE_PMESII!$J$3:$J$62,"RISK")))),"")))))),"")</f>
        <v>Single ship loss can fracture NATO will</v>
      </c>
      <c r="D17" s="22" t="str">
        <f t="array" ref="D17">IFERROR(IF(14&lt;=COUNTIF(ASCOPE_PMESII!$B$3:$B$62,"CV"),IFERROR(INDEX(ASCOPE_PMESII!$C$3:$C$62,_xlfn.AGGREGATE(15,6,(ROW(ASCOPE_PMESII!$B$3:$B$62)-ROW(ASCOPE_PMESII!$B$3)+1)/(ASCOPE_PMESII!$B$3:$B$62="CV"),14)),""),IF(14&lt;=(COUNTIF(ASCOPE_PMESII!$B$3:$B$62,"CV")+COUNTIF(ASCOPE_PMESII!$D$3:$D$62,"CV")),IFERROR(INDEX(ASCOPE_PMESII!$E$3:$E$62,_xlfn.AGGREGATE(15,6,(ROW(ASCOPE_PMESII!$D$3:$D$62)-ROW(ASCOPE_PMESII!$D$3)+1)/(ASCOPE_PMESII!$D$3:$D$62="CV"),14-(COUNTIF(ASCOPE_PMESII!$B$3:$B$62,"CV")))),""),IF(14&lt;=(COUNTIF(ASCOPE_PMESII!$B$3:$B$62,"CV")+COUNTIF(ASCOPE_PMESII!$D$3:$D$62,"CV")+COUNTIF(ASCOPE_PMESII!$F$3:$F$62,"CV")),IFERROR(INDEX(ASCOPE_PMESII!$G$3:$G$62,_xlfn.AGGREGATE(15,6,(ROW(ASCOPE_PMESII!$F$3:$F$62)-ROW(ASCOPE_PMESII!$F$3)+1)/(ASCOPE_PMESII!$F$3:$F$62="CV"),14-(COUNTIF(ASCOPE_PMESII!$B$3:$B$62,"CV")+COUNTIF(ASCOPE_PMESII!$D$3:$D$62,"CV")))),""),IF(14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14-(COUNTIF(ASCOPE_PMESII!$B$3:$B$62,"CV")+COUNTIF(ASCOPE_PMESII!$D$3:$D$62,"CV")+COUNTIF(ASCOPE_PMESII!$F$3:$F$62,"CV")))),""),IF(14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14-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14-(COUNTIF(ASCOPE_PMESII!$B$3:$B$62,"CV")+COUNTIF(ASCOPE_PMESII!$D$3:$D$62,"CV")+COUNTIF(ASCOPE_PMESII!$F$3:$F$62,"CV")+COUNTIF(ASCOPE_PMESII!$H$3:$H$62,"CV")+COUNTIF(ASCOPE_PMESII!$J$3:$J$62,"CV")))),"")))))),"")</f>
        <v>Same nodes fund IRS and enable GoIND recovery</v>
      </c>
      <c r="E17" s="22" t="str">
        <f t="array" ref="E17">IFERROR(IF(14&lt;=COUNTIF(ASCOPE_PMESII!$B$3:$B$62,"COR"),IFERROR(INDEX(ASCOPE_PMESII!$C$3:$C$62,_xlfn.AGGREGATE(15,6,(ROW(ASCOPE_PMESII!$B$3:$B$62)-ROW(ASCOPE_PMESII!$B$3)+1)/(ASCOPE_PMESII!$B$3:$B$62="COR"),14)),""),IF(14&lt;=(COUNTIF(ASCOPE_PMESII!$B$3:$B$62,"COR")+COUNTIF(ASCOPE_PMESII!$D$3:$D$62,"COR")),IFERROR(INDEX(ASCOPE_PMESII!$E$3:$E$62,_xlfn.AGGREGATE(15,6,(ROW(ASCOPE_PMESII!$D$3:$D$62)-ROW(ASCOPE_PMESII!$D$3)+1)/(ASCOPE_PMESII!$D$3:$D$62="COR"),14-(COUNTIF(ASCOPE_PMESII!$B$3:$B$62,"COR")))),""),IF(14&lt;=(COUNTIF(ASCOPE_PMESII!$B$3:$B$62,"COR")+COUNTIF(ASCOPE_PMESII!$D$3:$D$62,"COR")+COUNTIF(ASCOPE_PMESII!$F$3:$F$62,"COR")),IFERROR(INDEX(ASCOPE_PMESII!$G$3:$G$62,_xlfn.AGGREGATE(15,6,(ROW(ASCOPE_PMESII!$F$3:$F$62)-ROW(ASCOPE_PMESII!$F$3)+1)/(ASCOPE_PMESII!$F$3:$F$62="COR"),14-(COUNTIF(ASCOPE_PMESII!$B$3:$B$62,"COR")+COUNTIF(ASCOPE_PMESII!$D$3:$D$62,"COR")))),""),IF(14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14-(COUNTIF(ASCOPE_PMESII!$B$3:$B$62,"COR")+COUNTIF(ASCOPE_PMESII!$D$3:$D$62,"COR")+COUNTIF(ASCOPE_PMESII!$F$3:$F$62,"COR")))),""),IF(14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14-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14-(COUNTIF(ASCOPE_PMESII!$B$3:$B$62,"COR")+COUNTIF(ASCOPE_PMESII!$D$3:$D$62,"COR")+COUNTIF(ASCOPE_PMESII!$F$3:$F$62,"COR")+COUNTIF(ASCOPE_PMESII!$H$3:$H$62,"COR")+COUNTIF(ASCOPE_PMESII!$J$3:$J$62,"COR")))),"")))))),"")</f>
        <v>Attack the joint kill chain, not just launchers</v>
      </c>
      <c r="F17" s="22" t="str">
        <f t="array" ref="F17">IFERROR(IF(14&lt;=COUNTIF(ASCOPE_PMESII!$B$3:$B$62,"REQT"),IFERROR(INDEX(ASCOPE_PMESII!$C$3:$C$62,_xlfn.AGGREGATE(15,6,(ROW(ASCOPE_PMESII!$B$3:$B$62)-ROW(ASCOPE_PMESII!$B$3)+1)/(ASCOPE_PMESII!$B$3:$B$62="REQT"),14)),""),IF(14&lt;=(COUNTIF(ASCOPE_PMESII!$B$3:$B$62,"REQT")+COUNTIF(ASCOPE_PMESII!$D$3:$D$62,"REQT")),IFERROR(INDEX(ASCOPE_PMESII!$E$3:$E$62,_xlfn.AGGREGATE(15,6,(ROW(ASCOPE_PMESII!$D$3:$D$62)-ROW(ASCOPE_PMESII!$D$3)+1)/(ASCOPE_PMESII!$D$3:$D$62="REQT"),14-(COUNTIF(ASCOPE_PMESII!$B$3:$B$62,"REQT")))),""),IF(14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14-(COUNTIF(ASCOPE_PMESII!$B$3:$B$62,"REQT")+COUNTIF(ASCOPE_PMESII!$D$3:$D$62,"REQT")))),""),IF(14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14-(COUNTIF(ASCOPE_PMESII!$B$3:$B$62,"REQT")+COUNTIF(ASCOPE_PMESII!$D$3:$D$62,"REQT")+COUNTIF(ASCOPE_PMESII!$F$3:$F$62,"REQT")))),""),IF(14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14-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14-(COUNTIF(ASCOPE_PMESII!$B$3:$B$62,"REQT")+COUNTIF(ASCOPE_PMESII!$D$3:$D$62,"REQT")+COUNTIF(ASCOPE_PMESII!$F$3:$F$62,"REQT")+COUNTIF(ASCOPE_PMESII!$H$3:$H$62,"REQT")+COUNTIF(ASCOPE_PMESII!$J$3:$J$62,"REQT")))),"")))))),"")</f>
        <v/>
      </c>
      <c r="G17" s="22" t="str">
        <f t="array" ref="G17">IFERROR(IF(14&lt;=COUNTIF(ASCOPE_PMESII!$B$3:$B$62,"REST"),IFERROR(INDEX(ASCOPE_PMESII!$C$3:$C$62,_xlfn.AGGREGATE(15,6,(ROW(ASCOPE_PMESII!$B$3:$B$62)-ROW(ASCOPE_PMESII!$B$3)+1)/(ASCOPE_PMESII!$B$3:$B$62="REST"),14)),""),IF(14&lt;=(COUNTIF(ASCOPE_PMESII!$B$3:$B$62,"REST")+COUNTIF(ASCOPE_PMESII!$D$3:$D$62,"REST")),IFERROR(INDEX(ASCOPE_PMESII!$E$3:$E$62,_xlfn.AGGREGATE(15,6,(ROW(ASCOPE_PMESII!$D$3:$D$62)-ROW(ASCOPE_PMESII!$D$3)+1)/(ASCOPE_PMESII!$D$3:$D$62="REST"),14-(COUNTIF(ASCOPE_PMESII!$B$3:$B$62,"REST")))),""),IF(14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14-(COUNTIF(ASCOPE_PMESII!$B$3:$B$62,"REST")+COUNTIF(ASCOPE_PMESII!$D$3:$D$62,"REST")))),""),IF(14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14-(COUNTIF(ASCOPE_PMESII!$B$3:$B$62,"REST")+COUNTIF(ASCOPE_PMESII!$D$3:$D$62,"REST")+COUNTIF(ASCOPE_PMESII!$F$3:$F$62,"REST")))),""),IF(14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14-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14-(COUNTIF(ASCOPE_PMESII!$B$3:$B$62,"REST")+COUNTIF(ASCOPE_PMESII!$D$3:$D$62,"REST")+COUNTIF(ASCOPE_PMESII!$F$3:$F$62,"REST")+COUNTIF(ASCOPE_PMESII!$H$3:$H$62,"REST")+COUNTIF(ASCOPE_PMESII!$J$3:$J$62,"REST")))),"")))))),"")</f>
        <v/>
      </c>
      <c r="H17" s="22" t="str">
        <f t="array" ref="H17">IFERROR(IF(14&lt;=COUNTIF(ASCOPE_PMESII!$B$3:$B$62,"KCD-MUST"),IFERROR(INDEX(ASCOPE_PMESII!$C$3:$C$62,_xlfn.AGGREGATE(15,6,(ROW(ASCOPE_PMESII!$B$3:$B$62)-ROW(ASCOPE_PMESII!$B$3)+1)/(ASCOPE_PMESII!$B$3:$B$62="KCD-MUST"),14)),""),IF(14&lt;=(COUNTIF(ASCOPE_PMESII!$B$3:$B$62,"KCD-MUST")+COUNTIF(ASCOPE_PMESII!$D$3:$D$62,"KCD-MUST")),IFERROR(INDEX(ASCOPE_PMESII!$E$3:$E$62,_xlfn.AGGREGATE(15,6,(ROW(ASCOPE_PMESII!$D$3:$D$62)-ROW(ASCOPE_PMESII!$D$3)+1)/(ASCOPE_PMESII!$D$3:$D$62="KCD-MUST"),14-(COUNTIF(ASCOPE_PMESII!$B$3:$B$62,"KCD-MUST")))),""),IF(14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14-(COUNTIF(ASCOPE_PMESII!$B$3:$B$62,"KCD-MUST")+COUNTIF(ASCOPE_PMESII!$D$3:$D$62,"KCD-MUST")))),""),IF(14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14-(COUNTIF(ASCOPE_PMESII!$B$3:$B$62,"KCD-MUST")+COUNTIF(ASCOPE_PMESII!$D$3:$D$62,"KCD-MUST")+COUNTIF(ASCOPE_PMESII!$F$3:$F$62,"KCD-MUST")))),""),IF(14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14-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14-(COUNTIF(ASCOPE_PMESII!$B$3:$B$62,"KCD-MUST")+COUNTIF(ASCOPE_PMESII!$D$3:$D$62,"KCD-MUST")+COUNTIF(ASCOPE_PMESII!$F$3:$F$62,"KCD-MUST")+COUNTIF(ASCOPE_PMESII!$H$3:$H$62,"KCD-MUST")+COUNTIF(ASCOPE_PMESII!$J$3:$J$62,"KCD-MUST")))),"")))))),"")</f>
        <v>Use darkness, EW and ISR to unhinge IRS</v>
      </c>
      <c r="I17" s="22" t="str">
        <f t="array" ref="I17">IFERROR(IF(14&lt;=COUNTIF(ASCOPE_PMESII!$B$3:$B$62,"KCD-SHOULD"),IFERROR(INDEX(ASCOPE_PMESII!$C$3:$C$62,_xlfn.AGGREGATE(15,6,(ROW(ASCOPE_PMESII!$B$3:$B$62)-ROW(ASCOPE_PMESII!$B$3)+1)/(ASCOPE_PMESII!$B$3:$B$62="KCD-SHOULD"),14)),""),IF(14&lt;=(COUNTIF(ASCOPE_PMESII!$B$3:$B$62,"KCD-SHOULD")+COUNTIF(ASCOPE_PMESII!$D$3:$D$62,"KCD-SHOULD")),IFERROR(INDEX(ASCOPE_PMESII!$E$3:$E$62,_xlfn.AGGREGATE(15,6,(ROW(ASCOPE_PMESII!$D$3:$D$62)-ROW(ASCOPE_PMESII!$D$3)+1)/(ASCOPE_PMESII!$D$3:$D$62="KCD-SHOULD"),14-(COUNTIF(ASCOPE_PMESII!$B$3:$B$62,"KCD-SHOULD")))),""),IF(14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14-(COUNTIF(ASCOPE_PMESII!$B$3:$B$62,"KCD-SHOULD")+COUNTIF(ASCOPE_PMESII!$D$3:$D$62,"KCD-SHOULD")))),""),IF(14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14-(COUNTIF(ASCOPE_PMESII!$B$3:$B$62,"KCD-SHOULD")+COUNTIF(ASCOPE_PMESII!$D$3:$D$62,"KCD-SHOULD")+COUNTIF(ASCOPE_PMESII!$F$3:$F$62,"KCD-SHOULD")))),""),IF(14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14-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14-(COUNTIF(ASCOPE_PMESII!$B$3:$B$62,"KCD-SHOULD")+COUNTIF(ASCOPE_PMESII!$D$3:$D$62,"KCD-SHOULD")+COUNTIF(ASCOPE_PMESII!$F$3:$F$62,"KCD-SHOULD")+COUNTIF(ASCOPE_PMESII!$H$3:$H$62,"KCD-SHOULD")+COUNTIF(ASCOPE_PMESII!$J$3:$J$62,"KCD-SHOULD")))),"")))))),"")</f>
        <v>Target sensors, C2 and sustainment first</v>
      </c>
      <c r="J17" s="22" t="str">
        <f t="array" ref="J17">IFERROR(IF(14&lt;=COUNTIF(ASCOPE_PMESII!$B$3:$B$62,"KCD-SHOULD NOT"),IFERROR(INDEX(ASCOPE_PMESII!$C$3:$C$62,_xlfn.AGGREGATE(15,6,(ROW(ASCOPE_PMESII!$B$3:$B$62)-ROW(ASCOPE_PMESII!$B$3)+1)/(ASCOPE_PMESII!$B$3:$B$62="KCD-SHOULD NOT"),14)),""),IF(14&lt;=(COUNTIF(ASCOPE_PMESII!$B$3:$B$62,"KCD-SHOULD NOT")+COUNTIF(ASCOPE_PMESII!$D$3:$D$62,"KCD-SHOULD NOT")),IFERROR(INDEX(ASCOPE_PMESII!$E$3:$E$62,_xlfn.AGGREGATE(15,6,(ROW(ASCOPE_PMESII!$D$3:$D$62)-ROW(ASCOPE_PMESII!$D$3)+1)/(ASCOPE_PMESII!$D$3:$D$62="KCD-SHOULD NOT"),14-(COUNTIF(ASCOPE_PMESII!$B$3:$B$62,"KCD-SHOULD NOT")))),""),IF(14&lt;=(COUNTIF(ASCOPE_PMESII!$B$3:$B$62,"KCD-SHOULD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NOT"),14-(COUNTIF(ASCOPE_PMESII!$B$3:$B$62,"KCD-SHOULD NOT")+COUNTIF(ASCOPE_PMESII!$D$3:$D$62,"KCD-SHOULD NOT")))),""),IF(14&lt;=(COUNTIF(ASCOPE_PMESII!$B$3:$B$62,"KCD-SHOULD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NOT"),14-(COUNTIF(ASCOPE_PMESII!$B$3:$B$62,"KCD-SHOULD NOT")+COUNTIF(ASCOPE_PMESII!$D$3:$D$62,"KCD-SHOULD NOT")+COUNTIF(ASCOPE_PMESII!$F$3:$F$62,"KCD-SHOULD NOT")))),""),IF(14&lt;=(COUNTIF(ASCOPE_PMESII!$B$3:$B$62,"KCD-SHOULD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NOT"),14-(COUNTIF(ASCOPE_PMESII!$B$3:$B$62,"KCD-SHOULD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NOT"),14-(COUNTIF(ASCOPE_PMESII!$B$3:$B$62,"KCD-SHOULD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17" s="22" t="str">
        <f t="array" ref="K17">IFERROR(IF(14&lt;=COUNTIF(ASCOPE_PMESII!$B$3:$B$62,"KCD-CANNOT"),IFERROR(INDEX(ASCOPE_PMESII!$C$3:$C$62,_xlfn.AGGREGATE(15,6,(ROW(ASCOPE_PMESII!$B$3:$B$62)-ROW(ASCOPE_PMESII!$B$3)+1)/(ASCOPE_PMESII!$B$3:$B$62="KCD-CANNOT"),14)),""),IF(14&lt;=(COUNTIF(ASCOPE_PMESII!$B$3:$B$62,"KCD-CANNOT")+COUNTIF(ASCOPE_PMESII!$D$3:$D$62,"KCD-CANNOT")),IFERROR(INDEX(ASCOPE_PMESII!$E$3:$E$62,_xlfn.AGGREGATE(15,6,(ROW(ASCOPE_PMESII!$D$3:$D$62)-ROW(ASCOPE_PMESII!$D$3)+1)/(ASCOPE_PMESII!$D$3:$D$62="KCD-CANNOT"),14-(COUNTIF(ASCOPE_PMESII!$B$3:$B$62,"KCD-CANNOT")))),""),IF(14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14-(COUNTIF(ASCOPE_PMESII!$B$3:$B$62,"KCD-CANNOT")+COUNTIF(ASCOPE_PMESII!$D$3:$D$62,"KCD-CANNOT")))),""),IF(14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14-(COUNTIF(ASCOPE_PMESII!$B$3:$B$62,"KCD-CANNOT")+COUNTIF(ASCOPE_PMESII!$D$3:$D$62,"KCD-CANNOT")+COUNTIF(ASCOPE_PMESII!$F$3:$F$62,"KCD-CANNOT")))),""),IF(14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14-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14-(COUNTIF(ASCOPE_PMESII!$B$3:$B$62,"KCD-CANNOT")+COUNTIF(ASCOPE_PMESII!$D$3:$D$62,"KCD-CANNOT")+COUNTIF(ASCOPE_PMESII!$F$3:$F$62,"KCD-CANNOT")+COUNTIF(ASCOPE_PMESII!$H$3:$H$62,"KCD-CANNOT")+COUNTIF(ASCOPE_PMESII!$J$3:$J$62,"KCD-CANNOT")))),"")))))),"")</f>
        <v>Cannot defeat IRS by land attrition alone</v>
      </c>
      <c r="L17" s="22" t="str">
        <f t="array" ref="L17">IFERROR(IF(14&lt;=COUNTIF(ASCOPE_PMESII!$B$3:$B$62,"DECISION"),IFERROR(INDEX(ASCOPE_PMESII!$C$3:$C$62,_xlfn.AGGREGATE(15,6,(ROW(ASCOPE_PMESII!$B$3:$B$62)-ROW(ASCOPE_PMESII!$B$3)+1)/(ASCOPE_PMESII!$B$3:$B$62="DECISION"),14)),""),IF(14&lt;=(COUNTIF(ASCOPE_PMESII!$B$3:$B$62,"DECISION")+COUNTIF(ASCOPE_PMESII!$D$3:$D$62,"DECISION")),IFERROR(INDEX(ASCOPE_PMESII!$E$3:$E$62,_xlfn.AGGREGATE(15,6,(ROW(ASCOPE_PMESII!$D$3:$D$62)-ROW(ASCOPE_PMESII!$D$3)+1)/(ASCOPE_PMESII!$D$3:$D$62="DECISION"),14-(COUNTIF(ASCOPE_PMESII!$B$3:$B$62,"DECISION")))),""),IF(14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14-(COUNTIF(ASCOPE_PMESII!$B$3:$B$62,"DECISION")+COUNTIF(ASCOPE_PMESII!$D$3:$D$62,"DECISION")))),""),IF(14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14-(COUNTIF(ASCOPE_PMESII!$B$3:$B$62,"DECISION")+COUNTIF(ASCOPE_PMESII!$D$3:$D$62,"DECISION")+COUNTIF(ASCOPE_PMESII!$F$3:$F$62,"DECISION")))),""),IF(14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14-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14-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17" s="22" t="str">
        <f t="array" ref="M17">IFERROR(IF(14&lt;=COUNTIF(ASCOPE_PMESII!$B$3:$B$62,"ASSUMPTION"),IFERROR(INDEX(ASCOPE_PMESII!$C$3:$C$62,_xlfn.AGGREGATE(15,6,(ROW(ASCOPE_PMESII!$B$3:$B$62)-ROW(ASCOPE_PMESII!$B$3)+1)/(ASCOPE_PMESII!$B$3:$B$62="ASSUMPTION"),14)),""),IF(14&lt;=(COUNTIF(ASCOPE_PMESII!$B$3:$B$62,"ASSUMPTION")+COUNTIF(ASCOPE_PMESII!$D$3:$D$62,"ASSUMPTION")),IFERROR(INDEX(ASCOPE_PMESII!$E$3:$E$62,_xlfn.AGGREGATE(15,6,(ROW(ASCOPE_PMESII!$D$3:$D$62)-ROW(ASCOPE_PMESII!$D$3)+1)/(ASCOPE_PMESII!$D$3:$D$62="ASSUMPTION"),14-(COUNTIF(ASCOPE_PMESII!$B$3:$B$62,"ASSUMPTION")))),""),IF(14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14-(COUNTIF(ASCOPE_PMESII!$B$3:$B$62,"ASSUMPTION")+COUNTIF(ASCOPE_PMESII!$D$3:$D$62,"ASSUMPTION")))),""),IF(14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14-(COUNTIF(ASCOPE_PMESII!$B$3:$B$62,"ASSUMPTION")+COUNTIF(ASCOPE_PMESII!$D$3:$D$62,"ASSUMPTION")+COUNTIF(ASCOPE_PMESII!$F$3:$F$62,"ASSUMPTION")))),""),IF(14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14-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14-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17" s="22" t="str">
        <f t="array" ref="N17">IFERROR(IF(14&lt;=COUNTIF(ASCOPE_PMESII!$B$3:$B$62,"CONSTRAINT"),IFERROR(INDEX(ASCOPE_PMESII!$C$3:$C$62,_xlfn.AGGREGATE(15,6,(ROW(ASCOPE_PMESII!$B$3:$B$62)-ROW(ASCOPE_PMESII!$B$3)+1)/(ASCOPE_PMESII!$B$3:$B$62="CONSTRAINT"),14)),""),IF(14&lt;=(COUNTIF(ASCOPE_PMESII!$B$3:$B$62,"CONSTRAINT")+COUNTIF(ASCOPE_PMESII!$D$3:$D$62,"CONSTRAINT")),IFERROR(INDEX(ASCOPE_PMESII!$E$3:$E$62,_xlfn.AGGREGATE(15,6,(ROW(ASCOPE_PMESII!$D$3:$D$62)-ROW(ASCOPE_PMESII!$D$3)+1)/(ASCOPE_PMESII!$D$3:$D$62="CONSTRAINT"),14-(COUNTIF(ASCOPE_PMESII!$B$3:$B$62,"CONSTRAINT")))),""),IF(14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14-(COUNTIF(ASCOPE_PMESII!$B$3:$B$62,"CONSTRAINT")+COUNTIF(ASCOPE_PMESII!$D$3:$D$62,"CONSTRAINT")))),""),IF(14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14-(COUNTIF(ASCOPE_PMESII!$B$3:$B$62,"CONSTRAINT")+COUNTIF(ASCOPE_PMESII!$D$3:$D$62,"CONSTRAINT")+COUNTIF(ASCOPE_PMESII!$F$3:$F$62,"CONSTRAINT")))),""),IF(14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14-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14-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17" s="22" t="str">
        <f t="array" ref="O17">IFERROR(IF(14&lt;=COUNTIF(ASCOPE_PMESII!$B$3:$B$62,"LIMITATION"),IFERROR(INDEX(ASCOPE_PMESII!$C$3:$C$62,_xlfn.AGGREGATE(15,6,(ROW(ASCOPE_PMESII!$B$3:$B$62)-ROW(ASCOPE_PMESII!$B$3)+1)/(ASCOPE_PMESII!$B$3:$B$62="LIMITATION"),14)),""),IF(14&lt;=(COUNTIF(ASCOPE_PMESII!$B$3:$B$62,"LIMITATION")+COUNTIF(ASCOPE_PMESII!$D$3:$D$62,"LIMITATION")),IFERROR(INDEX(ASCOPE_PMESII!$E$3:$E$62,_xlfn.AGGREGATE(15,6,(ROW(ASCOPE_PMESII!$D$3:$D$62)-ROW(ASCOPE_PMESII!$D$3)+1)/(ASCOPE_PMESII!$D$3:$D$62="LIMITATION"),14-(COUNTIF(ASCOPE_PMESII!$B$3:$B$62,"LIMITATION")))),""),IF(14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14-(COUNTIF(ASCOPE_PMESII!$B$3:$B$62,"LIMITATION")+COUNTIF(ASCOPE_PMESII!$D$3:$D$62,"LIMITATION")))),""),IF(14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14-(COUNTIF(ASCOPE_PMESII!$B$3:$B$62,"LIMITATION")+COUNTIF(ASCOPE_PMESII!$D$3:$D$62,"LIMITATION")+COUNTIF(ASCOPE_PMESII!$F$3:$F$62,"LIMITATION")))),""),IF(14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14-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14-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17" s="22" t="str">
        <f t="array" ref="P17">IFERROR(IF(14&lt;=COUNTIF(ASCOPE_PMESII!$B$3:$B$62,"CC"),IFERROR(INDEX(ASCOPE_PMESII!$C$3:$C$62,_xlfn.AGGREGATE(15,6,(ROW(ASCOPE_PMESII!$B$3:$B$62)-ROW(ASCOPE_PMESII!$B$3)+1)/(ASCOPE_PMESII!$B$3:$B$62="CC"),14)),""),IF(14&lt;=(COUNTIF(ASCOPE_PMESII!$B$3:$B$62,"CC")+COUNTIF(ASCOPE_PMESII!$D$3:$D$62,"CC")),IFERROR(INDEX(ASCOPE_PMESII!$E$3:$E$62,_xlfn.AGGREGATE(15,6,(ROW(ASCOPE_PMESII!$D$3:$D$62)-ROW(ASCOPE_PMESII!$D$3)+1)/(ASCOPE_PMESII!$D$3:$D$62="CC"),14-(COUNTIF(ASCOPE_PMESII!$B$3:$B$62,"CC")))),""),IF(14&lt;=(COUNTIF(ASCOPE_PMESII!$B$3:$B$62,"CC")+COUNTIF(ASCOPE_PMESII!$D$3:$D$62,"CC")+COUNTIF(ASCOPE_PMESII!$F$3:$F$62,"CC")),IFERROR(INDEX(ASCOPE_PMESII!$G$3:$G$62,_xlfn.AGGREGATE(15,6,(ROW(ASCOPE_PMESII!$F$3:$F$62)-ROW(ASCOPE_PMESII!$F$3)+1)/(ASCOPE_PMESII!$F$3:$F$62="CC"),14-(COUNTIF(ASCOPE_PMESII!$B$3:$B$62,"CC")+COUNTIF(ASCOPE_PMESII!$D$3:$D$62,"CC")))),""),IF(14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14-(COUNTIF(ASCOPE_PMESII!$B$3:$B$62,"CC")+COUNTIF(ASCOPE_PMESII!$D$3:$D$62,"CC")+COUNTIF(ASCOPE_PMESII!$F$3:$F$62,"CC")))),""),IF(14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14-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14-(COUNTIF(ASCOPE_PMESII!$B$3:$B$62,"CC")+COUNTIF(ASCOPE_PMESII!$D$3:$D$62,"CC")+COUNTIF(ASCOPE_PMESII!$F$3:$F$62,"CC")+COUNTIF(ASCOPE_PMESII!$H$3:$H$62,"CC")+COUNTIF(ASCOPE_PMESII!$J$3:$J$62,"CC")))),"")))))),"")</f>
        <v>Mosques, unions and families shape mobilisation</v>
      </c>
      <c r="Q17" s="22" t="str">
        <f t="array" ref="Q17">IFERROR(IF(14&lt;=COUNTIF(ASCOPE_PMESII!$B$3:$B$62,"CR"),IFERROR(INDEX(ASCOPE_PMESII!$C$3:$C$62,_xlfn.AGGREGATE(15,6,(ROW(ASCOPE_PMESII!$B$3:$B$62)-ROW(ASCOPE_PMESII!$B$3)+1)/(ASCOPE_PMESII!$B$3:$B$62="CR"),14)),""),IF(14&lt;=(COUNTIF(ASCOPE_PMESII!$B$3:$B$62,"CR")+COUNTIF(ASCOPE_PMESII!$D$3:$D$62,"CR")),IFERROR(INDEX(ASCOPE_PMESII!$E$3:$E$62,_xlfn.AGGREGATE(15,6,(ROW(ASCOPE_PMESII!$D$3:$D$62)-ROW(ASCOPE_PMESII!$D$3)+1)/(ASCOPE_PMESII!$D$3:$D$62="CR"),14-(COUNTIF(ASCOPE_PMESII!$B$3:$B$62,"CR")))),""),IF(14&lt;=(COUNTIF(ASCOPE_PMESII!$B$3:$B$62,"CR")+COUNTIF(ASCOPE_PMESII!$D$3:$D$62,"CR")+COUNTIF(ASCOPE_PMESII!$F$3:$F$62,"CR")),IFERROR(INDEX(ASCOPE_PMESII!$G$3:$G$62,_xlfn.AGGREGATE(15,6,(ROW(ASCOPE_PMESII!$F$3:$F$62)-ROW(ASCOPE_PMESII!$F$3)+1)/(ASCOPE_PMESII!$F$3:$F$62="CR"),14-(COUNTIF(ASCOPE_PMESII!$B$3:$B$62,"CR")+COUNTIF(ASCOPE_PMESII!$D$3:$D$62,"CR")))),""),IF(14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14-(COUNTIF(ASCOPE_PMESII!$B$3:$B$62,"CR")+COUNTIF(ASCOPE_PMESII!$D$3:$D$62,"CR")+COUNTIF(ASCOPE_PMESII!$F$3:$F$62,"CR")))),""),IF(14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14-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14-(COUNTIF(ASCOPE_PMESII!$B$3:$B$62,"CR")+COUNTIF(ASCOPE_PMESII!$D$3:$D$62,"CR")+COUNTIF(ASCOPE_PMESII!$F$3:$F$62,"CR")+COUNTIF(ASCOPE_PMESII!$H$3:$H$62,"CR")+COUNTIF(ASCOPE_PMESII!$J$3:$J$62,"CR")))),"")))))),"")</f>
        <v>MCM, ASW, SEAD, EW and ISR required</v>
      </c>
      <c r="R17" s="95" t="str">
        <f t="array" ref="R17">IFERROR(IF(14&lt;=COUNTIF(ASCOPE_PMESII!$B$3:$B$62,"PCS"),IFERROR(INDEX(ASCOPE_PMESII!$C$3:$C$62,_xlfn.AGGREGATE(15,6,(ROW(ASCOPE_PMESII!$B$3:$B$62)-ROW(ASCOPE_PMESII!$B$3)+1)/(ASCOPE_PMESII!$B$3:$B$62="PCS"),14)),""),IF(14&lt;=(COUNTIF(ASCOPE_PMESII!$B$3:$B$62,"PCS")+COUNTIF(ASCOPE_PMESII!$D$3:$D$62,"PCS")),IFERROR(INDEX(ASCOPE_PMESII!$E$3:$E$62,_xlfn.AGGREGATE(15,6,(ROW(ASCOPE_PMESII!$D$3:$D$62)-ROW(ASCOPE_PMESII!$D$3)+1)/(ASCOPE_PMESII!$D$3:$D$62="PCS"),14-(COUNTIF(ASCOPE_PMESII!$B$3:$B$62,"PCS")))),""),IF(14&lt;=(COUNTIF(ASCOPE_PMESII!$B$3:$B$62,"PCS")+COUNTIF(ASCOPE_PMESII!$D$3:$D$62,"PCS")+COUNTIF(ASCOPE_PMESII!$F$3:$F$62,"PCS")),IFERROR(INDEX(ASCOPE_PMESII!$G$3:$G$62,_xlfn.AGGREGATE(15,6,(ROW(ASCOPE_PMESII!$F$3:$F$62)-ROW(ASCOPE_PMESII!$F$3)+1)/(ASCOPE_PMESII!$F$3:$F$62="PCS"),14-(COUNTIF(ASCOPE_PMESII!$B$3:$B$62,"PCS")+COUNTIF(ASCOPE_PMESII!$D$3:$D$62,"PCS")))),""),IF(14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14-(COUNTIF(ASCOPE_PMESII!$B$3:$B$62,"PCS")+COUNTIF(ASCOPE_PMESII!$D$3:$D$62,"PCS")+COUNTIF(ASCOPE_PMESII!$F$3:$F$62,"PCS")))),""),IF(14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14-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14-(COUNTIF(ASCOPE_PMESII!$B$3:$B$62,"PCS")+COUNTIF(ASCOPE_PMESII!$D$3:$D$62,"PCS")+COUNTIF(ASCOPE_PMESII!$F$3:$F$62,"PCS")+COUNTIF(ASCOPE_PMESII!$H$3:$H$62,"PCS")+COUNTIF(ASCOPE_PMESII!$J$3:$J$62,"PCS")))),"")))))),"")</f>
        <v/>
      </c>
    </row>
    <row r="18" spans="1:18" ht="34.5" customHeight="1">
      <c r="A18" s="21" t="str">
        <f t="array" ref="A18">IFERROR(IF(15&lt;=COUNTIF(ASCOPE_PMESII!$B$3:$B$62,"OE"),IFERROR(INDEX(ASCOPE_PMESII!$C$3:$C$62,_xlfn.AGGREGATE(15,6,(ROW(ASCOPE_PMESII!$B$3:$B$62)-ROW(ASCOPE_PMESII!$B$3)+1)/(ASCOPE_PMESII!$B$3:$B$62="OE"),15)),""),IF(15&lt;=(COUNTIF(ASCOPE_PMESII!$B$3:$B$62,"OE")+COUNTIF(ASCOPE_PMESII!$D$3:$D$62,"OE")),IFERROR(INDEX(ASCOPE_PMESII!$E$3:$E$62,_xlfn.AGGREGATE(15,6,(ROW(ASCOPE_PMESII!$D$3:$D$62)-ROW(ASCOPE_PMESII!$D$3)+1)/(ASCOPE_PMESII!$D$3:$D$62="OE"),15-(COUNTIF(ASCOPE_PMESII!$B$3:$B$62,"OE")))),""),IF(15&lt;=(COUNTIF(ASCOPE_PMESII!$B$3:$B$62,"OE")+COUNTIF(ASCOPE_PMESII!$D$3:$D$62,"OE")+COUNTIF(ASCOPE_PMESII!$F$3:$F$62,"OE")),IFERROR(INDEX(ASCOPE_PMESII!$G$3:$G$62,_xlfn.AGGREGATE(15,6,(ROW(ASCOPE_PMESII!$F$3:$F$62)-ROW(ASCOPE_PMESII!$F$3)+1)/(ASCOPE_PMESII!$F$3:$F$62="OE"),15-(COUNTIF(ASCOPE_PMESII!$B$3:$B$62,"OE")+COUNTIF(ASCOPE_PMESII!$D$3:$D$62,"OE")))),""),IF(15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15-(COUNTIF(ASCOPE_PMESII!$B$3:$B$62,"OE")+COUNTIF(ASCOPE_PMESII!$D$3:$D$62,"OE")+COUNTIF(ASCOPE_PMESII!$F$3:$F$62,"OE")))),""),IF(15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15-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15-(COUNTIF(ASCOPE_PMESII!$B$3:$B$62,"OE")+COUNTIF(ASCOPE_PMESII!$D$3:$D$62,"OE")+COUNTIF(ASCOPE_PMESII!$F$3:$F$62,"OE")+COUNTIF(ASCOPE_PMESII!$H$3:$H$62,"OE")+COUNTIF(ASCOPE_PMESII!$J$3:$J$62,"OE")))),"")))))),"")</f>
        <v/>
      </c>
      <c r="B18" s="21" t="str">
        <f t="array" ref="B18">IFERROR(IF(15&lt;=COUNTIF(ASCOPE_PMESII!$B$3:$B$62,"OA"),IFERROR(INDEX(ASCOPE_PMESII!$C$3:$C$62,_xlfn.AGGREGATE(15,6,(ROW(ASCOPE_PMESII!$B$3:$B$62)-ROW(ASCOPE_PMESII!$B$3)+1)/(ASCOPE_PMESII!$B$3:$B$62="OA"),15)),""),IF(15&lt;=(COUNTIF(ASCOPE_PMESII!$B$3:$B$62,"OA")+COUNTIF(ASCOPE_PMESII!$D$3:$D$62,"OA")),IFERROR(INDEX(ASCOPE_PMESII!$E$3:$E$62,_xlfn.AGGREGATE(15,6,(ROW(ASCOPE_PMESII!$D$3:$D$62)-ROW(ASCOPE_PMESII!$D$3)+1)/(ASCOPE_PMESII!$D$3:$D$62="OA"),15-(COUNTIF(ASCOPE_PMESII!$B$3:$B$62,"OA")))),""),IF(15&lt;=(COUNTIF(ASCOPE_PMESII!$B$3:$B$62,"OA")+COUNTIF(ASCOPE_PMESII!$D$3:$D$62,"OA")+COUNTIF(ASCOPE_PMESII!$F$3:$F$62,"OA")),IFERROR(INDEX(ASCOPE_PMESII!$G$3:$G$62,_xlfn.AGGREGATE(15,6,(ROW(ASCOPE_PMESII!$F$3:$F$62)-ROW(ASCOPE_PMESII!$F$3)+1)/(ASCOPE_PMESII!$F$3:$F$62="OA"),15-(COUNTIF(ASCOPE_PMESII!$B$3:$B$62,"OA")+COUNTIF(ASCOPE_PMESII!$D$3:$D$62,"OA")))),""),IF(15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15-(COUNTIF(ASCOPE_PMESII!$B$3:$B$62,"OA")+COUNTIF(ASCOPE_PMESII!$D$3:$D$62,"OA")+COUNTIF(ASCOPE_PMESII!$F$3:$F$62,"OA")))),""),IF(15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15-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15-(COUNTIF(ASCOPE_PMESII!$B$3:$B$62,"OA")+COUNTIF(ASCOPE_PMESII!$D$3:$D$62,"OA")+COUNTIF(ASCOPE_PMESII!$F$3:$F$62,"OA")+COUNTIF(ASCOPE_PMESII!$H$3:$H$62,"OA")+COUNTIF(ASCOPE_PMESII!$J$3:$J$62,"OA")))),"")))))),"")</f>
        <v/>
      </c>
      <c r="C18" s="21" t="str">
        <f t="array" ref="C18">IFERROR(IF(15&lt;=COUNTIF(ASCOPE_PMESII!$B$3:$B$62,"RISK"),IFERROR(INDEX(ASCOPE_PMESII!$C$3:$C$62,_xlfn.AGGREGATE(15,6,(ROW(ASCOPE_PMESII!$B$3:$B$62)-ROW(ASCOPE_PMESII!$B$3)+1)/(ASCOPE_PMESII!$B$3:$B$62="RISK"),15)),""),IF(15&lt;=(COUNTIF(ASCOPE_PMESII!$B$3:$B$62,"RISK")+COUNTIF(ASCOPE_PMESII!$D$3:$D$62,"RISK")),IFERROR(INDEX(ASCOPE_PMESII!$E$3:$E$62,_xlfn.AGGREGATE(15,6,(ROW(ASCOPE_PMESII!$D$3:$D$62)-ROW(ASCOPE_PMESII!$D$3)+1)/(ASCOPE_PMESII!$D$3:$D$62="RISK"),15-(COUNTIF(ASCOPE_PMESII!$B$3:$B$62,"RISK")))),""),IF(15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15-(COUNTIF(ASCOPE_PMESII!$B$3:$B$62,"RISK")+COUNTIF(ASCOPE_PMESII!$D$3:$D$62,"RISK")))),""),IF(15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15-(COUNTIF(ASCOPE_PMESII!$B$3:$B$62,"RISK")+COUNTIF(ASCOPE_PMESII!$D$3:$D$62,"RISK")+COUNTIF(ASCOPE_PMESII!$F$3:$F$62,"RISK")))),""),IF(15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15-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15-(COUNTIF(ASCOPE_PMESII!$B$3:$B$62,"RISK")+COUNTIF(ASCOPE_PMESII!$D$3:$D$62,"RISK")+COUNTIF(ASCOPE_PMESII!$F$3:$F$62,"RISK")+COUNTIF(ASCOPE_PMESII!$H$3:$H$62,"RISK")+COUNTIF(ASCOPE_PMESII!$J$3:$J$62,"RISK")))),"")))))),"")</f>
        <v>Wrongful interference damages coalition legitimacy</v>
      </c>
      <c r="D18" s="21" t="str">
        <f t="array" ref="D18">IFERROR(IF(15&lt;=COUNTIF(ASCOPE_PMESII!$B$3:$B$62,"CV"),IFERROR(INDEX(ASCOPE_PMESII!$C$3:$C$62,_xlfn.AGGREGATE(15,6,(ROW(ASCOPE_PMESII!$B$3:$B$62)-ROW(ASCOPE_PMESII!$B$3)+1)/(ASCOPE_PMESII!$B$3:$B$62="CV"),15)),""),IF(15&lt;=(COUNTIF(ASCOPE_PMESII!$B$3:$B$62,"CV")+COUNTIF(ASCOPE_PMESII!$D$3:$D$62,"CV")),IFERROR(INDEX(ASCOPE_PMESII!$E$3:$E$62,_xlfn.AGGREGATE(15,6,(ROW(ASCOPE_PMESII!$D$3:$D$62)-ROW(ASCOPE_PMESII!$D$3)+1)/(ASCOPE_PMESII!$D$3:$D$62="CV"),15-(COUNTIF(ASCOPE_PMESII!$B$3:$B$62,"CV")))),""),IF(15&lt;=(COUNTIF(ASCOPE_PMESII!$B$3:$B$62,"CV")+COUNTIF(ASCOPE_PMESII!$D$3:$D$62,"CV")+COUNTIF(ASCOPE_PMESII!$F$3:$F$62,"CV")),IFERROR(INDEX(ASCOPE_PMESII!$G$3:$G$62,_xlfn.AGGREGATE(15,6,(ROW(ASCOPE_PMESII!$F$3:$F$62)-ROW(ASCOPE_PMESII!$F$3)+1)/(ASCOPE_PMESII!$F$3:$F$62="CV"),15-(COUNTIF(ASCOPE_PMESII!$B$3:$B$62,"CV")+COUNTIF(ASCOPE_PMESII!$D$3:$D$62,"CV")))),""),IF(15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15-(COUNTIF(ASCOPE_PMESII!$B$3:$B$62,"CV")+COUNTIF(ASCOPE_PMESII!$D$3:$D$62,"CV")+COUNTIF(ASCOPE_PMESII!$F$3:$F$62,"CV")))),""),IF(15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15-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15-(COUNTIF(ASCOPE_PMESII!$B$3:$B$62,"CV")+COUNTIF(ASCOPE_PMESII!$D$3:$D$62,"CV")+COUNTIF(ASCOPE_PMESII!$F$3:$F$62,"CV")+COUNTIF(ASCOPE_PMESII!$H$3:$H$62,"CV")+COUNTIF(ASCOPE_PMESII!$J$3:$J$62,"CV")))),"")))))),"")</f>
        <v>Electrical grid vulnerability cuts both ways</v>
      </c>
      <c r="E18" s="21" t="str">
        <f t="array" ref="E18">IFERROR(IF(15&lt;=COUNTIF(ASCOPE_PMESII!$B$3:$B$62,"COR"),IFERROR(INDEX(ASCOPE_PMESII!$C$3:$C$62,_xlfn.AGGREGATE(15,6,(ROW(ASCOPE_PMESII!$B$3:$B$62)-ROW(ASCOPE_PMESII!$B$3)+1)/(ASCOPE_PMESII!$B$3:$B$62="COR"),15)),""),IF(15&lt;=(COUNTIF(ASCOPE_PMESII!$B$3:$B$62,"COR")+COUNTIF(ASCOPE_PMESII!$D$3:$D$62,"COR")),IFERROR(INDEX(ASCOPE_PMESII!$E$3:$E$62,_xlfn.AGGREGATE(15,6,(ROW(ASCOPE_PMESII!$D$3:$D$62)-ROW(ASCOPE_PMESII!$D$3)+1)/(ASCOPE_PMESII!$D$3:$D$62="COR"),15-(COUNTIF(ASCOPE_PMESII!$B$3:$B$62,"COR")))),""),IF(15&lt;=(COUNTIF(ASCOPE_PMESII!$B$3:$B$62,"COR")+COUNTIF(ASCOPE_PMESII!$D$3:$D$62,"COR")+COUNTIF(ASCOPE_PMESII!$F$3:$F$62,"COR")),IFERROR(INDEX(ASCOPE_PMESII!$G$3:$G$62,_xlfn.AGGREGATE(15,6,(ROW(ASCOPE_PMESII!$F$3:$F$62)-ROW(ASCOPE_PMESII!$F$3)+1)/(ASCOPE_PMESII!$F$3:$F$62="COR"),15-(COUNTIF(ASCOPE_PMESII!$B$3:$B$62,"COR")+COUNTIF(ASCOPE_PMESII!$D$3:$D$62,"COR")))),""),IF(15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15-(COUNTIF(ASCOPE_PMESII!$B$3:$B$62,"COR")+COUNTIF(ASCOPE_PMESII!$D$3:$D$62,"COR")+COUNTIF(ASCOPE_PMESII!$F$3:$F$62,"COR")))),""),IF(15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15-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15-(COUNTIF(ASCOPE_PMESII!$B$3:$B$62,"COR")+COUNTIF(ASCOPE_PMESII!$D$3:$D$62,"COR")+COUNTIF(ASCOPE_PMESII!$F$3:$F$62,"COR")+COUNTIF(ASCOPE_PMESII!$H$3:$H$62,"COR")+COUNTIF(ASCOPE_PMESII!$J$3:$J$62,"COR")))),"")))))),"")</f>
        <v>Monitor, board, divert and evidence coercive trade</v>
      </c>
      <c r="F18" s="21" t="str">
        <f t="array" ref="F18">IFERROR(IF(15&lt;=COUNTIF(ASCOPE_PMESII!$B$3:$B$62,"REQT"),IFERROR(INDEX(ASCOPE_PMESII!$C$3:$C$62,_xlfn.AGGREGATE(15,6,(ROW(ASCOPE_PMESII!$B$3:$B$62)-ROW(ASCOPE_PMESII!$B$3)+1)/(ASCOPE_PMESII!$B$3:$B$62="REQT"),15)),""),IF(15&lt;=(COUNTIF(ASCOPE_PMESII!$B$3:$B$62,"REQT")+COUNTIF(ASCOPE_PMESII!$D$3:$D$62,"REQT")),IFERROR(INDEX(ASCOPE_PMESII!$E$3:$E$62,_xlfn.AGGREGATE(15,6,(ROW(ASCOPE_PMESII!$D$3:$D$62)-ROW(ASCOPE_PMESII!$D$3)+1)/(ASCOPE_PMESII!$D$3:$D$62="REQT"),15-(COUNTIF(ASCOPE_PMESII!$B$3:$B$62,"REQT")))),""),IF(15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15-(COUNTIF(ASCOPE_PMESII!$B$3:$B$62,"REQT")+COUNTIF(ASCOPE_PMESII!$D$3:$D$62,"REQT")))),""),IF(15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15-(COUNTIF(ASCOPE_PMESII!$B$3:$B$62,"REQT")+COUNTIF(ASCOPE_PMESII!$D$3:$D$62,"REQT")+COUNTIF(ASCOPE_PMESII!$F$3:$F$62,"REQT")))),""),IF(15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15-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15-(COUNTIF(ASCOPE_PMESII!$B$3:$B$62,"REQT")+COUNTIF(ASCOPE_PMESII!$D$3:$D$62,"REQT")+COUNTIF(ASCOPE_PMESII!$F$3:$F$62,"REQT")+COUNTIF(ASCOPE_PMESII!$H$3:$H$62,"REQT")+COUNTIF(ASCOPE_PMESII!$J$3:$J$62,"REQT")))),"")))))),"")</f>
        <v/>
      </c>
      <c r="G18" s="21" t="str">
        <f t="array" ref="G18">IFERROR(IF(15&lt;=COUNTIF(ASCOPE_PMESII!$B$3:$B$62,"REST"),IFERROR(INDEX(ASCOPE_PMESII!$C$3:$C$62,_xlfn.AGGREGATE(15,6,(ROW(ASCOPE_PMESII!$B$3:$B$62)-ROW(ASCOPE_PMESII!$B$3)+1)/(ASCOPE_PMESII!$B$3:$B$62="REST"),15)),""),IF(15&lt;=(COUNTIF(ASCOPE_PMESII!$B$3:$B$62,"REST")+COUNTIF(ASCOPE_PMESII!$D$3:$D$62,"REST")),IFERROR(INDEX(ASCOPE_PMESII!$E$3:$E$62,_xlfn.AGGREGATE(15,6,(ROW(ASCOPE_PMESII!$D$3:$D$62)-ROW(ASCOPE_PMESII!$D$3)+1)/(ASCOPE_PMESII!$D$3:$D$62="REST"),15-(COUNTIF(ASCOPE_PMESII!$B$3:$B$62,"REST")))),""),IF(15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15-(COUNTIF(ASCOPE_PMESII!$B$3:$B$62,"REST")+COUNTIF(ASCOPE_PMESII!$D$3:$D$62,"REST")))),""),IF(15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15-(COUNTIF(ASCOPE_PMESII!$B$3:$B$62,"REST")+COUNTIF(ASCOPE_PMESII!$D$3:$D$62,"REST")+COUNTIF(ASCOPE_PMESII!$F$3:$F$62,"REST")))),""),IF(15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15-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15-(COUNTIF(ASCOPE_PMESII!$B$3:$B$62,"REST")+COUNTIF(ASCOPE_PMESII!$D$3:$D$62,"REST")+COUNTIF(ASCOPE_PMESII!$F$3:$F$62,"REST")+COUNTIF(ASCOPE_PMESII!$H$3:$H$62,"REST")+COUNTIF(ASCOPE_PMESII!$J$3:$J$62,"REST")))),"")))))),"")</f>
        <v/>
      </c>
      <c r="H18" s="21" t="str">
        <f t="array" ref="H18">IFERROR(IF(15&lt;=COUNTIF(ASCOPE_PMESII!$B$3:$B$62,"KCD-MUST"),IFERROR(INDEX(ASCOPE_PMESII!$C$3:$C$62,_xlfn.AGGREGATE(15,6,(ROW(ASCOPE_PMESII!$B$3:$B$62)-ROW(ASCOPE_PMESII!$B$3)+1)/(ASCOPE_PMESII!$B$3:$B$62="KCD-MUST"),15)),""),IF(15&lt;=(COUNTIF(ASCOPE_PMESII!$B$3:$B$62,"KCD-MUST")+COUNTIF(ASCOPE_PMESII!$D$3:$D$62,"KCD-MUST")),IFERROR(INDEX(ASCOPE_PMESII!$E$3:$E$62,_xlfn.AGGREGATE(15,6,(ROW(ASCOPE_PMESII!$D$3:$D$62)-ROW(ASCOPE_PMESII!$D$3)+1)/(ASCOPE_PMESII!$D$3:$D$62="KCD-MUST"),15-(COUNTIF(ASCOPE_PMESII!$B$3:$B$62,"KCD-MUST")))),""),IF(15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15-(COUNTIF(ASCOPE_PMESII!$B$3:$B$62,"KCD-MUST")+COUNTIF(ASCOPE_PMESII!$D$3:$D$62,"KCD-MUST")))),""),IF(15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15-(COUNTIF(ASCOPE_PMESII!$B$3:$B$62,"KCD-MUST")+COUNTIF(ASCOPE_PMESII!$D$3:$D$62,"KCD-MUST")+COUNTIF(ASCOPE_PMESII!$F$3:$F$62,"KCD-MUST")))),""),IF(15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15-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15-(COUNTIF(ASCOPE_PMESII!$B$3:$B$62,"KCD-MUST")+COUNTIF(ASCOPE_PMESII!$D$3:$D$62,"KCD-MUST")+COUNTIF(ASCOPE_PMESII!$F$3:$F$62,"KCD-MUST")+COUNTIF(ASCOPE_PMESII!$H$3:$H$62,"KCD-MUST")+COUNTIF(ASCOPE_PMESII!$J$3:$J$62,"KCD-MUST")))),"")))))),"")</f>
        <v>Fuse finance, maritime and intelligence targeting</v>
      </c>
      <c r="I18" s="21" t="str">
        <f t="array" ref="I18">IFERROR(IF(15&lt;=COUNTIF(ASCOPE_PMESII!$B$3:$B$62,"KCD-SHOULD"),IFERROR(INDEX(ASCOPE_PMESII!$C$3:$C$62,_xlfn.AGGREGATE(15,6,(ROW(ASCOPE_PMESII!$B$3:$B$62)-ROW(ASCOPE_PMESII!$B$3)+1)/(ASCOPE_PMESII!$B$3:$B$62="KCD-SHOULD"),15)),""),IF(15&lt;=(COUNTIF(ASCOPE_PMESII!$B$3:$B$62,"KCD-SHOULD")+COUNTIF(ASCOPE_PMESII!$D$3:$D$62,"KCD-SHOULD")),IFERROR(INDEX(ASCOPE_PMESII!$E$3:$E$62,_xlfn.AGGREGATE(15,6,(ROW(ASCOPE_PMESII!$D$3:$D$62)-ROW(ASCOPE_PMESII!$D$3)+1)/(ASCOPE_PMESII!$D$3:$D$62="KCD-SHOULD"),15-(COUNTIF(ASCOPE_PMESII!$B$3:$B$62,"KCD-SHOULD")))),""),IF(15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15-(COUNTIF(ASCOPE_PMESII!$B$3:$B$62,"KCD-SHOULD")+COUNTIF(ASCOPE_PMESII!$D$3:$D$62,"KCD-SHOULD")))),""),IF(15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15-(COUNTIF(ASCOPE_PMESII!$B$3:$B$62,"KCD-SHOULD")+COUNTIF(ASCOPE_PMESII!$D$3:$D$62,"KCD-SHOULD")+COUNTIF(ASCOPE_PMESII!$F$3:$F$62,"KCD-SHOULD")))),""),IF(15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15-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15-(COUNTIF(ASCOPE_PMESII!$B$3:$B$62,"KCD-SHOULD")+COUNTIF(ASCOPE_PMESII!$D$3:$D$62,"KCD-SHOULD")+COUNTIF(ASCOPE_PMESII!$F$3:$F$62,"KCD-SHOULD")+COUNTIF(ASCOPE_PMESII!$H$3:$H$62,"KCD-SHOULD")+COUNTIF(ASCOPE_PMESII!$J$3:$J$62,"KCD-SHOULD")))),"")))))),"")</f>
        <v>Exploit insurance, port and charter data</v>
      </c>
      <c r="J18" s="21" t="str">
        <f t="array" ref="J18">IFERROR(IF(15&lt;=COUNTIF(ASCOPE_PMESII!$B$3:$B$62,"KCD-SHOULD NOT"),IFERROR(INDEX(ASCOPE_PMESII!$C$3:$C$62,_xlfn.AGGREGATE(15,6,(ROW(ASCOPE_PMESII!$B$3:$B$62)-ROW(ASCOPE_PMESII!$B$3)+1)/(ASCOPE_PMESII!$B$3:$B$62="KCD-SHOULD NOT"),15)),""),IF(15&lt;=(COUNTIF(ASCOPE_PMESII!$B$3:$B$62,"KCD-SHOULD NOT")+COUNTIF(ASCOPE_PMESII!$D$3:$D$62,"KCD-SHOULD NOT")),IFERROR(INDEX(ASCOPE_PMESII!$E$3:$E$62,_xlfn.AGGREGATE(15,6,(ROW(ASCOPE_PMESII!$D$3:$D$62)-ROW(ASCOPE_PMESII!$D$3)+1)/(ASCOPE_PMESII!$D$3:$D$62="KCD-SHOULD NOT"),15-(COUNTIF(ASCOPE_PMESII!$B$3:$B$62,"KCD-SHOULD NOT")))),""),IF(15&lt;=(COUNTIF(ASCOPE_PMESII!$B$3:$B$62,"KCD-SHOULD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NOT"),15-(COUNTIF(ASCOPE_PMESII!$B$3:$B$62,"KCD-SHOULD NOT")+COUNTIF(ASCOPE_PMESII!$D$3:$D$62,"KCD-SHOULD NOT")))),""),IF(15&lt;=(COUNTIF(ASCOPE_PMESII!$B$3:$B$62,"KCD-SHOULD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NOT"),15-(COUNTIF(ASCOPE_PMESII!$B$3:$B$62,"KCD-SHOULD NOT")+COUNTIF(ASCOPE_PMESII!$D$3:$D$62,"KCD-SHOULD NOT")+COUNTIF(ASCOPE_PMESII!$F$3:$F$62,"KCD-SHOULD NOT")))),""),IF(15&lt;=(COUNTIF(ASCOPE_PMESII!$B$3:$B$62,"KCD-SHOULD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NOT"),15-(COUNTIF(ASCOPE_PMESII!$B$3:$B$62,"KCD-SHOULD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NOT"),15-(COUNTIF(ASCOPE_PMESII!$B$3:$B$62,"KCD-SHOULD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18" s="21" t="str">
        <f t="array" ref="K18">IFERROR(IF(15&lt;=COUNTIF(ASCOPE_PMESII!$B$3:$B$62,"KCD-CANNOT"),IFERROR(INDEX(ASCOPE_PMESII!$C$3:$C$62,_xlfn.AGGREGATE(15,6,(ROW(ASCOPE_PMESII!$B$3:$B$62)-ROW(ASCOPE_PMESII!$B$3)+1)/(ASCOPE_PMESII!$B$3:$B$62="KCD-CANNOT"),15)),""),IF(15&lt;=(COUNTIF(ASCOPE_PMESII!$B$3:$B$62,"KCD-CANNOT")+COUNTIF(ASCOPE_PMESII!$D$3:$D$62,"KCD-CANNOT")),IFERROR(INDEX(ASCOPE_PMESII!$E$3:$E$62,_xlfn.AGGREGATE(15,6,(ROW(ASCOPE_PMESII!$D$3:$D$62)-ROW(ASCOPE_PMESII!$D$3)+1)/(ASCOPE_PMESII!$D$3:$D$62="KCD-CANNOT"),15-(COUNTIF(ASCOPE_PMESII!$B$3:$B$62,"KCD-CANNOT")))),""),IF(15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15-(COUNTIF(ASCOPE_PMESII!$B$3:$B$62,"KCD-CANNOT")+COUNTIF(ASCOPE_PMESII!$D$3:$D$62,"KCD-CANNOT")))),""),IF(15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15-(COUNTIF(ASCOPE_PMESII!$B$3:$B$62,"KCD-CANNOT")+COUNTIF(ASCOPE_PMESII!$D$3:$D$62,"KCD-CANNOT")+COUNTIF(ASCOPE_PMESII!$F$3:$F$62,"KCD-CANNOT")))),""),IF(15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15-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15-(COUNTIF(ASCOPE_PMESII!$B$3:$B$62,"KCD-CANNOT")+COUNTIF(ASCOPE_PMESII!$D$3:$D$62,"KCD-CANNOT")+COUNTIF(ASCOPE_PMESII!$F$3:$F$62,"KCD-CANNOT")+COUNTIF(ASCOPE_PMESII!$H$3:$H$62,"KCD-CANNOT")+COUNTIF(ASCOPE_PMESII!$J$3:$J$62,"KCD-CANNOT")))),"")))))),"")</f>
        <v>Cannot interdict finance with kinetic tools alone</v>
      </c>
      <c r="L18" s="21" t="str">
        <f t="array" ref="L18">IFERROR(IF(15&lt;=COUNTIF(ASCOPE_PMESII!$B$3:$B$62,"DECISION"),IFERROR(INDEX(ASCOPE_PMESII!$C$3:$C$62,_xlfn.AGGREGATE(15,6,(ROW(ASCOPE_PMESII!$B$3:$B$62)-ROW(ASCOPE_PMESII!$B$3)+1)/(ASCOPE_PMESII!$B$3:$B$62="DECISION"),15)),""),IF(15&lt;=(COUNTIF(ASCOPE_PMESII!$B$3:$B$62,"DECISION")+COUNTIF(ASCOPE_PMESII!$D$3:$D$62,"DECISION")),IFERROR(INDEX(ASCOPE_PMESII!$E$3:$E$62,_xlfn.AGGREGATE(15,6,(ROW(ASCOPE_PMESII!$D$3:$D$62)-ROW(ASCOPE_PMESII!$D$3)+1)/(ASCOPE_PMESII!$D$3:$D$62="DECISION"),15-(COUNTIF(ASCOPE_PMESII!$B$3:$B$62,"DECISION")))),""),IF(15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15-(COUNTIF(ASCOPE_PMESII!$B$3:$B$62,"DECISION")+COUNTIF(ASCOPE_PMESII!$D$3:$D$62,"DECISION")))),""),IF(15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15-(COUNTIF(ASCOPE_PMESII!$B$3:$B$62,"DECISION")+COUNTIF(ASCOPE_PMESII!$D$3:$D$62,"DECISION")+COUNTIF(ASCOPE_PMESII!$F$3:$F$62,"DECISION")))),""),IF(15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15-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15-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18" s="21" t="str">
        <f t="array" ref="M18">IFERROR(IF(15&lt;=COUNTIF(ASCOPE_PMESII!$B$3:$B$62,"ASSUMPTION"),IFERROR(INDEX(ASCOPE_PMESII!$C$3:$C$62,_xlfn.AGGREGATE(15,6,(ROW(ASCOPE_PMESII!$B$3:$B$62)-ROW(ASCOPE_PMESII!$B$3)+1)/(ASCOPE_PMESII!$B$3:$B$62="ASSUMPTION"),15)),""),IF(15&lt;=(COUNTIF(ASCOPE_PMESII!$B$3:$B$62,"ASSUMPTION")+COUNTIF(ASCOPE_PMESII!$D$3:$D$62,"ASSUMPTION")),IFERROR(INDEX(ASCOPE_PMESII!$E$3:$E$62,_xlfn.AGGREGATE(15,6,(ROW(ASCOPE_PMESII!$D$3:$D$62)-ROW(ASCOPE_PMESII!$D$3)+1)/(ASCOPE_PMESII!$D$3:$D$62="ASSUMPTION"),15-(COUNTIF(ASCOPE_PMESII!$B$3:$B$62,"ASSUMPTION")))),""),IF(15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15-(COUNTIF(ASCOPE_PMESII!$B$3:$B$62,"ASSUMPTION")+COUNTIF(ASCOPE_PMESII!$D$3:$D$62,"ASSUMPTION")))),""),IF(15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15-(COUNTIF(ASCOPE_PMESII!$B$3:$B$62,"ASSUMPTION")+COUNTIF(ASCOPE_PMESII!$D$3:$D$62,"ASSUMPTION")+COUNTIF(ASCOPE_PMESII!$F$3:$F$62,"ASSUMPTION")))),""),IF(15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15-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15-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18" s="21" t="str">
        <f t="array" ref="N18">IFERROR(IF(15&lt;=COUNTIF(ASCOPE_PMESII!$B$3:$B$62,"CONSTRAINT"),IFERROR(INDEX(ASCOPE_PMESII!$C$3:$C$62,_xlfn.AGGREGATE(15,6,(ROW(ASCOPE_PMESII!$B$3:$B$62)-ROW(ASCOPE_PMESII!$B$3)+1)/(ASCOPE_PMESII!$B$3:$B$62="CONSTRAINT"),15)),""),IF(15&lt;=(COUNTIF(ASCOPE_PMESII!$B$3:$B$62,"CONSTRAINT")+COUNTIF(ASCOPE_PMESII!$D$3:$D$62,"CONSTRAINT")),IFERROR(INDEX(ASCOPE_PMESII!$E$3:$E$62,_xlfn.AGGREGATE(15,6,(ROW(ASCOPE_PMESII!$D$3:$D$62)-ROW(ASCOPE_PMESII!$D$3)+1)/(ASCOPE_PMESII!$D$3:$D$62="CONSTRAINT"),15-(COUNTIF(ASCOPE_PMESII!$B$3:$B$62,"CONSTRAINT")))),""),IF(15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15-(COUNTIF(ASCOPE_PMESII!$B$3:$B$62,"CONSTRAINT")+COUNTIF(ASCOPE_PMESII!$D$3:$D$62,"CONSTRAINT")))),""),IF(15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15-(COUNTIF(ASCOPE_PMESII!$B$3:$B$62,"CONSTRAINT")+COUNTIF(ASCOPE_PMESII!$D$3:$D$62,"CONSTRAINT")+COUNTIF(ASCOPE_PMESII!$F$3:$F$62,"CONSTRAINT")))),""),IF(15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15-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15-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18" s="21" t="str">
        <f t="array" ref="O18">IFERROR(IF(15&lt;=COUNTIF(ASCOPE_PMESII!$B$3:$B$62,"LIMITATION"),IFERROR(INDEX(ASCOPE_PMESII!$C$3:$C$62,_xlfn.AGGREGATE(15,6,(ROW(ASCOPE_PMESII!$B$3:$B$62)-ROW(ASCOPE_PMESII!$B$3)+1)/(ASCOPE_PMESII!$B$3:$B$62="LIMITATION"),15)),""),IF(15&lt;=(COUNTIF(ASCOPE_PMESII!$B$3:$B$62,"LIMITATION")+COUNTIF(ASCOPE_PMESII!$D$3:$D$62,"LIMITATION")),IFERROR(INDEX(ASCOPE_PMESII!$E$3:$E$62,_xlfn.AGGREGATE(15,6,(ROW(ASCOPE_PMESII!$D$3:$D$62)-ROW(ASCOPE_PMESII!$D$3)+1)/(ASCOPE_PMESII!$D$3:$D$62="LIMITATION"),15-(COUNTIF(ASCOPE_PMESII!$B$3:$B$62,"LIMITATION")))),""),IF(15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15-(COUNTIF(ASCOPE_PMESII!$B$3:$B$62,"LIMITATION")+COUNTIF(ASCOPE_PMESII!$D$3:$D$62,"LIMITATION")))),""),IF(15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15-(COUNTIF(ASCOPE_PMESII!$B$3:$B$62,"LIMITATION")+COUNTIF(ASCOPE_PMESII!$D$3:$D$62,"LIMITATION")+COUNTIF(ASCOPE_PMESII!$F$3:$F$62,"LIMITATION")))),""),IF(15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15-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15-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18" s="21" t="str">
        <f t="array" ref="P18">IFERROR(IF(15&lt;=COUNTIF(ASCOPE_PMESII!$B$3:$B$62,"CC"),IFERROR(INDEX(ASCOPE_PMESII!$C$3:$C$62,_xlfn.AGGREGATE(15,6,(ROW(ASCOPE_PMESII!$B$3:$B$62)-ROW(ASCOPE_PMESII!$B$3)+1)/(ASCOPE_PMESII!$B$3:$B$62="CC"),15)),""),IF(15&lt;=(COUNTIF(ASCOPE_PMESII!$B$3:$B$62,"CC")+COUNTIF(ASCOPE_PMESII!$D$3:$D$62,"CC")),IFERROR(INDEX(ASCOPE_PMESII!$E$3:$E$62,_xlfn.AGGREGATE(15,6,(ROW(ASCOPE_PMESII!$D$3:$D$62)-ROW(ASCOPE_PMESII!$D$3)+1)/(ASCOPE_PMESII!$D$3:$D$62="CC"),15-(COUNTIF(ASCOPE_PMESII!$B$3:$B$62,"CC")))),""),IF(15&lt;=(COUNTIF(ASCOPE_PMESII!$B$3:$B$62,"CC")+COUNTIF(ASCOPE_PMESII!$D$3:$D$62,"CC")+COUNTIF(ASCOPE_PMESII!$F$3:$F$62,"CC")),IFERROR(INDEX(ASCOPE_PMESII!$G$3:$G$62,_xlfn.AGGREGATE(15,6,(ROW(ASCOPE_PMESII!$F$3:$F$62)-ROW(ASCOPE_PMESII!$F$3)+1)/(ASCOPE_PMESII!$F$3:$F$62="CC"),15-(COUNTIF(ASCOPE_PMESII!$B$3:$B$62,"CC")+COUNTIF(ASCOPE_PMESII!$D$3:$D$62,"CC")))),""),IF(15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15-(COUNTIF(ASCOPE_PMESII!$B$3:$B$62,"CC")+COUNTIF(ASCOPE_PMESII!$D$3:$D$62,"CC")+COUNTIF(ASCOPE_PMESII!$F$3:$F$62,"CC")))),""),IF(15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15-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15-(COUNTIF(ASCOPE_PMESII!$B$3:$B$62,"CC")+COUNTIF(ASCOPE_PMESII!$D$3:$D$62,"CC")+COUNTIF(ASCOPE_PMESII!$F$3:$F$62,"CC")+COUNTIF(ASCOPE_PMESII!$H$3:$H$62,"CC")+COUNTIF(ASCOPE_PMESII!$J$3:$J$62,"CC")))),"")))))),"")</f>
        <v>Ports, airfields, roads and bridges determine entry</v>
      </c>
      <c r="Q18" s="21" t="str">
        <f t="array" ref="Q18">IFERROR(IF(15&lt;=COUNTIF(ASCOPE_PMESII!$B$3:$B$62,"CR"),IFERROR(INDEX(ASCOPE_PMESII!$C$3:$C$62,_xlfn.AGGREGATE(15,6,(ROW(ASCOPE_PMESII!$B$3:$B$62)-ROW(ASCOPE_PMESII!$B$3)+1)/(ASCOPE_PMESII!$B$3:$B$62="CR"),15)),""),IF(15&lt;=(COUNTIF(ASCOPE_PMESII!$B$3:$B$62,"CR")+COUNTIF(ASCOPE_PMESII!$D$3:$D$62,"CR")),IFERROR(INDEX(ASCOPE_PMESII!$E$3:$E$62,_xlfn.AGGREGATE(15,6,(ROW(ASCOPE_PMESII!$D$3:$D$62)-ROW(ASCOPE_PMESII!$D$3)+1)/(ASCOPE_PMESII!$D$3:$D$62="CR"),15-(COUNTIF(ASCOPE_PMESII!$B$3:$B$62,"CR")))),""),IF(15&lt;=(COUNTIF(ASCOPE_PMESII!$B$3:$B$62,"CR")+COUNTIF(ASCOPE_PMESII!$D$3:$D$62,"CR")+COUNTIF(ASCOPE_PMESII!$F$3:$F$62,"CR")),IFERROR(INDEX(ASCOPE_PMESII!$G$3:$G$62,_xlfn.AGGREGATE(15,6,(ROW(ASCOPE_PMESII!$F$3:$F$62)-ROW(ASCOPE_PMESII!$F$3)+1)/(ASCOPE_PMESII!$F$3:$F$62="CR"),15-(COUNTIF(ASCOPE_PMESII!$B$3:$B$62,"CR")+COUNTIF(ASCOPE_PMESII!$D$3:$D$62,"CR")))),""),IF(15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15-(COUNTIF(ASCOPE_PMESII!$B$3:$B$62,"CR")+COUNTIF(ASCOPE_PMESII!$D$3:$D$62,"CR")+COUNTIF(ASCOPE_PMESII!$F$3:$F$62,"CR")))),""),IF(15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15-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15-(COUNTIF(ASCOPE_PMESII!$B$3:$B$62,"CR")+COUNTIF(ASCOPE_PMESII!$D$3:$D$62,"CR")+COUNTIF(ASCOPE_PMESII!$F$3:$F$62,"CR")+COUNTIF(ASCOPE_PMESII!$H$3:$H$62,"CR")+COUNTIF(ASCOPE_PMESII!$J$3:$J$62,"CR")))),"")))))),"")</f>
        <v>Maritime legal authority and shipping liaison required</v>
      </c>
      <c r="R18" s="94" t="str">
        <f t="array" ref="R18">IFERROR(IF(15&lt;=COUNTIF(ASCOPE_PMESII!$B$3:$B$62,"PCS"),IFERROR(INDEX(ASCOPE_PMESII!$C$3:$C$62,_xlfn.AGGREGATE(15,6,(ROW(ASCOPE_PMESII!$B$3:$B$62)-ROW(ASCOPE_PMESII!$B$3)+1)/(ASCOPE_PMESII!$B$3:$B$62="PCS"),15)),""),IF(15&lt;=(COUNTIF(ASCOPE_PMESII!$B$3:$B$62,"PCS")+COUNTIF(ASCOPE_PMESII!$D$3:$D$62,"PCS")),IFERROR(INDEX(ASCOPE_PMESII!$E$3:$E$62,_xlfn.AGGREGATE(15,6,(ROW(ASCOPE_PMESII!$D$3:$D$62)-ROW(ASCOPE_PMESII!$D$3)+1)/(ASCOPE_PMESII!$D$3:$D$62="PCS"),15-(COUNTIF(ASCOPE_PMESII!$B$3:$B$62,"PCS")))),""),IF(15&lt;=(COUNTIF(ASCOPE_PMESII!$B$3:$B$62,"PCS")+COUNTIF(ASCOPE_PMESII!$D$3:$D$62,"PCS")+COUNTIF(ASCOPE_PMESII!$F$3:$F$62,"PCS")),IFERROR(INDEX(ASCOPE_PMESII!$G$3:$G$62,_xlfn.AGGREGATE(15,6,(ROW(ASCOPE_PMESII!$F$3:$F$62)-ROW(ASCOPE_PMESII!$F$3)+1)/(ASCOPE_PMESII!$F$3:$F$62="PCS"),15-(COUNTIF(ASCOPE_PMESII!$B$3:$B$62,"PCS")+COUNTIF(ASCOPE_PMESII!$D$3:$D$62,"PCS")))),""),IF(15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15-(COUNTIF(ASCOPE_PMESII!$B$3:$B$62,"PCS")+COUNTIF(ASCOPE_PMESII!$D$3:$D$62,"PCS")+COUNTIF(ASCOPE_PMESII!$F$3:$F$62,"PCS")))),""),IF(15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15-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15-(COUNTIF(ASCOPE_PMESII!$B$3:$B$62,"PCS")+COUNTIF(ASCOPE_PMESII!$D$3:$D$62,"PCS")+COUNTIF(ASCOPE_PMESII!$F$3:$F$62,"PCS")+COUNTIF(ASCOPE_PMESII!$H$3:$H$62,"PCS")+COUNTIF(ASCOPE_PMESII!$J$3:$J$62,"PCS")))),"")))))),"")</f>
        <v/>
      </c>
    </row>
    <row r="19" spans="1:18" ht="34.5" customHeight="1">
      <c r="A19" s="22" t="str">
        <f t="array" ref="A19">IFERROR(IF(16&lt;=COUNTIF(ASCOPE_PMESII!$B$3:$B$62,"OE"),IFERROR(INDEX(ASCOPE_PMESII!$C$3:$C$62,_xlfn.AGGREGATE(15,6,(ROW(ASCOPE_PMESII!$B$3:$B$62)-ROW(ASCOPE_PMESII!$B$3)+1)/(ASCOPE_PMESII!$B$3:$B$62="OE"),16)),""),IF(16&lt;=(COUNTIF(ASCOPE_PMESII!$B$3:$B$62,"OE")+COUNTIF(ASCOPE_PMESII!$D$3:$D$62,"OE")),IFERROR(INDEX(ASCOPE_PMESII!$E$3:$E$62,_xlfn.AGGREGATE(15,6,(ROW(ASCOPE_PMESII!$D$3:$D$62)-ROW(ASCOPE_PMESII!$D$3)+1)/(ASCOPE_PMESII!$D$3:$D$62="OE"),16-(COUNTIF(ASCOPE_PMESII!$B$3:$B$62,"OE")))),""),IF(16&lt;=(COUNTIF(ASCOPE_PMESII!$B$3:$B$62,"OE")+COUNTIF(ASCOPE_PMESII!$D$3:$D$62,"OE")+COUNTIF(ASCOPE_PMESII!$F$3:$F$62,"OE")),IFERROR(INDEX(ASCOPE_PMESII!$G$3:$G$62,_xlfn.AGGREGATE(15,6,(ROW(ASCOPE_PMESII!$F$3:$F$62)-ROW(ASCOPE_PMESII!$F$3)+1)/(ASCOPE_PMESII!$F$3:$F$62="OE"),16-(COUNTIF(ASCOPE_PMESII!$B$3:$B$62,"OE")+COUNTIF(ASCOPE_PMESII!$D$3:$D$62,"OE")))),""),IF(16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16-(COUNTIF(ASCOPE_PMESII!$B$3:$B$62,"OE")+COUNTIF(ASCOPE_PMESII!$D$3:$D$62,"OE")+COUNTIF(ASCOPE_PMESII!$F$3:$F$62,"OE")))),""),IF(16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16-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16-(COUNTIF(ASCOPE_PMESII!$B$3:$B$62,"OE")+COUNTIF(ASCOPE_PMESII!$D$3:$D$62,"OE")+COUNTIF(ASCOPE_PMESII!$F$3:$F$62,"OE")+COUNTIF(ASCOPE_PMESII!$H$3:$H$62,"OE")+COUNTIF(ASCOPE_PMESII!$J$3:$J$62,"OE")))),"")))))),"")</f>
        <v/>
      </c>
      <c r="B19" s="22" t="str">
        <f t="array" ref="B19">IFERROR(IF(16&lt;=COUNTIF(ASCOPE_PMESII!$B$3:$B$62,"OA"),IFERROR(INDEX(ASCOPE_PMESII!$C$3:$C$62,_xlfn.AGGREGATE(15,6,(ROW(ASCOPE_PMESII!$B$3:$B$62)-ROW(ASCOPE_PMESII!$B$3)+1)/(ASCOPE_PMESII!$B$3:$B$62="OA"),16)),""),IF(16&lt;=(COUNTIF(ASCOPE_PMESII!$B$3:$B$62,"OA")+COUNTIF(ASCOPE_PMESII!$D$3:$D$62,"OA")),IFERROR(INDEX(ASCOPE_PMESII!$E$3:$E$62,_xlfn.AGGREGATE(15,6,(ROW(ASCOPE_PMESII!$D$3:$D$62)-ROW(ASCOPE_PMESII!$D$3)+1)/(ASCOPE_PMESII!$D$3:$D$62="OA"),16-(COUNTIF(ASCOPE_PMESII!$B$3:$B$62,"OA")))),""),IF(16&lt;=(COUNTIF(ASCOPE_PMESII!$B$3:$B$62,"OA")+COUNTIF(ASCOPE_PMESII!$D$3:$D$62,"OA")+COUNTIF(ASCOPE_PMESII!$F$3:$F$62,"OA")),IFERROR(INDEX(ASCOPE_PMESII!$G$3:$G$62,_xlfn.AGGREGATE(15,6,(ROW(ASCOPE_PMESII!$F$3:$F$62)-ROW(ASCOPE_PMESII!$F$3)+1)/(ASCOPE_PMESII!$F$3:$F$62="OA"),16-(COUNTIF(ASCOPE_PMESII!$B$3:$B$62,"OA")+COUNTIF(ASCOPE_PMESII!$D$3:$D$62,"OA")))),""),IF(16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16-(COUNTIF(ASCOPE_PMESII!$B$3:$B$62,"OA")+COUNTIF(ASCOPE_PMESII!$D$3:$D$62,"OA")+COUNTIF(ASCOPE_PMESII!$F$3:$F$62,"OA")))),""),IF(16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16-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16-(COUNTIF(ASCOPE_PMESII!$B$3:$B$62,"OA")+COUNTIF(ASCOPE_PMESII!$D$3:$D$62,"OA")+COUNTIF(ASCOPE_PMESII!$F$3:$F$62,"OA")+COUNTIF(ASCOPE_PMESII!$H$3:$H$62,"OA")+COUNTIF(ASCOPE_PMESII!$J$3:$J$62,"OA")))),"")))))),"")</f>
        <v/>
      </c>
      <c r="C19" s="22" t="str">
        <f t="array" ref="C19">IFERROR(IF(16&lt;=COUNTIF(ASCOPE_PMESII!$B$3:$B$62,"RISK"),IFERROR(INDEX(ASCOPE_PMESII!$C$3:$C$62,_xlfn.AGGREGATE(15,6,(ROW(ASCOPE_PMESII!$B$3:$B$62)-ROW(ASCOPE_PMESII!$B$3)+1)/(ASCOPE_PMESII!$B$3:$B$62="RISK"),16)),""),IF(16&lt;=(COUNTIF(ASCOPE_PMESII!$B$3:$B$62,"RISK")+COUNTIF(ASCOPE_PMESII!$D$3:$D$62,"RISK")),IFERROR(INDEX(ASCOPE_PMESII!$E$3:$E$62,_xlfn.AGGREGATE(15,6,(ROW(ASCOPE_PMESII!$D$3:$D$62)-ROW(ASCOPE_PMESII!$D$3)+1)/(ASCOPE_PMESII!$D$3:$D$62="RISK"),16-(COUNTIF(ASCOPE_PMESII!$B$3:$B$62,"RISK")))),""),IF(16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16-(COUNTIF(ASCOPE_PMESII!$B$3:$B$62,"RISK")+COUNTIF(ASCOPE_PMESII!$D$3:$D$62,"RISK")))),""),IF(16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16-(COUNTIF(ASCOPE_PMESII!$B$3:$B$62,"RISK")+COUNTIF(ASCOPE_PMESII!$D$3:$D$62,"RISK")+COUNTIF(ASCOPE_PMESII!$F$3:$F$62,"RISK")))),""),IF(16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16-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16-(COUNTIF(ASCOPE_PMESII!$B$3:$B$62,"RISK")+COUNTIF(ASCOPE_PMESII!$D$3:$D$62,"RISK")+COUNTIF(ASCOPE_PMESII!$F$3:$F$62,"RISK")+COUNTIF(ASCOPE_PMESII!$H$3:$H$62,"RISK")+COUNTIF(ASCOPE_PMESII!$J$3:$J$62,"RISK")))),"")))))),"")</f>
        <v>Hostage or atrocity event drives political shock</v>
      </c>
      <c r="D19" s="22" t="str">
        <f t="array" ref="D19">IFERROR(IF(16&lt;=COUNTIF(ASCOPE_PMESII!$B$3:$B$62,"CV"),IFERROR(INDEX(ASCOPE_PMESII!$C$3:$C$62,_xlfn.AGGREGATE(15,6,(ROW(ASCOPE_PMESII!$B$3:$B$62)-ROW(ASCOPE_PMESII!$B$3)+1)/(ASCOPE_PMESII!$B$3:$B$62="CV"),16)),""),IF(16&lt;=(COUNTIF(ASCOPE_PMESII!$B$3:$B$62,"CV")+COUNTIF(ASCOPE_PMESII!$D$3:$D$62,"CV")),IFERROR(INDEX(ASCOPE_PMESII!$E$3:$E$62,_xlfn.AGGREGATE(15,6,(ROW(ASCOPE_PMESII!$D$3:$D$62)-ROW(ASCOPE_PMESII!$D$3)+1)/(ASCOPE_PMESII!$D$3:$D$62="CV"),16-(COUNTIF(ASCOPE_PMESII!$B$3:$B$62,"CV")))),""),IF(16&lt;=(COUNTIF(ASCOPE_PMESII!$B$3:$B$62,"CV")+COUNTIF(ASCOPE_PMESII!$D$3:$D$62,"CV")+COUNTIF(ASCOPE_PMESII!$F$3:$F$62,"CV")),IFERROR(INDEX(ASCOPE_PMESII!$G$3:$G$62,_xlfn.AGGREGATE(15,6,(ROW(ASCOPE_PMESII!$F$3:$F$62)-ROW(ASCOPE_PMESII!$F$3)+1)/(ASCOPE_PMESII!$F$3:$F$62="CV"),16-(COUNTIF(ASCOPE_PMESII!$B$3:$B$62,"CV")+COUNTIF(ASCOPE_PMESII!$D$3:$D$62,"CV")))),""),IF(16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16-(COUNTIF(ASCOPE_PMESII!$B$3:$B$62,"CV")+COUNTIF(ASCOPE_PMESII!$D$3:$D$62,"CV")+COUNTIF(ASCOPE_PMESII!$F$3:$F$62,"CV")))),""),IF(16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16-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16-(COUNTIF(ASCOPE_PMESII!$B$3:$B$62,"CV")+COUNTIF(ASCOPE_PMESII!$D$3:$D$62,"CV")+COUNTIF(ASCOPE_PMESII!$F$3:$F$62,"CV")+COUNTIF(ASCOPE_PMESII!$H$3:$H$62,"CV")+COUNTIF(ASCOPE_PMESII!$J$3:$J$62,"CV")))),"")))))),"")</f>
        <v>Urban fighting creates immediate legitimacy costs</v>
      </c>
      <c r="E19" s="22" t="str">
        <f t="array" ref="E19">IFERROR(IF(16&lt;=COUNTIF(ASCOPE_PMESII!$B$3:$B$62,"COR"),IFERROR(INDEX(ASCOPE_PMESII!$C$3:$C$62,_xlfn.AGGREGATE(15,6,(ROW(ASCOPE_PMESII!$B$3:$B$62)-ROW(ASCOPE_PMESII!$B$3)+1)/(ASCOPE_PMESII!$B$3:$B$62="COR"),16)),""),IF(16&lt;=(COUNTIF(ASCOPE_PMESII!$B$3:$B$62,"COR")+COUNTIF(ASCOPE_PMESII!$D$3:$D$62,"COR")),IFERROR(INDEX(ASCOPE_PMESII!$E$3:$E$62,_xlfn.AGGREGATE(15,6,(ROW(ASCOPE_PMESII!$D$3:$D$62)-ROW(ASCOPE_PMESII!$D$3)+1)/(ASCOPE_PMESII!$D$3:$D$62="COR"),16-(COUNTIF(ASCOPE_PMESII!$B$3:$B$62,"COR")))),""),IF(16&lt;=(COUNTIF(ASCOPE_PMESII!$B$3:$B$62,"COR")+COUNTIF(ASCOPE_PMESII!$D$3:$D$62,"COR")+COUNTIF(ASCOPE_PMESII!$F$3:$F$62,"COR")),IFERROR(INDEX(ASCOPE_PMESII!$G$3:$G$62,_xlfn.AGGREGATE(15,6,(ROW(ASCOPE_PMESII!$F$3:$F$62)-ROW(ASCOPE_PMESII!$F$3)+1)/(ASCOPE_PMESII!$F$3:$F$62="COR"),16-(COUNTIF(ASCOPE_PMESII!$B$3:$B$62,"COR")+COUNTIF(ASCOPE_PMESII!$D$3:$D$62,"COR")))),""),IF(16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16-(COUNTIF(ASCOPE_PMESII!$B$3:$B$62,"COR")+COUNTIF(ASCOPE_PMESII!$D$3:$D$62,"COR")+COUNTIF(ASCOPE_PMESII!$F$3:$F$62,"COR")))),""),IF(16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16-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16-(COUNTIF(ASCOPE_PMESII!$B$3:$B$62,"COR")+COUNTIF(ASCOPE_PMESII!$D$3:$D$62,"COR")+COUNTIF(ASCOPE_PMESII!$F$3:$F$62,"COR")+COUNTIF(ASCOPE_PMESII!$H$3:$H$62,"COR")+COUNTIF(ASCOPE_PMESII!$J$3:$J$62,"COR")))),"")))))),"")</f>
        <v>Identify vulnerable groups and essential service gaps</v>
      </c>
      <c r="F19" s="22" t="str">
        <f t="array" ref="F19">IFERROR(IF(16&lt;=COUNTIF(ASCOPE_PMESII!$B$3:$B$62,"REQT"),IFERROR(INDEX(ASCOPE_PMESII!$C$3:$C$62,_xlfn.AGGREGATE(15,6,(ROW(ASCOPE_PMESII!$B$3:$B$62)-ROW(ASCOPE_PMESII!$B$3)+1)/(ASCOPE_PMESII!$B$3:$B$62="REQT"),16)),""),IF(16&lt;=(COUNTIF(ASCOPE_PMESII!$B$3:$B$62,"REQT")+COUNTIF(ASCOPE_PMESII!$D$3:$D$62,"REQT")),IFERROR(INDEX(ASCOPE_PMESII!$E$3:$E$62,_xlfn.AGGREGATE(15,6,(ROW(ASCOPE_PMESII!$D$3:$D$62)-ROW(ASCOPE_PMESII!$D$3)+1)/(ASCOPE_PMESII!$D$3:$D$62="REQT"),16-(COUNTIF(ASCOPE_PMESII!$B$3:$B$62,"REQT")))),""),IF(16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16-(COUNTIF(ASCOPE_PMESII!$B$3:$B$62,"REQT")+COUNTIF(ASCOPE_PMESII!$D$3:$D$62,"REQT")))),""),IF(16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16-(COUNTIF(ASCOPE_PMESII!$B$3:$B$62,"REQT")+COUNTIF(ASCOPE_PMESII!$D$3:$D$62,"REQT")+COUNTIF(ASCOPE_PMESII!$F$3:$F$62,"REQT")))),""),IF(16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16-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16-(COUNTIF(ASCOPE_PMESII!$B$3:$B$62,"REQT")+COUNTIF(ASCOPE_PMESII!$D$3:$D$62,"REQT")+COUNTIF(ASCOPE_PMESII!$F$3:$F$62,"REQT")+COUNTIF(ASCOPE_PMESII!$H$3:$H$62,"REQT")+COUNTIF(ASCOPE_PMESII!$J$3:$J$62,"REQT")))),"")))))),"")</f>
        <v/>
      </c>
      <c r="G19" s="22" t="str">
        <f t="array" ref="G19">IFERROR(IF(16&lt;=COUNTIF(ASCOPE_PMESII!$B$3:$B$62,"REST"),IFERROR(INDEX(ASCOPE_PMESII!$C$3:$C$62,_xlfn.AGGREGATE(15,6,(ROW(ASCOPE_PMESII!$B$3:$B$62)-ROW(ASCOPE_PMESII!$B$3)+1)/(ASCOPE_PMESII!$B$3:$B$62="REST"),16)),""),IF(16&lt;=(COUNTIF(ASCOPE_PMESII!$B$3:$B$62,"REST")+COUNTIF(ASCOPE_PMESII!$D$3:$D$62,"REST")),IFERROR(INDEX(ASCOPE_PMESII!$E$3:$E$62,_xlfn.AGGREGATE(15,6,(ROW(ASCOPE_PMESII!$D$3:$D$62)-ROW(ASCOPE_PMESII!$D$3)+1)/(ASCOPE_PMESII!$D$3:$D$62="REST"),16-(COUNTIF(ASCOPE_PMESII!$B$3:$B$62,"REST")))),""),IF(16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16-(COUNTIF(ASCOPE_PMESII!$B$3:$B$62,"REST")+COUNTIF(ASCOPE_PMESII!$D$3:$D$62,"REST")))),""),IF(16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16-(COUNTIF(ASCOPE_PMESII!$B$3:$B$62,"REST")+COUNTIF(ASCOPE_PMESII!$D$3:$D$62,"REST")+COUNTIF(ASCOPE_PMESII!$F$3:$F$62,"REST")))),""),IF(16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16-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16-(COUNTIF(ASCOPE_PMESII!$B$3:$B$62,"REST")+COUNTIF(ASCOPE_PMESII!$D$3:$D$62,"REST")+COUNTIF(ASCOPE_PMESII!$F$3:$F$62,"REST")+COUNTIF(ASCOPE_PMESII!$H$3:$H$62,"REST")+COUNTIF(ASCOPE_PMESII!$J$3:$J$62,"REST")))),"")))))),"")</f>
        <v/>
      </c>
      <c r="H19" s="22" t="str">
        <f t="array" ref="H19">IFERROR(IF(16&lt;=COUNTIF(ASCOPE_PMESII!$B$3:$B$62,"KCD-MUST"),IFERROR(INDEX(ASCOPE_PMESII!$C$3:$C$62,_xlfn.AGGREGATE(15,6,(ROW(ASCOPE_PMESII!$B$3:$B$62)-ROW(ASCOPE_PMESII!$B$3)+1)/(ASCOPE_PMESII!$B$3:$B$62="KCD-MUST"),16)),""),IF(16&lt;=(COUNTIF(ASCOPE_PMESII!$B$3:$B$62,"KCD-MUST")+COUNTIF(ASCOPE_PMESII!$D$3:$D$62,"KCD-MUST")),IFERROR(INDEX(ASCOPE_PMESII!$E$3:$E$62,_xlfn.AGGREGATE(15,6,(ROW(ASCOPE_PMESII!$D$3:$D$62)-ROW(ASCOPE_PMESII!$D$3)+1)/(ASCOPE_PMESII!$D$3:$D$62="KCD-MUST"),16-(COUNTIF(ASCOPE_PMESII!$B$3:$B$62,"KCD-MUST")))),""),IF(16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16-(COUNTIF(ASCOPE_PMESII!$B$3:$B$62,"KCD-MUST")+COUNTIF(ASCOPE_PMESII!$D$3:$D$62,"KCD-MUST")))),""),IF(16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16-(COUNTIF(ASCOPE_PMESII!$B$3:$B$62,"KCD-MUST")+COUNTIF(ASCOPE_PMESII!$D$3:$D$62,"KCD-MUST")+COUNTIF(ASCOPE_PMESII!$F$3:$F$62,"KCD-MUST")))),""),IF(16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16-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16-(COUNTIF(ASCOPE_PMESII!$B$3:$B$62,"KCD-MUST")+COUNTIF(ASCOPE_PMESII!$D$3:$D$62,"KCD-MUST")+COUNTIF(ASCOPE_PMESII!$F$3:$F$62,"KCD-MUST")+COUNTIF(ASCOPE_PMESII!$H$3:$H$62,"KCD-MUST")+COUNTIF(ASCOPE_PMESII!$J$3:$J$62,"KCD-MUST")))),"")))))),"")</f>
        <v>Protect nationals and civilians in parallel</v>
      </c>
      <c r="I19" s="22" t="str">
        <f t="array" ref="I19">IFERROR(IF(16&lt;=COUNTIF(ASCOPE_PMESII!$B$3:$B$62,"KCD-SHOULD"),IFERROR(INDEX(ASCOPE_PMESII!$C$3:$C$62,_xlfn.AGGREGATE(15,6,(ROW(ASCOPE_PMESII!$B$3:$B$62)-ROW(ASCOPE_PMESII!$B$3)+1)/(ASCOPE_PMESII!$B$3:$B$62="KCD-SHOULD"),16)),""),IF(16&lt;=(COUNTIF(ASCOPE_PMESII!$B$3:$B$62,"KCD-SHOULD")+COUNTIF(ASCOPE_PMESII!$D$3:$D$62,"KCD-SHOULD")),IFERROR(INDEX(ASCOPE_PMESII!$E$3:$E$62,_xlfn.AGGREGATE(15,6,(ROW(ASCOPE_PMESII!$D$3:$D$62)-ROW(ASCOPE_PMESII!$D$3)+1)/(ASCOPE_PMESII!$D$3:$D$62="KCD-SHOULD"),16-(COUNTIF(ASCOPE_PMESII!$B$3:$B$62,"KCD-SHOULD")))),""),IF(16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16-(COUNTIF(ASCOPE_PMESII!$B$3:$B$62,"KCD-SHOULD")+COUNTIF(ASCOPE_PMESII!$D$3:$D$62,"KCD-SHOULD")))),""),IF(16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16-(COUNTIF(ASCOPE_PMESII!$B$3:$B$62,"KCD-SHOULD")+COUNTIF(ASCOPE_PMESII!$D$3:$D$62,"KCD-SHOULD")+COUNTIF(ASCOPE_PMESII!$F$3:$F$62,"KCD-SHOULD")))),""),IF(16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16-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16-(COUNTIF(ASCOPE_PMESII!$B$3:$B$62,"KCD-SHOULD")+COUNTIF(ASCOPE_PMESII!$D$3:$D$62,"KCD-SHOULD")+COUNTIF(ASCOPE_PMESII!$F$3:$F$62,"KCD-SHOULD")+COUNTIF(ASCOPE_PMESII!$H$3:$H$62,"KCD-SHOULD")+COUNTIF(ASCOPE_PMESII!$J$3:$J$62,"KCD-SHOULD")))),"")))))),"")</f>
        <v>Use HA actors for needs picture, not cover</v>
      </c>
      <c r="J19" s="22" t="str">
        <f t="array" ref="J19">IFERROR(IF(16&lt;=COUNTIF(ASCOPE_PMESII!$B$3:$B$62,"KCD-SHOULD NOT"),IFERROR(INDEX(ASCOPE_PMESII!$C$3:$C$62,_xlfn.AGGREGATE(15,6,(ROW(ASCOPE_PMESII!$B$3:$B$62)-ROW(ASCOPE_PMESII!$B$3)+1)/(ASCOPE_PMESII!$B$3:$B$62="KCD-SHOULD NOT"),16)),""),IF(16&lt;=(COUNTIF(ASCOPE_PMESII!$B$3:$B$62,"KCD-SHOULD NOT")+COUNTIF(ASCOPE_PMESII!$D$3:$D$62,"KCD-SHOULD NOT")),IFERROR(INDEX(ASCOPE_PMESII!$E$3:$E$62,_xlfn.AGGREGATE(15,6,(ROW(ASCOPE_PMESII!$D$3:$D$62)-ROW(ASCOPE_PMESII!$D$3)+1)/(ASCOPE_PMESII!$D$3:$D$62="KCD-SHOULD NOT"),16-(COUNTIF(ASCOPE_PMESII!$B$3:$B$62,"KCD-SHOULD NOT")))),""),IF(16&lt;=(COUNTIF(ASCOPE_PMESII!$B$3:$B$62,"KCD-SHOULD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NOT"),16-(COUNTIF(ASCOPE_PMESII!$B$3:$B$62,"KCD-SHOULD NOT")+COUNTIF(ASCOPE_PMESII!$D$3:$D$62,"KCD-SHOULD NOT")))),""),IF(16&lt;=(COUNTIF(ASCOPE_PMESII!$B$3:$B$62,"KCD-SHOULD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NOT"),16-(COUNTIF(ASCOPE_PMESII!$B$3:$B$62,"KCD-SHOULD NOT")+COUNTIF(ASCOPE_PMESII!$D$3:$D$62,"KCD-SHOULD NOT")+COUNTIF(ASCOPE_PMESII!$F$3:$F$62,"KCD-SHOULD NOT")))),""),IF(16&lt;=(COUNTIF(ASCOPE_PMESII!$B$3:$B$62,"KCD-SHOULD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NOT"),16-(COUNTIF(ASCOPE_PMESII!$B$3:$B$62,"KCD-SHOULD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NOT"),16-(COUNTIF(ASCOPE_PMESII!$B$3:$B$62,"KCD-SHOULD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19" s="22" t="str">
        <f t="array" ref="K19">IFERROR(IF(16&lt;=COUNTIF(ASCOPE_PMESII!$B$3:$B$62,"KCD-CANNOT"),IFERROR(INDEX(ASCOPE_PMESII!$C$3:$C$62,_xlfn.AGGREGATE(15,6,(ROW(ASCOPE_PMESII!$B$3:$B$62)-ROW(ASCOPE_PMESII!$B$3)+1)/(ASCOPE_PMESII!$B$3:$B$62="KCD-CANNOT"),16)),""),IF(16&lt;=(COUNTIF(ASCOPE_PMESII!$B$3:$B$62,"KCD-CANNOT")+COUNTIF(ASCOPE_PMESII!$D$3:$D$62,"KCD-CANNOT")),IFERROR(INDEX(ASCOPE_PMESII!$E$3:$E$62,_xlfn.AGGREGATE(15,6,(ROW(ASCOPE_PMESII!$D$3:$D$62)-ROW(ASCOPE_PMESII!$D$3)+1)/(ASCOPE_PMESII!$D$3:$D$62="KCD-CANNOT"),16-(COUNTIF(ASCOPE_PMESII!$B$3:$B$62,"KCD-CANNOT")))),""),IF(16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16-(COUNTIF(ASCOPE_PMESII!$B$3:$B$62,"KCD-CANNOT")+COUNTIF(ASCOPE_PMESII!$D$3:$D$62,"KCD-CANNOT")))),""),IF(16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16-(COUNTIF(ASCOPE_PMESII!$B$3:$B$62,"KCD-CANNOT")+COUNTIF(ASCOPE_PMESII!$D$3:$D$62,"KCD-CANNOT")+COUNTIF(ASCOPE_PMESII!$F$3:$F$62,"KCD-CANNOT")))),""),IF(16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16-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16-(COUNTIF(ASCOPE_PMESII!$B$3:$B$62,"KCD-CANNOT")+COUNTIF(ASCOPE_PMESII!$D$3:$D$62,"KCD-CANNOT")+COUNTIF(ASCOPE_PMESII!$F$3:$F$62,"KCD-CANNOT")+COUNTIF(ASCOPE_PMESII!$H$3:$H$62,"KCD-CANNOT")+COUNTIF(ASCOPE_PMESII!$J$3:$J$62,"KCD-CANNOT")))),"")))))),"")</f>
        <v>Cannot subordinate HA credibility to targeting</v>
      </c>
      <c r="L19" s="22" t="str">
        <f t="array" ref="L19">IFERROR(IF(16&lt;=COUNTIF(ASCOPE_PMESII!$B$3:$B$62,"DECISION"),IFERROR(INDEX(ASCOPE_PMESII!$C$3:$C$62,_xlfn.AGGREGATE(15,6,(ROW(ASCOPE_PMESII!$B$3:$B$62)-ROW(ASCOPE_PMESII!$B$3)+1)/(ASCOPE_PMESII!$B$3:$B$62="DECISION"),16)),""),IF(16&lt;=(COUNTIF(ASCOPE_PMESII!$B$3:$B$62,"DECISION")+COUNTIF(ASCOPE_PMESII!$D$3:$D$62,"DECISION")),IFERROR(INDEX(ASCOPE_PMESII!$E$3:$E$62,_xlfn.AGGREGATE(15,6,(ROW(ASCOPE_PMESII!$D$3:$D$62)-ROW(ASCOPE_PMESII!$D$3)+1)/(ASCOPE_PMESII!$D$3:$D$62="DECISION"),16-(COUNTIF(ASCOPE_PMESII!$B$3:$B$62,"DECISION")))),""),IF(16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16-(COUNTIF(ASCOPE_PMESII!$B$3:$B$62,"DECISION")+COUNTIF(ASCOPE_PMESII!$D$3:$D$62,"DECISION")))),""),IF(16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16-(COUNTIF(ASCOPE_PMESII!$B$3:$B$62,"DECISION")+COUNTIF(ASCOPE_PMESII!$D$3:$D$62,"DECISION")+COUNTIF(ASCOPE_PMESII!$F$3:$F$62,"DECISION")))),""),IF(16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16-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16-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19" s="22" t="str">
        <f t="array" ref="M19">IFERROR(IF(16&lt;=COUNTIF(ASCOPE_PMESII!$B$3:$B$62,"ASSUMPTION"),IFERROR(INDEX(ASCOPE_PMESII!$C$3:$C$62,_xlfn.AGGREGATE(15,6,(ROW(ASCOPE_PMESII!$B$3:$B$62)-ROW(ASCOPE_PMESII!$B$3)+1)/(ASCOPE_PMESII!$B$3:$B$62="ASSUMPTION"),16)),""),IF(16&lt;=(COUNTIF(ASCOPE_PMESII!$B$3:$B$62,"ASSUMPTION")+COUNTIF(ASCOPE_PMESII!$D$3:$D$62,"ASSUMPTION")),IFERROR(INDEX(ASCOPE_PMESII!$E$3:$E$62,_xlfn.AGGREGATE(15,6,(ROW(ASCOPE_PMESII!$D$3:$D$62)-ROW(ASCOPE_PMESII!$D$3)+1)/(ASCOPE_PMESII!$D$3:$D$62="ASSUMPTION"),16-(COUNTIF(ASCOPE_PMESII!$B$3:$B$62,"ASSUMPTION")))),""),IF(16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16-(COUNTIF(ASCOPE_PMESII!$B$3:$B$62,"ASSUMPTION")+COUNTIF(ASCOPE_PMESII!$D$3:$D$62,"ASSUMPTION")))),""),IF(16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16-(COUNTIF(ASCOPE_PMESII!$B$3:$B$62,"ASSUMPTION")+COUNTIF(ASCOPE_PMESII!$D$3:$D$62,"ASSUMPTION")+COUNTIF(ASCOPE_PMESII!$F$3:$F$62,"ASSUMPTION")))),""),IF(16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16-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16-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19" s="22" t="str">
        <f t="array" ref="N19">IFERROR(IF(16&lt;=COUNTIF(ASCOPE_PMESII!$B$3:$B$62,"CONSTRAINT"),IFERROR(INDEX(ASCOPE_PMESII!$C$3:$C$62,_xlfn.AGGREGATE(15,6,(ROW(ASCOPE_PMESII!$B$3:$B$62)-ROW(ASCOPE_PMESII!$B$3)+1)/(ASCOPE_PMESII!$B$3:$B$62="CONSTRAINT"),16)),""),IF(16&lt;=(COUNTIF(ASCOPE_PMESII!$B$3:$B$62,"CONSTRAINT")+COUNTIF(ASCOPE_PMESII!$D$3:$D$62,"CONSTRAINT")),IFERROR(INDEX(ASCOPE_PMESII!$E$3:$E$62,_xlfn.AGGREGATE(15,6,(ROW(ASCOPE_PMESII!$D$3:$D$62)-ROW(ASCOPE_PMESII!$D$3)+1)/(ASCOPE_PMESII!$D$3:$D$62="CONSTRAINT"),16-(COUNTIF(ASCOPE_PMESII!$B$3:$B$62,"CONSTRAINT")))),""),IF(16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16-(COUNTIF(ASCOPE_PMESII!$B$3:$B$62,"CONSTRAINT")+COUNTIF(ASCOPE_PMESII!$D$3:$D$62,"CONSTRAINT")))),""),IF(16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16-(COUNTIF(ASCOPE_PMESII!$B$3:$B$62,"CONSTRAINT")+COUNTIF(ASCOPE_PMESII!$D$3:$D$62,"CONSTRAINT")+COUNTIF(ASCOPE_PMESII!$F$3:$F$62,"CONSTRAINT")))),""),IF(16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16-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16-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19" s="22" t="str">
        <f t="array" ref="O19">IFERROR(IF(16&lt;=COUNTIF(ASCOPE_PMESII!$B$3:$B$62,"LIMITATION"),IFERROR(INDEX(ASCOPE_PMESII!$C$3:$C$62,_xlfn.AGGREGATE(15,6,(ROW(ASCOPE_PMESII!$B$3:$B$62)-ROW(ASCOPE_PMESII!$B$3)+1)/(ASCOPE_PMESII!$B$3:$B$62="LIMITATION"),16)),""),IF(16&lt;=(COUNTIF(ASCOPE_PMESII!$B$3:$B$62,"LIMITATION")+COUNTIF(ASCOPE_PMESII!$D$3:$D$62,"LIMITATION")),IFERROR(INDEX(ASCOPE_PMESII!$E$3:$E$62,_xlfn.AGGREGATE(15,6,(ROW(ASCOPE_PMESII!$D$3:$D$62)-ROW(ASCOPE_PMESII!$D$3)+1)/(ASCOPE_PMESII!$D$3:$D$62="LIMITATION"),16-(COUNTIF(ASCOPE_PMESII!$B$3:$B$62,"LIMITATION")))),""),IF(16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16-(COUNTIF(ASCOPE_PMESII!$B$3:$B$62,"LIMITATION")+COUNTIF(ASCOPE_PMESII!$D$3:$D$62,"LIMITATION")))),""),IF(16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16-(COUNTIF(ASCOPE_PMESII!$B$3:$B$62,"LIMITATION")+COUNTIF(ASCOPE_PMESII!$D$3:$D$62,"LIMITATION")+COUNTIF(ASCOPE_PMESII!$F$3:$F$62,"LIMITATION")))),""),IF(16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16-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16-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19" s="22" t="str">
        <f t="array" ref="P19">IFERROR(IF(16&lt;=COUNTIF(ASCOPE_PMESII!$B$3:$B$62,"CC"),IFERROR(INDEX(ASCOPE_PMESII!$C$3:$C$62,_xlfn.AGGREGATE(15,6,(ROW(ASCOPE_PMESII!$B$3:$B$62)-ROW(ASCOPE_PMESII!$B$3)+1)/(ASCOPE_PMESII!$B$3:$B$62="CC"),16)),""),IF(16&lt;=(COUNTIF(ASCOPE_PMESII!$B$3:$B$62,"CC")+COUNTIF(ASCOPE_PMESII!$D$3:$D$62,"CC")),IFERROR(INDEX(ASCOPE_PMESII!$E$3:$E$62,_xlfn.AGGREGATE(15,6,(ROW(ASCOPE_PMESII!$D$3:$D$62)-ROW(ASCOPE_PMESII!$D$3)+1)/(ASCOPE_PMESII!$D$3:$D$62="CC"),16-(COUNTIF(ASCOPE_PMESII!$B$3:$B$62,"CC")))),""),IF(16&lt;=(COUNTIF(ASCOPE_PMESII!$B$3:$B$62,"CC")+COUNTIF(ASCOPE_PMESII!$D$3:$D$62,"CC")+COUNTIF(ASCOPE_PMESII!$F$3:$F$62,"CC")),IFERROR(INDEX(ASCOPE_PMESII!$G$3:$G$62,_xlfn.AGGREGATE(15,6,(ROW(ASCOPE_PMESII!$F$3:$F$62)-ROW(ASCOPE_PMESII!$F$3)+1)/(ASCOPE_PMESII!$F$3:$F$62="CC"),16-(COUNTIF(ASCOPE_PMESII!$B$3:$B$62,"CC")+COUNTIF(ASCOPE_PMESII!$D$3:$D$62,"CC")))),""),IF(16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16-(COUNTIF(ASCOPE_PMESII!$B$3:$B$62,"CC")+COUNTIF(ASCOPE_PMESII!$D$3:$D$62,"CC")+COUNTIF(ASCOPE_PMESII!$F$3:$F$62,"CC")))),""),IF(16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16-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16-(COUNTIF(ASCOPE_PMESII!$B$3:$B$62,"CC")+COUNTIF(ASCOPE_PMESII!$D$3:$D$62,"CC")+COUNTIF(ASCOPE_PMESII!$F$3:$F$62,"CC")+COUNTIF(ASCOPE_PMESII!$H$3:$H$62,"CC")+COUNTIF(ASCOPE_PMESII!$J$3:$J$62,"CC")))),"")))))),"")</f>
        <v>Radar and telecoms support IRS targeting</v>
      </c>
      <c r="Q19" s="22" t="str">
        <f t="array" ref="Q19">IFERROR(IF(16&lt;=COUNTIF(ASCOPE_PMESII!$B$3:$B$62,"CR"),IFERROR(INDEX(ASCOPE_PMESII!$C$3:$C$62,_xlfn.AGGREGATE(15,6,(ROW(ASCOPE_PMESII!$B$3:$B$62)-ROW(ASCOPE_PMESII!$B$3)+1)/(ASCOPE_PMESII!$B$3:$B$62="CR"),16)),""),IF(16&lt;=(COUNTIF(ASCOPE_PMESII!$B$3:$B$62,"CR")+COUNTIF(ASCOPE_PMESII!$D$3:$D$62,"CR")),IFERROR(INDEX(ASCOPE_PMESII!$E$3:$E$62,_xlfn.AGGREGATE(15,6,(ROW(ASCOPE_PMESII!$D$3:$D$62)-ROW(ASCOPE_PMESII!$D$3)+1)/(ASCOPE_PMESII!$D$3:$D$62="CR"),16-(COUNTIF(ASCOPE_PMESII!$B$3:$B$62,"CR")))),""),IF(16&lt;=(COUNTIF(ASCOPE_PMESII!$B$3:$B$62,"CR")+COUNTIF(ASCOPE_PMESII!$D$3:$D$62,"CR")+COUNTIF(ASCOPE_PMESII!$F$3:$F$62,"CR")),IFERROR(INDEX(ASCOPE_PMESII!$G$3:$G$62,_xlfn.AGGREGATE(15,6,(ROW(ASCOPE_PMESII!$F$3:$F$62)-ROW(ASCOPE_PMESII!$F$3)+1)/(ASCOPE_PMESII!$F$3:$F$62="CR"),16-(COUNTIF(ASCOPE_PMESII!$B$3:$B$62,"CR")+COUNTIF(ASCOPE_PMESII!$D$3:$D$62,"CR")))),""),IF(16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16-(COUNTIF(ASCOPE_PMESII!$B$3:$B$62,"CR")+COUNTIF(ASCOPE_PMESII!$D$3:$D$62,"CR")+COUNTIF(ASCOPE_PMESII!$F$3:$F$62,"CR")))),""),IF(16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16-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16-(COUNTIF(ASCOPE_PMESII!$B$3:$B$62,"CR")+COUNTIF(ASCOPE_PMESII!$D$3:$D$62,"CR")+COUNTIF(ASCOPE_PMESII!$F$3:$F$62,"CR")+COUNTIF(ASCOPE_PMESII!$H$3:$H$62,"CR")+COUNTIF(ASCOPE_PMESII!$J$3:$J$62,"CR")))),"")))))),"")</f>
        <v>Consular, medical, police and HA liaison required</v>
      </c>
      <c r="R19" s="95" t="str">
        <f t="array" ref="R19">IFERROR(IF(16&lt;=COUNTIF(ASCOPE_PMESII!$B$3:$B$62,"PCS"),IFERROR(INDEX(ASCOPE_PMESII!$C$3:$C$62,_xlfn.AGGREGATE(15,6,(ROW(ASCOPE_PMESII!$B$3:$B$62)-ROW(ASCOPE_PMESII!$B$3)+1)/(ASCOPE_PMESII!$B$3:$B$62="PCS"),16)),""),IF(16&lt;=(COUNTIF(ASCOPE_PMESII!$B$3:$B$62,"PCS")+COUNTIF(ASCOPE_PMESII!$D$3:$D$62,"PCS")),IFERROR(INDEX(ASCOPE_PMESII!$E$3:$E$62,_xlfn.AGGREGATE(15,6,(ROW(ASCOPE_PMESII!$D$3:$D$62)-ROW(ASCOPE_PMESII!$D$3)+1)/(ASCOPE_PMESII!$D$3:$D$62="PCS"),16-(COUNTIF(ASCOPE_PMESII!$B$3:$B$62,"PCS")))),""),IF(16&lt;=(COUNTIF(ASCOPE_PMESII!$B$3:$B$62,"PCS")+COUNTIF(ASCOPE_PMESII!$D$3:$D$62,"PCS")+COUNTIF(ASCOPE_PMESII!$F$3:$F$62,"PCS")),IFERROR(INDEX(ASCOPE_PMESII!$G$3:$G$62,_xlfn.AGGREGATE(15,6,(ROW(ASCOPE_PMESII!$F$3:$F$62)-ROW(ASCOPE_PMESII!$F$3)+1)/(ASCOPE_PMESII!$F$3:$F$62="PCS"),16-(COUNTIF(ASCOPE_PMESII!$B$3:$B$62,"PCS")+COUNTIF(ASCOPE_PMESII!$D$3:$D$62,"PCS")))),""),IF(16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16-(COUNTIF(ASCOPE_PMESII!$B$3:$B$62,"PCS")+COUNTIF(ASCOPE_PMESII!$D$3:$D$62,"PCS")+COUNTIF(ASCOPE_PMESII!$F$3:$F$62,"PCS")))),""),IF(16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16-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16-(COUNTIF(ASCOPE_PMESII!$B$3:$B$62,"PCS")+COUNTIF(ASCOPE_PMESII!$D$3:$D$62,"PCS")+COUNTIF(ASCOPE_PMESII!$F$3:$F$62,"PCS")+COUNTIF(ASCOPE_PMESII!$H$3:$H$62,"PCS")+COUNTIF(ASCOPE_PMESII!$J$3:$J$62,"PCS")))),"")))))),"")</f>
        <v/>
      </c>
    </row>
    <row r="20" spans="1:18" ht="34.5" customHeight="1">
      <c r="A20" s="21" t="str">
        <f t="array" ref="A20">IFERROR(IF(17&lt;=COUNTIF(ASCOPE_PMESII!$B$3:$B$62,"OE"),IFERROR(INDEX(ASCOPE_PMESII!$C$3:$C$62,_xlfn.AGGREGATE(15,6,(ROW(ASCOPE_PMESII!$B$3:$B$62)-ROW(ASCOPE_PMESII!$B$3)+1)/(ASCOPE_PMESII!$B$3:$B$62="OE"),17)),""),IF(17&lt;=(COUNTIF(ASCOPE_PMESII!$B$3:$B$62,"OE")+COUNTIF(ASCOPE_PMESII!$D$3:$D$62,"OE")),IFERROR(INDEX(ASCOPE_PMESII!$E$3:$E$62,_xlfn.AGGREGATE(15,6,(ROW(ASCOPE_PMESII!$D$3:$D$62)-ROW(ASCOPE_PMESII!$D$3)+1)/(ASCOPE_PMESII!$D$3:$D$62="OE"),17-(COUNTIF(ASCOPE_PMESII!$B$3:$B$62,"OE")))),""),IF(17&lt;=(COUNTIF(ASCOPE_PMESII!$B$3:$B$62,"OE")+COUNTIF(ASCOPE_PMESII!$D$3:$D$62,"OE")+COUNTIF(ASCOPE_PMESII!$F$3:$F$62,"OE")),IFERROR(INDEX(ASCOPE_PMESII!$G$3:$G$62,_xlfn.AGGREGATE(15,6,(ROW(ASCOPE_PMESII!$F$3:$F$62)-ROW(ASCOPE_PMESII!$F$3)+1)/(ASCOPE_PMESII!$F$3:$F$62="OE"),17-(COUNTIF(ASCOPE_PMESII!$B$3:$B$62,"OE")+COUNTIF(ASCOPE_PMESII!$D$3:$D$62,"OE")))),""),IF(17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17-(COUNTIF(ASCOPE_PMESII!$B$3:$B$62,"OE")+COUNTIF(ASCOPE_PMESII!$D$3:$D$62,"OE")+COUNTIF(ASCOPE_PMESII!$F$3:$F$62,"OE")))),""),IF(17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17-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17-(COUNTIF(ASCOPE_PMESII!$B$3:$B$62,"OE")+COUNTIF(ASCOPE_PMESII!$D$3:$D$62,"OE")+COUNTIF(ASCOPE_PMESII!$F$3:$F$62,"OE")+COUNTIF(ASCOPE_PMESII!$H$3:$H$62,"OE")+COUNTIF(ASCOPE_PMESII!$J$3:$J$62,"OE")))),"")))))),"")</f>
        <v/>
      </c>
      <c r="B20" s="21" t="str">
        <f t="array" ref="B20">IFERROR(IF(17&lt;=COUNTIF(ASCOPE_PMESII!$B$3:$B$62,"OA"),IFERROR(INDEX(ASCOPE_PMESII!$C$3:$C$62,_xlfn.AGGREGATE(15,6,(ROW(ASCOPE_PMESII!$B$3:$B$62)-ROW(ASCOPE_PMESII!$B$3)+1)/(ASCOPE_PMESII!$B$3:$B$62="OA"),17)),""),IF(17&lt;=(COUNTIF(ASCOPE_PMESII!$B$3:$B$62,"OA")+COUNTIF(ASCOPE_PMESII!$D$3:$D$62,"OA")),IFERROR(INDEX(ASCOPE_PMESII!$E$3:$E$62,_xlfn.AGGREGATE(15,6,(ROW(ASCOPE_PMESII!$D$3:$D$62)-ROW(ASCOPE_PMESII!$D$3)+1)/(ASCOPE_PMESII!$D$3:$D$62="OA"),17-(COUNTIF(ASCOPE_PMESII!$B$3:$B$62,"OA")))),""),IF(17&lt;=(COUNTIF(ASCOPE_PMESII!$B$3:$B$62,"OA")+COUNTIF(ASCOPE_PMESII!$D$3:$D$62,"OA")+COUNTIF(ASCOPE_PMESII!$F$3:$F$62,"OA")),IFERROR(INDEX(ASCOPE_PMESII!$G$3:$G$62,_xlfn.AGGREGATE(15,6,(ROW(ASCOPE_PMESII!$F$3:$F$62)-ROW(ASCOPE_PMESII!$F$3)+1)/(ASCOPE_PMESII!$F$3:$F$62="OA"),17-(COUNTIF(ASCOPE_PMESII!$B$3:$B$62,"OA")+COUNTIF(ASCOPE_PMESII!$D$3:$D$62,"OA")))),""),IF(17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17-(COUNTIF(ASCOPE_PMESII!$B$3:$B$62,"OA")+COUNTIF(ASCOPE_PMESII!$D$3:$D$62,"OA")+COUNTIF(ASCOPE_PMESII!$F$3:$F$62,"OA")))),""),IF(17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17-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17-(COUNTIF(ASCOPE_PMESII!$B$3:$B$62,"OA")+COUNTIF(ASCOPE_PMESII!$D$3:$D$62,"OA")+COUNTIF(ASCOPE_PMESII!$F$3:$F$62,"OA")+COUNTIF(ASCOPE_PMESII!$H$3:$H$62,"OA")+COUNTIF(ASCOPE_PMESII!$J$3:$J$62,"OA")))),"")))))),"")</f>
        <v/>
      </c>
      <c r="C20" s="21" t="str">
        <f t="array" ref="C20">IFERROR(IF(17&lt;=COUNTIF(ASCOPE_PMESII!$B$3:$B$62,"RISK"),IFERROR(INDEX(ASCOPE_PMESII!$C$3:$C$62,_xlfn.AGGREGATE(15,6,(ROW(ASCOPE_PMESII!$B$3:$B$62)-ROW(ASCOPE_PMESII!$B$3)+1)/(ASCOPE_PMESII!$B$3:$B$62="RISK"),17)),""),IF(17&lt;=(COUNTIF(ASCOPE_PMESII!$B$3:$B$62,"RISK")+COUNTIF(ASCOPE_PMESII!$D$3:$D$62,"RISK")),IFERROR(INDEX(ASCOPE_PMESII!$E$3:$E$62,_xlfn.AGGREGATE(15,6,(ROW(ASCOPE_PMESII!$D$3:$D$62)-ROW(ASCOPE_PMESII!$D$3)+1)/(ASCOPE_PMESII!$D$3:$D$62="RISK"),17-(COUNTIF(ASCOPE_PMESII!$B$3:$B$62,"RISK")))),""),IF(17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17-(COUNTIF(ASCOPE_PMESII!$B$3:$B$62,"RISK")+COUNTIF(ASCOPE_PMESII!$D$3:$D$62,"RISK")))),""),IF(17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17-(COUNTIF(ASCOPE_PMESII!$B$3:$B$62,"RISK")+COUNTIF(ASCOPE_PMESII!$D$3:$D$62,"RISK")+COUNTIF(ASCOPE_PMESII!$F$3:$F$62,"RISK")))),""),IF(17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17-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17-(COUNTIF(ASCOPE_PMESII!$B$3:$B$62,"RISK")+COUNTIF(ASCOPE_PMESII!$D$3:$D$62,"RISK")+COUNTIF(ASCOPE_PMESII!$F$3:$F$62,"RISK")+COUNTIF(ASCOPE_PMESII!$H$3:$H$62,"RISK")+COUNTIF(ASCOPE_PMESII!$J$3:$J$62,"RISK")))),"")))))),"")</f>
        <v>MSR failure fixes force at entry nodes</v>
      </c>
      <c r="D20" s="21" t="str">
        <f t="array" ref="D20">IFERROR(IF(17&lt;=COUNTIF(ASCOPE_PMESII!$B$3:$B$62,"CV"),IFERROR(INDEX(ASCOPE_PMESII!$C$3:$C$62,_xlfn.AGGREGATE(15,6,(ROW(ASCOPE_PMESII!$B$3:$B$62)-ROW(ASCOPE_PMESII!$B$3)+1)/(ASCOPE_PMESII!$B$3:$B$62="CV"),17)),""),IF(17&lt;=(COUNTIF(ASCOPE_PMESII!$B$3:$B$62,"CV")+COUNTIF(ASCOPE_PMESII!$D$3:$D$62,"CV")),IFERROR(INDEX(ASCOPE_PMESII!$E$3:$E$62,_xlfn.AGGREGATE(15,6,(ROW(ASCOPE_PMESII!$D$3:$D$62)-ROW(ASCOPE_PMESII!$D$3)+1)/(ASCOPE_PMESII!$D$3:$D$62="CV"),17-(COUNTIF(ASCOPE_PMESII!$B$3:$B$62,"CV")))),""),IF(17&lt;=(COUNTIF(ASCOPE_PMESII!$B$3:$B$62,"CV")+COUNTIF(ASCOPE_PMESII!$D$3:$D$62,"CV")+COUNTIF(ASCOPE_PMESII!$F$3:$F$62,"CV")),IFERROR(INDEX(ASCOPE_PMESII!$G$3:$G$62,_xlfn.AGGREGATE(15,6,(ROW(ASCOPE_PMESII!$F$3:$F$62)-ROW(ASCOPE_PMESII!$F$3)+1)/(ASCOPE_PMESII!$F$3:$F$62="CV"),17-(COUNTIF(ASCOPE_PMESII!$B$3:$B$62,"CV")+COUNTIF(ASCOPE_PMESII!$D$3:$D$62,"CV")))),""),IF(17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17-(COUNTIF(ASCOPE_PMESII!$B$3:$B$62,"CV")+COUNTIF(ASCOPE_PMESII!$D$3:$D$62,"CV")+COUNTIF(ASCOPE_PMESII!$F$3:$F$62,"CV")))),""),IF(17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17-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17-(COUNTIF(ASCOPE_PMESII!$B$3:$B$62,"CV")+COUNTIF(ASCOPE_PMESII!$D$3:$D$62,"CV")+COUNTIF(ASCOPE_PMESII!$F$3:$F$62,"CV")+COUNTIF(ASCOPE_PMESII!$H$3:$H$62,"CV")+COUNTIF(ASCOPE_PMESII!$J$3:$J$62,"CV")))),"")))))),"")</f>
        <v>BELAWAN/MEDAN are both prize and threat</v>
      </c>
      <c r="E20" s="21" t="str">
        <f t="array" ref="E20">IFERROR(IF(17&lt;=COUNTIF(ASCOPE_PMESII!$B$3:$B$62,"COR"),IFERROR(INDEX(ASCOPE_PMESII!$C$3:$C$62,_xlfn.AGGREGATE(15,6,(ROW(ASCOPE_PMESII!$B$3:$B$62)-ROW(ASCOPE_PMESII!$B$3)+1)/(ASCOPE_PMESII!$B$3:$B$62="COR"),17)),""),IF(17&lt;=(COUNTIF(ASCOPE_PMESII!$B$3:$B$62,"COR")+COUNTIF(ASCOPE_PMESII!$D$3:$D$62,"COR")),IFERROR(INDEX(ASCOPE_PMESII!$E$3:$E$62,_xlfn.AGGREGATE(15,6,(ROW(ASCOPE_PMESII!$D$3:$D$62)-ROW(ASCOPE_PMESII!$D$3)+1)/(ASCOPE_PMESII!$D$3:$D$62="COR"),17-(COUNTIF(ASCOPE_PMESII!$B$3:$B$62,"COR")))),""),IF(17&lt;=(COUNTIF(ASCOPE_PMESII!$B$3:$B$62,"COR")+COUNTIF(ASCOPE_PMESII!$D$3:$D$62,"COR")+COUNTIF(ASCOPE_PMESII!$F$3:$F$62,"COR")),IFERROR(INDEX(ASCOPE_PMESII!$G$3:$G$62,_xlfn.AGGREGATE(15,6,(ROW(ASCOPE_PMESII!$F$3:$F$62)-ROW(ASCOPE_PMESII!$F$3)+1)/(ASCOPE_PMESII!$F$3:$F$62="COR"),17-(COUNTIF(ASCOPE_PMESII!$B$3:$B$62,"COR")+COUNTIF(ASCOPE_PMESII!$D$3:$D$62,"COR")))),""),IF(17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17-(COUNTIF(ASCOPE_PMESII!$B$3:$B$62,"COR")+COUNTIF(ASCOPE_PMESII!$D$3:$D$62,"COR")+COUNTIF(ASCOPE_PMESII!$F$3:$F$62,"COR")))),""),IF(17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17-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17-(COUNTIF(ASCOPE_PMESII!$B$3:$B$62,"COR")+COUNTIF(ASCOPE_PMESII!$D$3:$D$62,"COR")+COUNTIF(ASCOPE_PMESII!$F$3:$F$62,"COR")+COUNTIF(ASCOPE_PMESII!$H$3:$H$62,"COR")+COUNTIF(ASCOPE_PMESII!$J$3:$J$62,"COR")))),"")))))),"")</f>
        <v>Plan for engineer-heavy movement and sustainment</v>
      </c>
      <c r="F20" s="21" t="str">
        <f t="array" ref="F20">IFERROR(IF(17&lt;=COUNTIF(ASCOPE_PMESII!$B$3:$B$62,"REQT"),IFERROR(INDEX(ASCOPE_PMESII!$C$3:$C$62,_xlfn.AGGREGATE(15,6,(ROW(ASCOPE_PMESII!$B$3:$B$62)-ROW(ASCOPE_PMESII!$B$3)+1)/(ASCOPE_PMESII!$B$3:$B$62="REQT"),17)),""),IF(17&lt;=(COUNTIF(ASCOPE_PMESII!$B$3:$B$62,"REQT")+COUNTIF(ASCOPE_PMESII!$D$3:$D$62,"REQT")),IFERROR(INDEX(ASCOPE_PMESII!$E$3:$E$62,_xlfn.AGGREGATE(15,6,(ROW(ASCOPE_PMESII!$D$3:$D$62)-ROW(ASCOPE_PMESII!$D$3)+1)/(ASCOPE_PMESII!$D$3:$D$62="REQT"),17-(COUNTIF(ASCOPE_PMESII!$B$3:$B$62,"REQT")))),""),IF(17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17-(COUNTIF(ASCOPE_PMESII!$B$3:$B$62,"REQT")+COUNTIF(ASCOPE_PMESII!$D$3:$D$62,"REQT")))),""),IF(17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17-(COUNTIF(ASCOPE_PMESII!$B$3:$B$62,"REQT")+COUNTIF(ASCOPE_PMESII!$D$3:$D$62,"REQT")+COUNTIF(ASCOPE_PMESII!$F$3:$F$62,"REQT")))),""),IF(17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17-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17-(COUNTIF(ASCOPE_PMESII!$B$3:$B$62,"REQT")+COUNTIF(ASCOPE_PMESII!$D$3:$D$62,"REQT")+COUNTIF(ASCOPE_PMESII!$F$3:$F$62,"REQT")+COUNTIF(ASCOPE_PMESII!$H$3:$H$62,"REQT")+COUNTIF(ASCOPE_PMESII!$J$3:$J$62,"REQT")))),"")))))),"")</f>
        <v/>
      </c>
      <c r="G20" s="21" t="str">
        <f t="array" ref="G20">IFERROR(IF(17&lt;=COUNTIF(ASCOPE_PMESII!$B$3:$B$62,"REST"),IFERROR(INDEX(ASCOPE_PMESII!$C$3:$C$62,_xlfn.AGGREGATE(15,6,(ROW(ASCOPE_PMESII!$B$3:$B$62)-ROW(ASCOPE_PMESII!$B$3)+1)/(ASCOPE_PMESII!$B$3:$B$62="REST"),17)),""),IF(17&lt;=(COUNTIF(ASCOPE_PMESII!$B$3:$B$62,"REST")+COUNTIF(ASCOPE_PMESII!$D$3:$D$62,"REST")),IFERROR(INDEX(ASCOPE_PMESII!$E$3:$E$62,_xlfn.AGGREGATE(15,6,(ROW(ASCOPE_PMESII!$D$3:$D$62)-ROW(ASCOPE_PMESII!$D$3)+1)/(ASCOPE_PMESII!$D$3:$D$62="REST"),17-(COUNTIF(ASCOPE_PMESII!$B$3:$B$62,"REST")))),""),IF(17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17-(COUNTIF(ASCOPE_PMESII!$B$3:$B$62,"REST")+COUNTIF(ASCOPE_PMESII!$D$3:$D$62,"REST")))),""),IF(17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17-(COUNTIF(ASCOPE_PMESII!$B$3:$B$62,"REST")+COUNTIF(ASCOPE_PMESII!$D$3:$D$62,"REST")+COUNTIF(ASCOPE_PMESII!$F$3:$F$62,"REST")))),""),IF(17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17-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17-(COUNTIF(ASCOPE_PMESII!$B$3:$B$62,"REST")+COUNTIF(ASCOPE_PMESII!$D$3:$D$62,"REST")+COUNTIF(ASCOPE_PMESII!$F$3:$F$62,"REST")+COUNTIF(ASCOPE_PMESII!$H$3:$H$62,"REST")+COUNTIF(ASCOPE_PMESII!$J$3:$J$62,"REST")))),"")))))),"")</f>
        <v/>
      </c>
      <c r="H20" s="21" t="str">
        <f t="array" ref="H20">IFERROR(IF(17&lt;=COUNTIF(ASCOPE_PMESII!$B$3:$B$62,"KCD-MUST"),IFERROR(INDEX(ASCOPE_PMESII!$C$3:$C$62,_xlfn.AGGREGATE(15,6,(ROW(ASCOPE_PMESII!$B$3:$B$62)-ROW(ASCOPE_PMESII!$B$3)+1)/(ASCOPE_PMESII!$B$3:$B$62="KCD-MUST"),17)),""),IF(17&lt;=(COUNTIF(ASCOPE_PMESII!$B$3:$B$62,"KCD-MUST")+COUNTIF(ASCOPE_PMESII!$D$3:$D$62,"KCD-MUST")),IFERROR(INDEX(ASCOPE_PMESII!$E$3:$E$62,_xlfn.AGGREGATE(15,6,(ROW(ASCOPE_PMESII!$D$3:$D$62)-ROW(ASCOPE_PMESII!$D$3)+1)/(ASCOPE_PMESII!$D$3:$D$62="KCD-MUST"),17-(COUNTIF(ASCOPE_PMESII!$B$3:$B$62,"KCD-MUST")))),""),IF(17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17-(COUNTIF(ASCOPE_PMESII!$B$3:$B$62,"KCD-MUST")+COUNTIF(ASCOPE_PMESII!$D$3:$D$62,"KCD-MUST")))),""),IF(17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17-(COUNTIF(ASCOPE_PMESII!$B$3:$B$62,"KCD-MUST")+COUNTIF(ASCOPE_PMESII!$D$3:$D$62,"KCD-MUST")+COUNTIF(ASCOPE_PMESII!$F$3:$F$62,"KCD-MUST")))),""),IF(17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17-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17-(COUNTIF(ASCOPE_PMESII!$B$3:$B$62,"KCD-MUST")+COUNTIF(ASCOPE_PMESII!$D$3:$D$62,"KCD-MUST")+COUNTIF(ASCOPE_PMESII!$F$3:$F$62,"KCD-MUST")+COUNTIF(ASCOPE_PMESII!$H$3:$H$62,"KCD-MUST")+COUNTIF(ASCOPE_PMESII!$J$3:$J$62,"KCD-MUST")))),"")))))),"")</f>
        <v>Match COA to realistic movement capacity</v>
      </c>
      <c r="I20" s="21" t="str">
        <f t="array" ref="I20">IFERROR(IF(17&lt;=COUNTIF(ASCOPE_PMESII!$B$3:$B$62,"KCD-SHOULD"),IFERROR(INDEX(ASCOPE_PMESII!$C$3:$C$62,_xlfn.AGGREGATE(15,6,(ROW(ASCOPE_PMESII!$B$3:$B$62)-ROW(ASCOPE_PMESII!$B$3)+1)/(ASCOPE_PMESII!$B$3:$B$62="KCD-SHOULD"),17)),""),IF(17&lt;=(COUNTIF(ASCOPE_PMESII!$B$3:$B$62,"KCD-SHOULD")+COUNTIF(ASCOPE_PMESII!$D$3:$D$62,"KCD-SHOULD")),IFERROR(INDEX(ASCOPE_PMESII!$E$3:$E$62,_xlfn.AGGREGATE(15,6,(ROW(ASCOPE_PMESII!$D$3:$D$62)-ROW(ASCOPE_PMESII!$D$3)+1)/(ASCOPE_PMESII!$D$3:$D$62="KCD-SHOULD"),17-(COUNTIF(ASCOPE_PMESII!$B$3:$B$62,"KCD-SHOULD")))),""),IF(17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17-(COUNTIF(ASCOPE_PMESII!$B$3:$B$62,"KCD-SHOULD")+COUNTIF(ASCOPE_PMESII!$D$3:$D$62,"KCD-SHOULD")))),""),IF(17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17-(COUNTIF(ASCOPE_PMESII!$B$3:$B$62,"KCD-SHOULD")+COUNTIF(ASCOPE_PMESII!$D$3:$D$62,"KCD-SHOULD")+COUNTIF(ASCOPE_PMESII!$F$3:$F$62,"KCD-SHOULD")))),""),IF(17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17-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17-(COUNTIF(ASCOPE_PMESII!$B$3:$B$62,"KCD-SHOULD")+COUNTIF(ASCOPE_PMESII!$D$3:$D$62,"KCD-SHOULD")+COUNTIF(ASCOPE_PMESII!$F$3:$F$62,"KCD-SHOULD")+COUNTIF(ASCOPE_PMESII!$H$3:$H$62,"KCD-SHOULD")+COUNTIF(ASCOPE_PMESII!$J$3:$J$62,"KCD-SHOULD")))),"")))))),"")</f>
        <v>Use distributed staging and short operational pulses</v>
      </c>
      <c r="J20" s="21" t="str">
        <f t="array" ref="J20">IFERROR(IF(17&lt;=COUNTIF(ASCOPE_PMESII!$B$3:$B$62,"KCD-SHOULD NOT"),IFERROR(INDEX(ASCOPE_PMESII!$C$3:$C$62,_xlfn.AGGREGATE(15,6,(ROW(ASCOPE_PMESII!$B$3:$B$62)-ROW(ASCOPE_PMESII!$B$3)+1)/(ASCOPE_PMESII!$B$3:$B$62="KCD-SHOULD NOT"),17)),""),IF(17&lt;=(COUNTIF(ASCOPE_PMESII!$B$3:$B$62,"KCD-SHOULD NOT")+COUNTIF(ASCOPE_PMESII!$D$3:$D$62,"KCD-SHOULD NOT")),IFERROR(INDEX(ASCOPE_PMESII!$E$3:$E$62,_xlfn.AGGREGATE(15,6,(ROW(ASCOPE_PMESII!$D$3:$D$62)-ROW(ASCOPE_PMESII!$D$3)+1)/(ASCOPE_PMESII!$D$3:$D$62="KCD-SHOULD NOT"),17-(COUNTIF(ASCOPE_PMESII!$B$3:$B$62,"KCD-SHOULD NOT")))),""),IF(17&lt;=(COUNTIF(ASCOPE_PMESII!$B$3:$B$62,"KCD-SHOULD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NOT"),17-(COUNTIF(ASCOPE_PMESII!$B$3:$B$62,"KCD-SHOULD NOT")+COUNTIF(ASCOPE_PMESII!$D$3:$D$62,"KCD-SHOULD NOT")))),""),IF(17&lt;=(COUNTIF(ASCOPE_PMESII!$B$3:$B$62,"KCD-SHOULD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NOT"),17-(COUNTIF(ASCOPE_PMESII!$B$3:$B$62,"KCD-SHOULD NOT")+COUNTIF(ASCOPE_PMESII!$D$3:$D$62,"KCD-SHOULD NOT")+COUNTIF(ASCOPE_PMESII!$F$3:$F$62,"KCD-SHOULD NOT")))),""),IF(17&lt;=(COUNTIF(ASCOPE_PMESII!$B$3:$B$62,"KCD-SHOULD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NOT"),17-(COUNTIF(ASCOPE_PMESII!$B$3:$B$62,"KCD-SHOULD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NOT"),17-(COUNTIF(ASCOPE_PMESII!$B$3:$B$62,"KCD-SHOULD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20" s="21" t="str">
        <f t="array" ref="K20">IFERROR(IF(17&lt;=COUNTIF(ASCOPE_PMESII!$B$3:$B$62,"KCD-CANNOT"),IFERROR(INDEX(ASCOPE_PMESII!$C$3:$C$62,_xlfn.AGGREGATE(15,6,(ROW(ASCOPE_PMESII!$B$3:$B$62)-ROW(ASCOPE_PMESII!$B$3)+1)/(ASCOPE_PMESII!$B$3:$B$62="KCD-CANNOT"),17)),""),IF(17&lt;=(COUNTIF(ASCOPE_PMESII!$B$3:$B$62,"KCD-CANNOT")+COUNTIF(ASCOPE_PMESII!$D$3:$D$62,"KCD-CANNOT")),IFERROR(INDEX(ASCOPE_PMESII!$E$3:$E$62,_xlfn.AGGREGATE(15,6,(ROW(ASCOPE_PMESII!$D$3:$D$62)-ROW(ASCOPE_PMESII!$D$3)+1)/(ASCOPE_PMESII!$D$3:$D$62="KCD-CANNOT"),17-(COUNTIF(ASCOPE_PMESII!$B$3:$B$62,"KCD-CANNOT")))),""),IF(17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17-(COUNTIF(ASCOPE_PMESII!$B$3:$B$62,"KCD-CANNOT")+COUNTIF(ASCOPE_PMESII!$D$3:$D$62,"KCD-CANNOT")))),""),IF(17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17-(COUNTIF(ASCOPE_PMESII!$B$3:$B$62,"KCD-CANNOT")+COUNTIF(ASCOPE_PMESII!$D$3:$D$62,"KCD-CANNOT")+COUNTIF(ASCOPE_PMESII!$F$3:$F$62,"KCD-CANNOT")))),""),IF(17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17-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17-(COUNTIF(ASCOPE_PMESII!$B$3:$B$62,"KCD-CANNOT")+COUNTIF(ASCOPE_PMESII!$D$3:$D$62,"KCD-CANNOT")+COUNTIF(ASCOPE_PMESII!$F$3:$F$62,"KCD-CANNOT")+COUNTIF(ASCOPE_PMESII!$H$3:$H$62,"KCD-CANNOT")+COUNTIF(ASCOPE_PMESII!$J$3:$J$62,"KCD-CANNOT")))),"")))))),"")</f>
        <v>Cannot promise tempo without route capacity</v>
      </c>
      <c r="L20" s="21" t="str">
        <f t="array" ref="L20">IFERROR(IF(17&lt;=COUNTIF(ASCOPE_PMESII!$B$3:$B$62,"DECISION"),IFERROR(INDEX(ASCOPE_PMESII!$C$3:$C$62,_xlfn.AGGREGATE(15,6,(ROW(ASCOPE_PMESII!$B$3:$B$62)-ROW(ASCOPE_PMESII!$B$3)+1)/(ASCOPE_PMESII!$B$3:$B$62="DECISION"),17)),""),IF(17&lt;=(COUNTIF(ASCOPE_PMESII!$B$3:$B$62,"DECISION")+COUNTIF(ASCOPE_PMESII!$D$3:$D$62,"DECISION")),IFERROR(INDEX(ASCOPE_PMESII!$E$3:$E$62,_xlfn.AGGREGATE(15,6,(ROW(ASCOPE_PMESII!$D$3:$D$62)-ROW(ASCOPE_PMESII!$D$3)+1)/(ASCOPE_PMESII!$D$3:$D$62="DECISION"),17-(COUNTIF(ASCOPE_PMESII!$B$3:$B$62,"DECISION")))),""),IF(17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17-(COUNTIF(ASCOPE_PMESII!$B$3:$B$62,"DECISION")+COUNTIF(ASCOPE_PMESII!$D$3:$D$62,"DECISION")))),""),IF(17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17-(COUNTIF(ASCOPE_PMESII!$B$3:$B$62,"DECISION")+COUNTIF(ASCOPE_PMESII!$D$3:$D$62,"DECISION")+COUNTIF(ASCOPE_PMESII!$F$3:$F$62,"DECISION")))),""),IF(17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17-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17-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20" s="21" t="str">
        <f t="array" ref="M20">IFERROR(IF(17&lt;=COUNTIF(ASCOPE_PMESII!$B$3:$B$62,"ASSUMPTION"),IFERROR(INDEX(ASCOPE_PMESII!$C$3:$C$62,_xlfn.AGGREGATE(15,6,(ROW(ASCOPE_PMESII!$B$3:$B$62)-ROW(ASCOPE_PMESII!$B$3)+1)/(ASCOPE_PMESII!$B$3:$B$62="ASSUMPTION"),17)),""),IF(17&lt;=(COUNTIF(ASCOPE_PMESII!$B$3:$B$62,"ASSUMPTION")+COUNTIF(ASCOPE_PMESII!$D$3:$D$62,"ASSUMPTION")),IFERROR(INDEX(ASCOPE_PMESII!$E$3:$E$62,_xlfn.AGGREGATE(15,6,(ROW(ASCOPE_PMESII!$D$3:$D$62)-ROW(ASCOPE_PMESII!$D$3)+1)/(ASCOPE_PMESII!$D$3:$D$62="ASSUMPTION"),17-(COUNTIF(ASCOPE_PMESII!$B$3:$B$62,"ASSUMPTION")))),""),IF(17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17-(COUNTIF(ASCOPE_PMESII!$B$3:$B$62,"ASSUMPTION")+COUNTIF(ASCOPE_PMESII!$D$3:$D$62,"ASSUMPTION")))),""),IF(17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17-(COUNTIF(ASCOPE_PMESII!$B$3:$B$62,"ASSUMPTION")+COUNTIF(ASCOPE_PMESII!$D$3:$D$62,"ASSUMPTION")+COUNTIF(ASCOPE_PMESII!$F$3:$F$62,"ASSUMPTION")))),""),IF(17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17-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17-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20" s="21" t="str">
        <f t="array" ref="N20">IFERROR(IF(17&lt;=COUNTIF(ASCOPE_PMESII!$B$3:$B$62,"CONSTRAINT"),IFERROR(INDEX(ASCOPE_PMESII!$C$3:$C$62,_xlfn.AGGREGATE(15,6,(ROW(ASCOPE_PMESII!$B$3:$B$62)-ROW(ASCOPE_PMESII!$B$3)+1)/(ASCOPE_PMESII!$B$3:$B$62="CONSTRAINT"),17)),""),IF(17&lt;=(COUNTIF(ASCOPE_PMESII!$B$3:$B$62,"CONSTRAINT")+COUNTIF(ASCOPE_PMESII!$D$3:$D$62,"CONSTRAINT")),IFERROR(INDEX(ASCOPE_PMESII!$E$3:$E$62,_xlfn.AGGREGATE(15,6,(ROW(ASCOPE_PMESII!$D$3:$D$62)-ROW(ASCOPE_PMESII!$D$3)+1)/(ASCOPE_PMESII!$D$3:$D$62="CONSTRAINT"),17-(COUNTIF(ASCOPE_PMESII!$B$3:$B$62,"CONSTRAINT")))),""),IF(17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17-(COUNTIF(ASCOPE_PMESII!$B$3:$B$62,"CONSTRAINT")+COUNTIF(ASCOPE_PMESII!$D$3:$D$62,"CONSTRAINT")))),""),IF(17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17-(COUNTIF(ASCOPE_PMESII!$B$3:$B$62,"CONSTRAINT")+COUNTIF(ASCOPE_PMESII!$D$3:$D$62,"CONSTRAINT")+COUNTIF(ASCOPE_PMESII!$F$3:$F$62,"CONSTRAINT")))),""),IF(17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17-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17-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20" s="21" t="str">
        <f t="array" ref="O20">IFERROR(IF(17&lt;=COUNTIF(ASCOPE_PMESII!$B$3:$B$62,"LIMITATION"),IFERROR(INDEX(ASCOPE_PMESII!$C$3:$C$62,_xlfn.AGGREGATE(15,6,(ROW(ASCOPE_PMESII!$B$3:$B$62)-ROW(ASCOPE_PMESII!$B$3)+1)/(ASCOPE_PMESII!$B$3:$B$62="LIMITATION"),17)),""),IF(17&lt;=(COUNTIF(ASCOPE_PMESII!$B$3:$B$62,"LIMITATION")+COUNTIF(ASCOPE_PMESII!$D$3:$D$62,"LIMITATION")),IFERROR(INDEX(ASCOPE_PMESII!$E$3:$E$62,_xlfn.AGGREGATE(15,6,(ROW(ASCOPE_PMESII!$D$3:$D$62)-ROW(ASCOPE_PMESII!$D$3)+1)/(ASCOPE_PMESII!$D$3:$D$62="LIMITATION"),17-(COUNTIF(ASCOPE_PMESII!$B$3:$B$62,"LIMITATION")))),""),IF(17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17-(COUNTIF(ASCOPE_PMESII!$B$3:$B$62,"LIMITATION")+COUNTIF(ASCOPE_PMESII!$D$3:$D$62,"LIMITATION")))),""),IF(17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17-(COUNTIF(ASCOPE_PMESII!$B$3:$B$62,"LIMITATION")+COUNTIF(ASCOPE_PMESII!$D$3:$D$62,"LIMITATION")+COUNTIF(ASCOPE_PMESII!$F$3:$F$62,"LIMITATION")))),""),IF(17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17-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17-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20" s="21" t="str">
        <f t="array" ref="P20">IFERROR(IF(17&lt;=COUNTIF(ASCOPE_PMESII!$B$3:$B$62,"CC"),IFERROR(INDEX(ASCOPE_PMESII!$C$3:$C$62,_xlfn.AGGREGATE(15,6,(ROW(ASCOPE_PMESII!$B$3:$B$62)-ROW(ASCOPE_PMESII!$B$3)+1)/(ASCOPE_PMESII!$B$3:$B$62="CC"),17)),""),IF(17&lt;=(COUNTIF(ASCOPE_PMESII!$B$3:$B$62,"CC")+COUNTIF(ASCOPE_PMESII!$D$3:$D$62,"CC")),IFERROR(INDEX(ASCOPE_PMESII!$E$3:$E$62,_xlfn.AGGREGATE(15,6,(ROW(ASCOPE_PMESII!$D$3:$D$62)-ROW(ASCOPE_PMESII!$D$3)+1)/(ASCOPE_PMESII!$D$3:$D$62="CC"),17-(COUNTIF(ASCOPE_PMESII!$B$3:$B$62,"CC")))),""),IF(17&lt;=(COUNTIF(ASCOPE_PMESII!$B$3:$B$62,"CC")+COUNTIF(ASCOPE_PMESII!$D$3:$D$62,"CC")+COUNTIF(ASCOPE_PMESII!$F$3:$F$62,"CC")),IFERROR(INDEX(ASCOPE_PMESII!$G$3:$G$62,_xlfn.AGGREGATE(15,6,(ROW(ASCOPE_PMESII!$F$3:$F$62)-ROW(ASCOPE_PMESII!$F$3)+1)/(ASCOPE_PMESII!$F$3:$F$62="CC"),17-(COUNTIF(ASCOPE_PMESII!$B$3:$B$62,"CC")+COUNTIF(ASCOPE_PMESII!$D$3:$D$62,"CC")))),""),IF(17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17-(COUNTIF(ASCOPE_PMESII!$B$3:$B$62,"CC")+COUNTIF(ASCOPE_PMESII!$D$3:$D$62,"CC")+COUNTIF(ASCOPE_PMESII!$F$3:$F$62,"CC")))),""),IF(17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17-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17-(COUNTIF(ASCOPE_PMESII!$B$3:$B$62,"CC")+COUNTIF(ASCOPE_PMESII!$D$3:$D$62,"CC")+COUNTIF(ASCOPE_PMESII!$F$3:$F$62,"CC")+COUNTIF(ASCOPE_PMESII!$H$3:$H$62,"CC")+COUNTIF(ASCOPE_PMESII!$J$3:$J$62,"CC")))),"")))))),"")</f>
        <v>Radar, telecoms and media support targeting and narrative</v>
      </c>
      <c r="Q20" s="21" t="str">
        <f t="array" ref="Q20">IFERROR(IF(17&lt;=COUNTIF(ASCOPE_PMESII!$B$3:$B$62,"CR"),IFERROR(INDEX(ASCOPE_PMESII!$C$3:$C$62,_xlfn.AGGREGATE(15,6,(ROW(ASCOPE_PMESII!$B$3:$B$62)-ROW(ASCOPE_PMESII!$B$3)+1)/(ASCOPE_PMESII!$B$3:$B$62="CR"),17)),""),IF(17&lt;=(COUNTIF(ASCOPE_PMESII!$B$3:$B$62,"CR")+COUNTIF(ASCOPE_PMESII!$D$3:$D$62,"CR")),IFERROR(INDEX(ASCOPE_PMESII!$E$3:$E$62,_xlfn.AGGREGATE(15,6,(ROW(ASCOPE_PMESII!$D$3:$D$62)-ROW(ASCOPE_PMESII!$D$3)+1)/(ASCOPE_PMESII!$D$3:$D$62="CR"),17-(COUNTIF(ASCOPE_PMESII!$B$3:$B$62,"CR")))),""),IF(17&lt;=(COUNTIF(ASCOPE_PMESII!$B$3:$B$62,"CR")+COUNTIF(ASCOPE_PMESII!$D$3:$D$62,"CR")+COUNTIF(ASCOPE_PMESII!$F$3:$F$62,"CR")),IFERROR(INDEX(ASCOPE_PMESII!$G$3:$G$62,_xlfn.AGGREGATE(15,6,(ROW(ASCOPE_PMESII!$F$3:$F$62)-ROW(ASCOPE_PMESII!$F$3)+1)/(ASCOPE_PMESII!$F$3:$F$62="CR"),17-(COUNTIF(ASCOPE_PMESII!$B$3:$B$62,"CR")+COUNTIF(ASCOPE_PMESII!$D$3:$D$62,"CR")))),""),IF(17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17-(COUNTIF(ASCOPE_PMESII!$B$3:$B$62,"CR")+COUNTIF(ASCOPE_PMESII!$D$3:$D$62,"CR")+COUNTIF(ASCOPE_PMESII!$F$3:$F$62,"CR")))),""),IF(17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17-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17-(COUNTIF(ASCOPE_PMESII!$B$3:$B$62,"CR")+COUNTIF(ASCOPE_PMESII!$D$3:$D$62,"CR")+COUNTIF(ASCOPE_PMESII!$F$3:$F$62,"CR")+COUNTIF(ASCOPE_PMESII!$H$3:$H$62,"CR")+COUNTIF(ASCOPE_PMESII!$J$3:$J$62,"CR")))),"")))))),"")</f>
        <v>Bridging, route clearance and repair stocks required</v>
      </c>
      <c r="R20" s="94" t="str">
        <f t="array" ref="R20">IFERROR(IF(17&lt;=COUNTIF(ASCOPE_PMESII!$B$3:$B$62,"PCS"),IFERROR(INDEX(ASCOPE_PMESII!$C$3:$C$62,_xlfn.AGGREGATE(15,6,(ROW(ASCOPE_PMESII!$B$3:$B$62)-ROW(ASCOPE_PMESII!$B$3)+1)/(ASCOPE_PMESII!$B$3:$B$62="PCS"),17)),""),IF(17&lt;=(COUNTIF(ASCOPE_PMESII!$B$3:$B$62,"PCS")+COUNTIF(ASCOPE_PMESII!$D$3:$D$62,"PCS")),IFERROR(INDEX(ASCOPE_PMESII!$E$3:$E$62,_xlfn.AGGREGATE(15,6,(ROW(ASCOPE_PMESII!$D$3:$D$62)-ROW(ASCOPE_PMESII!$D$3)+1)/(ASCOPE_PMESII!$D$3:$D$62="PCS"),17-(COUNTIF(ASCOPE_PMESII!$B$3:$B$62,"PCS")))),""),IF(17&lt;=(COUNTIF(ASCOPE_PMESII!$B$3:$B$62,"PCS")+COUNTIF(ASCOPE_PMESII!$D$3:$D$62,"PCS")+COUNTIF(ASCOPE_PMESII!$F$3:$F$62,"PCS")),IFERROR(INDEX(ASCOPE_PMESII!$G$3:$G$62,_xlfn.AGGREGATE(15,6,(ROW(ASCOPE_PMESII!$F$3:$F$62)-ROW(ASCOPE_PMESII!$F$3)+1)/(ASCOPE_PMESII!$F$3:$F$62="PCS"),17-(COUNTIF(ASCOPE_PMESII!$B$3:$B$62,"PCS")+COUNTIF(ASCOPE_PMESII!$D$3:$D$62,"PCS")))),""),IF(17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17-(COUNTIF(ASCOPE_PMESII!$B$3:$B$62,"PCS")+COUNTIF(ASCOPE_PMESII!$D$3:$D$62,"PCS")+COUNTIF(ASCOPE_PMESII!$F$3:$F$62,"PCS")))),""),IF(17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17-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17-(COUNTIF(ASCOPE_PMESII!$B$3:$B$62,"PCS")+COUNTIF(ASCOPE_PMESII!$D$3:$D$62,"PCS")+COUNTIF(ASCOPE_PMESII!$F$3:$F$62,"PCS")+COUNTIF(ASCOPE_PMESII!$H$3:$H$62,"PCS")+COUNTIF(ASCOPE_PMESII!$J$3:$J$62,"PCS")))),"")))))),"")</f>
        <v/>
      </c>
    </row>
    <row r="21" spans="1:18" ht="34.5" customHeight="1">
      <c r="A21" s="22" t="str">
        <f t="array" ref="A21">IFERROR(IF(18&lt;=COUNTIF(ASCOPE_PMESII!$B$3:$B$62,"OE"),IFERROR(INDEX(ASCOPE_PMESII!$C$3:$C$62,_xlfn.AGGREGATE(15,6,(ROW(ASCOPE_PMESII!$B$3:$B$62)-ROW(ASCOPE_PMESII!$B$3)+1)/(ASCOPE_PMESII!$B$3:$B$62="OE"),18)),""),IF(18&lt;=(COUNTIF(ASCOPE_PMESII!$B$3:$B$62,"OE")+COUNTIF(ASCOPE_PMESII!$D$3:$D$62,"OE")),IFERROR(INDEX(ASCOPE_PMESII!$E$3:$E$62,_xlfn.AGGREGATE(15,6,(ROW(ASCOPE_PMESII!$D$3:$D$62)-ROW(ASCOPE_PMESII!$D$3)+1)/(ASCOPE_PMESII!$D$3:$D$62="OE"),18-(COUNTIF(ASCOPE_PMESII!$B$3:$B$62,"OE")))),""),IF(18&lt;=(COUNTIF(ASCOPE_PMESII!$B$3:$B$62,"OE")+COUNTIF(ASCOPE_PMESII!$D$3:$D$62,"OE")+COUNTIF(ASCOPE_PMESII!$F$3:$F$62,"OE")),IFERROR(INDEX(ASCOPE_PMESII!$G$3:$G$62,_xlfn.AGGREGATE(15,6,(ROW(ASCOPE_PMESII!$F$3:$F$62)-ROW(ASCOPE_PMESII!$F$3)+1)/(ASCOPE_PMESII!$F$3:$F$62="OE"),18-(COUNTIF(ASCOPE_PMESII!$B$3:$B$62,"OE")+COUNTIF(ASCOPE_PMESII!$D$3:$D$62,"OE")))),""),IF(18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18-(COUNTIF(ASCOPE_PMESII!$B$3:$B$62,"OE")+COUNTIF(ASCOPE_PMESII!$D$3:$D$62,"OE")+COUNTIF(ASCOPE_PMESII!$F$3:$F$62,"OE")))),""),IF(18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18-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18-(COUNTIF(ASCOPE_PMESII!$B$3:$B$62,"OE")+COUNTIF(ASCOPE_PMESII!$D$3:$D$62,"OE")+COUNTIF(ASCOPE_PMESII!$F$3:$F$62,"OE")+COUNTIF(ASCOPE_PMESII!$H$3:$H$62,"OE")+COUNTIF(ASCOPE_PMESII!$J$3:$J$62,"OE")))),"")))))),"")</f>
        <v/>
      </c>
      <c r="B21" s="22" t="str">
        <f t="array" ref="B21">IFERROR(IF(18&lt;=COUNTIF(ASCOPE_PMESII!$B$3:$B$62,"OA"),IFERROR(INDEX(ASCOPE_PMESII!$C$3:$C$62,_xlfn.AGGREGATE(15,6,(ROW(ASCOPE_PMESII!$B$3:$B$62)-ROW(ASCOPE_PMESII!$B$3)+1)/(ASCOPE_PMESII!$B$3:$B$62="OA"),18)),""),IF(18&lt;=(COUNTIF(ASCOPE_PMESII!$B$3:$B$62,"OA")+COUNTIF(ASCOPE_PMESII!$D$3:$D$62,"OA")),IFERROR(INDEX(ASCOPE_PMESII!$E$3:$E$62,_xlfn.AGGREGATE(15,6,(ROW(ASCOPE_PMESII!$D$3:$D$62)-ROW(ASCOPE_PMESII!$D$3)+1)/(ASCOPE_PMESII!$D$3:$D$62="OA"),18-(COUNTIF(ASCOPE_PMESII!$B$3:$B$62,"OA")))),""),IF(18&lt;=(COUNTIF(ASCOPE_PMESII!$B$3:$B$62,"OA")+COUNTIF(ASCOPE_PMESII!$D$3:$D$62,"OA")+COUNTIF(ASCOPE_PMESII!$F$3:$F$62,"OA")),IFERROR(INDEX(ASCOPE_PMESII!$G$3:$G$62,_xlfn.AGGREGATE(15,6,(ROW(ASCOPE_PMESII!$F$3:$F$62)-ROW(ASCOPE_PMESII!$F$3)+1)/(ASCOPE_PMESII!$F$3:$F$62="OA"),18-(COUNTIF(ASCOPE_PMESII!$B$3:$B$62,"OA")+COUNTIF(ASCOPE_PMESII!$D$3:$D$62,"OA")))),""),IF(18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18-(COUNTIF(ASCOPE_PMESII!$B$3:$B$62,"OA")+COUNTIF(ASCOPE_PMESII!$D$3:$D$62,"OA")+COUNTIF(ASCOPE_PMESII!$F$3:$F$62,"OA")))),""),IF(18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18-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18-(COUNTIF(ASCOPE_PMESII!$B$3:$B$62,"OA")+COUNTIF(ASCOPE_PMESII!$D$3:$D$62,"OA")+COUNTIF(ASCOPE_PMESII!$F$3:$F$62,"OA")+COUNTIF(ASCOPE_PMESII!$H$3:$H$62,"OA")+COUNTIF(ASCOPE_PMESII!$J$3:$J$62,"OA")))),"")))))),"")</f>
        <v/>
      </c>
      <c r="C21" s="22" t="str">
        <f t="array" ref="C21">IFERROR(IF(18&lt;=COUNTIF(ASCOPE_PMESII!$B$3:$B$62,"RISK"),IFERROR(INDEX(ASCOPE_PMESII!$C$3:$C$62,_xlfn.AGGREGATE(15,6,(ROW(ASCOPE_PMESII!$B$3:$B$62)-ROW(ASCOPE_PMESII!$B$3)+1)/(ASCOPE_PMESII!$B$3:$B$62="RISK"),18)),""),IF(18&lt;=(COUNTIF(ASCOPE_PMESII!$B$3:$B$62,"RISK")+COUNTIF(ASCOPE_PMESII!$D$3:$D$62,"RISK")),IFERROR(INDEX(ASCOPE_PMESII!$E$3:$E$62,_xlfn.AGGREGATE(15,6,(ROW(ASCOPE_PMESII!$D$3:$D$62)-ROW(ASCOPE_PMESII!$D$3)+1)/(ASCOPE_PMESII!$D$3:$D$62="RISK"),18-(COUNTIF(ASCOPE_PMESII!$B$3:$B$62,"RISK")))),""),IF(18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18-(COUNTIF(ASCOPE_PMESII!$B$3:$B$62,"RISK")+COUNTIF(ASCOPE_PMESII!$D$3:$D$62,"RISK")))),""),IF(18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18-(COUNTIF(ASCOPE_PMESII!$B$3:$B$62,"RISK")+COUNTIF(ASCOPE_PMESII!$D$3:$D$62,"RISK")+COUNTIF(ASCOPE_PMESII!$F$3:$F$62,"RISK")))),""),IF(18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18-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18-(COUNTIF(ASCOPE_PMESII!$B$3:$B$62,"RISK")+COUNTIF(ASCOPE_PMESII!$D$3:$D$62,"RISK")+COUNTIF(ASCOPE_PMESII!$F$3:$F$62,"RISK")+COUNTIF(ASCOPE_PMESII!$H$3:$H$62,"RISK")+COUNTIF(ASCOPE_PMESII!$J$3:$J$62,"RISK")))),"")))))),"")</f>
        <v>False reports can beat verified facts</v>
      </c>
      <c r="D21" s="22" t="str">
        <f t="array" ref="D21">IFERROR(IF(18&lt;=COUNTIF(ASCOPE_PMESII!$B$3:$B$62,"CV"),IFERROR(INDEX(ASCOPE_PMESII!$C$3:$C$62,_xlfn.AGGREGATE(15,6,(ROW(ASCOPE_PMESII!$B$3:$B$62)-ROW(ASCOPE_PMESII!$B$3)+1)/(ASCOPE_PMESII!$B$3:$B$62="CV"),18)),""),IF(18&lt;=(COUNTIF(ASCOPE_PMESII!$B$3:$B$62,"CV")+COUNTIF(ASCOPE_PMESII!$D$3:$D$62,"CV")),IFERROR(INDEX(ASCOPE_PMESII!$E$3:$E$62,_xlfn.AGGREGATE(15,6,(ROW(ASCOPE_PMESII!$D$3:$D$62)-ROW(ASCOPE_PMESII!$D$3)+1)/(ASCOPE_PMESII!$D$3:$D$62="CV"),18-(COUNTIF(ASCOPE_PMESII!$B$3:$B$62,"CV")))),""),IF(18&lt;=(COUNTIF(ASCOPE_PMESII!$B$3:$B$62,"CV")+COUNTIF(ASCOPE_PMESII!$D$3:$D$62,"CV")+COUNTIF(ASCOPE_PMESII!$F$3:$F$62,"CV")),IFERROR(INDEX(ASCOPE_PMESII!$G$3:$G$62,_xlfn.AGGREGATE(15,6,(ROW(ASCOPE_PMESII!$F$3:$F$62)-ROW(ASCOPE_PMESII!$F$3)+1)/(ASCOPE_PMESII!$F$3:$F$62="CV"),18-(COUNTIF(ASCOPE_PMESII!$B$3:$B$62,"CV")+COUNTIF(ASCOPE_PMESII!$D$3:$D$62,"CV")))),""),IF(18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18-(COUNTIF(ASCOPE_PMESII!$B$3:$B$62,"CV")+COUNTIF(ASCOPE_PMESII!$D$3:$D$62,"CV")+COUNTIF(ASCOPE_PMESII!$F$3:$F$62,"CV")))),""),IF(18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18-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18-(COUNTIF(ASCOPE_PMESII!$B$3:$B$62,"CV")+COUNTIF(ASCOPE_PMESII!$D$3:$D$62,"CV")+COUNTIF(ASCOPE_PMESII!$F$3:$F$62,"CV")+COUNTIF(ASCOPE_PMESII!$H$3:$H$62,"CV")+COUNTIF(ASCOPE_PMESII!$J$3:$J$62,"CV")))),"")))))),"")</f>
        <v>IRS information structures are targetable but dual-use</v>
      </c>
      <c r="E21" s="22" t="str">
        <f t="array" ref="E21">IFERROR(IF(18&lt;=COUNTIF(ASCOPE_PMESII!$B$3:$B$62,"COR"),IFERROR(INDEX(ASCOPE_PMESII!$C$3:$C$62,_xlfn.AGGREGATE(15,6,(ROW(ASCOPE_PMESII!$B$3:$B$62)-ROW(ASCOPE_PMESII!$B$3)+1)/(ASCOPE_PMESII!$B$3:$B$62="COR"),18)),""),IF(18&lt;=(COUNTIF(ASCOPE_PMESII!$B$3:$B$62,"COR")+COUNTIF(ASCOPE_PMESII!$D$3:$D$62,"COR")),IFERROR(INDEX(ASCOPE_PMESII!$E$3:$E$62,_xlfn.AGGREGATE(15,6,(ROW(ASCOPE_PMESII!$D$3:$D$62)-ROW(ASCOPE_PMESII!$D$3)+1)/(ASCOPE_PMESII!$D$3:$D$62="COR"),18-(COUNTIF(ASCOPE_PMESII!$B$3:$B$62,"COR")))),""),IF(18&lt;=(COUNTIF(ASCOPE_PMESII!$B$3:$B$62,"COR")+COUNTIF(ASCOPE_PMESII!$D$3:$D$62,"COR")+COUNTIF(ASCOPE_PMESII!$F$3:$F$62,"COR")),IFERROR(INDEX(ASCOPE_PMESII!$G$3:$G$62,_xlfn.AGGREGATE(15,6,(ROW(ASCOPE_PMESII!$F$3:$F$62)-ROW(ASCOPE_PMESII!$F$3)+1)/(ASCOPE_PMESII!$F$3:$F$62="COR"),18-(COUNTIF(ASCOPE_PMESII!$B$3:$B$62,"COR")+COUNTIF(ASCOPE_PMESII!$D$3:$D$62,"COR")))),""),IF(18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18-(COUNTIF(ASCOPE_PMESII!$B$3:$B$62,"COR")+COUNTIF(ASCOPE_PMESII!$D$3:$D$62,"COR")+COUNTIF(ASCOPE_PMESII!$F$3:$F$62,"COR")))),""),IF(18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18-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18-(COUNTIF(ASCOPE_PMESII!$B$3:$B$62,"COR")+COUNTIF(ASCOPE_PMESII!$D$3:$D$62,"COR")+COUNTIF(ASCOPE_PMESII!$F$3:$F$62,"COR")+COUNTIF(ASCOPE_PMESII!$H$3:$H$62,"COR")+COUNTIF(ASCOPE_PMESII!$J$3:$J$62,"COR")))),"")))))),"")</f>
        <v>Use trusted local speakers and fast incident response</v>
      </c>
      <c r="F21" s="22" t="str">
        <f t="array" ref="F21">IFERROR(IF(18&lt;=COUNTIF(ASCOPE_PMESII!$B$3:$B$62,"REQT"),IFERROR(INDEX(ASCOPE_PMESII!$C$3:$C$62,_xlfn.AGGREGATE(15,6,(ROW(ASCOPE_PMESII!$B$3:$B$62)-ROW(ASCOPE_PMESII!$B$3)+1)/(ASCOPE_PMESII!$B$3:$B$62="REQT"),18)),""),IF(18&lt;=(COUNTIF(ASCOPE_PMESII!$B$3:$B$62,"REQT")+COUNTIF(ASCOPE_PMESII!$D$3:$D$62,"REQT")),IFERROR(INDEX(ASCOPE_PMESII!$E$3:$E$62,_xlfn.AGGREGATE(15,6,(ROW(ASCOPE_PMESII!$D$3:$D$62)-ROW(ASCOPE_PMESII!$D$3)+1)/(ASCOPE_PMESII!$D$3:$D$62="REQT"),18-(COUNTIF(ASCOPE_PMESII!$B$3:$B$62,"REQT")))),""),IF(18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18-(COUNTIF(ASCOPE_PMESII!$B$3:$B$62,"REQT")+COUNTIF(ASCOPE_PMESII!$D$3:$D$62,"REQT")))),""),IF(18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18-(COUNTIF(ASCOPE_PMESII!$B$3:$B$62,"REQT")+COUNTIF(ASCOPE_PMESII!$D$3:$D$62,"REQT")+COUNTIF(ASCOPE_PMESII!$F$3:$F$62,"REQT")))),""),IF(18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18-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18-(COUNTIF(ASCOPE_PMESII!$B$3:$B$62,"REQT")+COUNTIF(ASCOPE_PMESII!$D$3:$D$62,"REQT")+COUNTIF(ASCOPE_PMESII!$F$3:$F$62,"REQT")+COUNTIF(ASCOPE_PMESII!$H$3:$H$62,"REQT")+COUNTIF(ASCOPE_PMESII!$J$3:$J$62,"REQT")))),"")))))),"")</f>
        <v/>
      </c>
      <c r="G21" s="22" t="str">
        <f t="array" ref="G21">IFERROR(IF(18&lt;=COUNTIF(ASCOPE_PMESII!$B$3:$B$62,"REST"),IFERROR(INDEX(ASCOPE_PMESII!$C$3:$C$62,_xlfn.AGGREGATE(15,6,(ROW(ASCOPE_PMESII!$B$3:$B$62)-ROW(ASCOPE_PMESII!$B$3)+1)/(ASCOPE_PMESII!$B$3:$B$62="REST"),18)),""),IF(18&lt;=(COUNTIF(ASCOPE_PMESII!$B$3:$B$62,"REST")+COUNTIF(ASCOPE_PMESII!$D$3:$D$62,"REST")),IFERROR(INDEX(ASCOPE_PMESII!$E$3:$E$62,_xlfn.AGGREGATE(15,6,(ROW(ASCOPE_PMESII!$D$3:$D$62)-ROW(ASCOPE_PMESII!$D$3)+1)/(ASCOPE_PMESII!$D$3:$D$62="REST"),18-(COUNTIF(ASCOPE_PMESII!$B$3:$B$62,"REST")))),""),IF(18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18-(COUNTIF(ASCOPE_PMESII!$B$3:$B$62,"REST")+COUNTIF(ASCOPE_PMESII!$D$3:$D$62,"REST")))),""),IF(18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18-(COUNTIF(ASCOPE_PMESII!$B$3:$B$62,"REST")+COUNTIF(ASCOPE_PMESII!$D$3:$D$62,"REST")+COUNTIF(ASCOPE_PMESII!$F$3:$F$62,"REST")))),""),IF(18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18-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18-(COUNTIF(ASCOPE_PMESII!$B$3:$B$62,"REST")+COUNTIF(ASCOPE_PMESII!$D$3:$D$62,"REST")+COUNTIF(ASCOPE_PMESII!$F$3:$F$62,"REST")+COUNTIF(ASCOPE_PMESII!$H$3:$H$62,"REST")+COUNTIF(ASCOPE_PMESII!$J$3:$J$62,"REST")))),"")))))),"")</f>
        <v/>
      </c>
      <c r="H21" s="22" t="str">
        <f t="array" ref="H21">IFERROR(IF(18&lt;=COUNTIF(ASCOPE_PMESII!$B$3:$B$62,"KCD-MUST"),IFERROR(INDEX(ASCOPE_PMESII!$C$3:$C$62,_xlfn.AGGREGATE(15,6,(ROW(ASCOPE_PMESII!$B$3:$B$62)-ROW(ASCOPE_PMESII!$B$3)+1)/(ASCOPE_PMESII!$B$3:$B$62="KCD-MUST"),18)),""),IF(18&lt;=(COUNTIF(ASCOPE_PMESII!$B$3:$B$62,"KCD-MUST")+COUNTIF(ASCOPE_PMESII!$D$3:$D$62,"KCD-MUST")),IFERROR(INDEX(ASCOPE_PMESII!$E$3:$E$62,_xlfn.AGGREGATE(15,6,(ROW(ASCOPE_PMESII!$D$3:$D$62)-ROW(ASCOPE_PMESII!$D$3)+1)/(ASCOPE_PMESII!$D$3:$D$62="KCD-MUST"),18-(COUNTIF(ASCOPE_PMESII!$B$3:$B$62,"KCD-MUST")))),""),IF(18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18-(COUNTIF(ASCOPE_PMESII!$B$3:$B$62,"KCD-MUST")+COUNTIF(ASCOPE_PMESII!$D$3:$D$62,"KCD-MUST")))),""),IF(18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18-(COUNTIF(ASCOPE_PMESII!$B$3:$B$62,"KCD-MUST")+COUNTIF(ASCOPE_PMESII!$D$3:$D$62,"KCD-MUST")+COUNTIF(ASCOPE_PMESII!$F$3:$F$62,"KCD-MUST")))),""),IF(18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18-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18-(COUNTIF(ASCOPE_PMESII!$B$3:$B$62,"KCD-MUST")+COUNTIF(ASCOPE_PMESII!$D$3:$D$62,"KCD-MUST")+COUNTIF(ASCOPE_PMESII!$F$3:$F$62,"KCD-MUST")+COUNTIF(ASCOPE_PMESII!$H$3:$H$62,"KCD-MUST")+COUNTIF(ASCOPE_PMESII!$J$3:$J$62,"KCD-MUST")))),"")))))),"")</f>
        <v>Create facts faster than IRS creates rumours</v>
      </c>
      <c r="I21" s="22" t="str">
        <f t="array" ref="I21">IFERROR(IF(18&lt;=COUNTIF(ASCOPE_PMESII!$B$3:$B$62,"KCD-SHOULD"),IFERROR(INDEX(ASCOPE_PMESII!$C$3:$C$62,_xlfn.AGGREGATE(15,6,(ROW(ASCOPE_PMESII!$B$3:$B$62)-ROW(ASCOPE_PMESII!$B$3)+1)/(ASCOPE_PMESII!$B$3:$B$62="KCD-SHOULD"),18)),""),IF(18&lt;=(COUNTIF(ASCOPE_PMESII!$B$3:$B$62,"KCD-SHOULD")+COUNTIF(ASCOPE_PMESII!$D$3:$D$62,"KCD-SHOULD")),IFERROR(INDEX(ASCOPE_PMESII!$E$3:$E$62,_xlfn.AGGREGATE(15,6,(ROW(ASCOPE_PMESII!$D$3:$D$62)-ROW(ASCOPE_PMESII!$D$3)+1)/(ASCOPE_PMESII!$D$3:$D$62="KCD-SHOULD"),18-(COUNTIF(ASCOPE_PMESII!$B$3:$B$62,"KCD-SHOULD")))),""),IF(18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18-(COUNTIF(ASCOPE_PMESII!$B$3:$B$62,"KCD-SHOULD")+COUNTIF(ASCOPE_PMESII!$D$3:$D$62,"KCD-SHOULD")))),""),IF(18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18-(COUNTIF(ASCOPE_PMESII!$B$3:$B$62,"KCD-SHOULD")+COUNTIF(ASCOPE_PMESII!$D$3:$D$62,"KCD-SHOULD")+COUNTIF(ASCOPE_PMESII!$F$3:$F$62,"KCD-SHOULD")))),""),IF(18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18-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18-(COUNTIF(ASCOPE_PMESII!$B$3:$B$62,"KCD-SHOULD")+COUNTIF(ASCOPE_PMESII!$D$3:$D$62,"KCD-SHOULD")+COUNTIF(ASCOPE_PMESII!$F$3:$F$62,"KCD-SHOULD")+COUNTIF(ASCOPE_PMESII!$H$3:$H$62,"KCD-SHOULD")+COUNTIF(ASCOPE_PMESII!$J$3:$J$62,"KCD-SHOULD")))),"")))))),"")</f>
        <v>Publish evidence of tariffs, hostage threats and terror links</v>
      </c>
      <c r="J21" s="22" t="str">
        <f t="array" ref="J21">IFERROR(IF(18&lt;=COUNTIF(ASCOPE_PMESII!$B$3:$B$62,"KCD-SHOULD NOT"),IFERROR(INDEX(ASCOPE_PMESII!$C$3:$C$62,_xlfn.AGGREGATE(15,6,(ROW(ASCOPE_PMESII!$B$3:$B$62)-ROW(ASCOPE_PMESII!$B$3)+1)/(ASCOPE_PMESII!$B$3:$B$62="KCD-SHOULD NOT"),18)),""),IF(18&lt;=(COUNTIF(ASCOPE_PMESII!$B$3:$B$62,"KCD-SHOULD NOT")+COUNTIF(ASCOPE_PMESII!$D$3:$D$62,"KCD-SHOULD NOT")),IFERROR(INDEX(ASCOPE_PMESII!$E$3:$E$62,_xlfn.AGGREGATE(15,6,(ROW(ASCOPE_PMESII!$D$3:$D$62)-ROW(ASCOPE_PMESII!$D$3)+1)/(ASCOPE_PMESII!$D$3:$D$62="KCD-SHOULD NOT"),18-(COUNTIF(ASCOPE_PMESII!$B$3:$B$62,"KCD-SHOULD NOT")))),""),IF(18&lt;=(COUNTIF(ASCOPE_PMESII!$B$3:$B$62,"KCD-SHOULD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NOT"),18-(COUNTIF(ASCOPE_PMESII!$B$3:$B$62,"KCD-SHOULD NOT")+COUNTIF(ASCOPE_PMESII!$D$3:$D$62,"KCD-SHOULD NOT")))),""),IF(18&lt;=(COUNTIF(ASCOPE_PMESII!$B$3:$B$62,"KCD-SHOULD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NOT"),18-(COUNTIF(ASCOPE_PMESII!$B$3:$B$62,"KCD-SHOULD NOT")+COUNTIF(ASCOPE_PMESII!$D$3:$D$62,"KCD-SHOULD NOT")+COUNTIF(ASCOPE_PMESII!$F$3:$F$62,"KCD-SHOULD NOT")))),""),IF(18&lt;=(COUNTIF(ASCOPE_PMESII!$B$3:$B$62,"KCD-SHOULD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NOT"),18-(COUNTIF(ASCOPE_PMESII!$B$3:$B$62,"KCD-SHOULD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NOT"),18-(COUNTIF(ASCOPE_PMESII!$B$3:$B$62,"KCD-SHOULD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21" s="22" t="str">
        <f t="array" ref="K21">IFERROR(IF(18&lt;=COUNTIF(ASCOPE_PMESII!$B$3:$B$62,"KCD-CANNOT"),IFERROR(INDEX(ASCOPE_PMESII!$C$3:$C$62,_xlfn.AGGREGATE(15,6,(ROW(ASCOPE_PMESII!$B$3:$B$62)-ROW(ASCOPE_PMESII!$B$3)+1)/(ASCOPE_PMESII!$B$3:$B$62="KCD-CANNOT"),18)),""),IF(18&lt;=(COUNTIF(ASCOPE_PMESII!$B$3:$B$62,"KCD-CANNOT")+COUNTIF(ASCOPE_PMESII!$D$3:$D$62,"KCD-CANNOT")),IFERROR(INDEX(ASCOPE_PMESII!$E$3:$E$62,_xlfn.AGGREGATE(15,6,(ROW(ASCOPE_PMESII!$D$3:$D$62)-ROW(ASCOPE_PMESII!$D$3)+1)/(ASCOPE_PMESII!$D$3:$D$62="KCD-CANNOT"),18-(COUNTIF(ASCOPE_PMESII!$B$3:$B$62,"KCD-CANNOT")))),""),IF(18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18-(COUNTIF(ASCOPE_PMESII!$B$3:$B$62,"KCD-CANNOT")+COUNTIF(ASCOPE_PMESII!$D$3:$D$62,"KCD-CANNOT")))),""),IF(18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18-(COUNTIF(ASCOPE_PMESII!$B$3:$B$62,"KCD-CANNOT")+COUNTIF(ASCOPE_PMESII!$D$3:$D$62,"KCD-CANNOT")+COUNTIF(ASCOPE_PMESII!$F$3:$F$62,"KCD-CANNOT")))),""),IF(18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18-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18-(COUNTIF(ASCOPE_PMESII!$B$3:$B$62,"KCD-CANNOT")+COUNTIF(ASCOPE_PMESII!$D$3:$D$62,"KCD-CANNOT")+COUNTIF(ASCOPE_PMESII!$F$3:$F$62,"KCD-CANNOT")+COUNTIF(ASCOPE_PMESII!$H$3:$H$62,"KCD-CANNOT")+COUNTIF(ASCOPE_PMESII!$J$3:$J$62,"KCD-CANNOT")))),"")))))),"")</f>
        <v>Cannot rely on Jakarta media for local effect</v>
      </c>
      <c r="L21" s="22" t="str">
        <f t="array" ref="L21">IFERROR(IF(18&lt;=COUNTIF(ASCOPE_PMESII!$B$3:$B$62,"DECISION"),IFERROR(INDEX(ASCOPE_PMESII!$C$3:$C$62,_xlfn.AGGREGATE(15,6,(ROW(ASCOPE_PMESII!$B$3:$B$62)-ROW(ASCOPE_PMESII!$B$3)+1)/(ASCOPE_PMESII!$B$3:$B$62="DECISION"),18)),""),IF(18&lt;=(COUNTIF(ASCOPE_PMESII!$B$3:$B$62,"DECISION")+COUNTIF(ASCOPE_PMESII!$D$3:$D$62,"DECISION")),IFERROR(INDEX(ASCOPE_PMESII!$E$3:$E$62,_xlfn.AGGREGATE(15,6,(ROW(ASCOPE_PMESII!$D$3:$D$62)-ROW(ASCOPE_PMESII!$D$3)+1)/(ASCOPE_PMESII!$D$3:$D$62="DECISION"),18-(COUNTIF(ASCOPE_PMESII!$B$3:$B$62,"DECISION")))),""),IF(18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18-(COUNTIF(ASCOPE_PMESII!$B$3:$B$62,"DECISION")+COUNTIF(ASCOPE_PMESII!$D$3:$D$62,"DECISION")))),""),IF(18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18-(COUNTIF(ASCOPE_PMESII!$B$3:$B$62,"DECISION")+COUNTIF(ASCOPE_PMESII!$D$3:$D$62,"DECISION")+COUNTIF(ASCOPE_PMESII!$F$3:$F$62,"DECISION")))),""),IF(18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18-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18-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21" s="22" t="str">
        <f t="array" ref="M21">IFERROR(IF(18&lt;=COUNTIF(ASCOPE_PMESII!$B$3:$B$62,"ASSUMPTION"),IFERROR(INDEX(ASCOPE_PMESII!$C$3:$C$62,_xlfn.AGGREGATE(15,6,(ROW(ASCOPE_PMESII!$B$3:$B$62)-ROW(ASCOPE_PMESII!$B$3)+1)/(ASCOPE_PMESII!$B$3:$B$62="ASSUMPTION"),18)),""),IF(18&lt;=(COUNTIF(ASCOPE_PMESII!$B$3:$B$62,"ASSUMPTION")+COUNTIF(ASCOPE_PMESII!$D$3:$D$62,"ASSUMPTION")),IFERROR(INDEX(ASCOPE_PMESII!$E$3:$E$62,_xlfn.AGGREGATE(15,6,(ROW(ASCOPE_PMESII!$D$3:$D$62)-ROW(ASCOPE_PMESII!$D$3)+1)/(ASCOPE_PMESII!$D$3:$D$62="ASSUMPTION"),18-(COUNTIF(ASCOPE_PMESII!$B$3:$B$62,"ASSUMPTION")))),""),IF(18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18-(COUNTIF(ASCOPE_PMESII!$B$3:$B$62,"ASSUMPTION")+COUNTIF(ASCOPE_PMESII!$D$3:$D$62,"ASSUMPTION")))),""),IF(18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18-(COUNTIF(ASCOPE_PMESII!$B$3:$B$62,"ASSUMPTION")+COUNTIF(ASCOPE_PMESII!$D$3:$D$62,"ASSUMPTION")+COUNTIF(ASCOPE_PMESII!$F$3:$F$62,"ASSUMPTION")))),""),IF(18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18-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18-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21" s="22" t="str">
        <f t="array" ref="N21">IFERROR(IF(18&lt;=COUNTIF(ASCOPE_PMESII!$B$3:$B$62,"CONSTRAINT"),IFERROR(INDEX(ASCOPE_PMESII!$C$3:$C$62,_xlfn.AGGREGATE(15,6,(ROW(ASCOPE_PMESII!$B$3:$B$62)-ROW(ASCOPE_PMESII!$B$3)+1)/(ASCOPE_PMESII!$B$3:$B$62="CONSTRAINT"),18)),""),IF(18&lt;=(COUNTIF(ASCOPE_PMESII!$B$3:$B$62,"CONSTRAINT")+COUNTIF(ASCOPE_PMESII!$D$3:$D$62,"CONSTRAINT")),IFERROR(INDEX(ASCOPE_PMESII!$E$3:$E$62,_xlfn.AGGREGATE(15,6,(ROW(ASCOPE_PMESII!$D$3:$D$62)-ROW(ASCOPE_PMESII!$D$3)+1)/(ASCOPE_PMESII!$D$3:$D$62="CONSTRAINT"),18-(COUNTIF(ASCOPE_PMESII!$B$3:$B$62,"CONSTRAINT")))),""),IF(18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18-(COUNTIF(ASCOPE_PMESII!$B$3:$B$62,"CONSTRAINT")+COUNTIF(ASCOPE_PMESII!$D$3:$D$62,"CONSTRAINT")))),""),IF(18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18-(COUNTIF(ASCOPE_PMESII!$B$3:$B$62,"CONSTRAINT")+COUNTIF(ASCOPE_PMESII!$D$3:$D$62,"CONSTRAINT")+COUNTIF(ASCOPE_PMESII!$F$3:$F$62,"CONSTRAINT")))),""),IF(18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18-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18-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21" s="22" t="str">
        <f t="array" ref="O21">IFERROR(IF(18&lt;=COUNTIF(ASCOPE_PMESII!$B$3:$B$62,"LIMITATION"),IFERROR(INDEX(ASCOPE_PMESII!$C$3:$C$62,_xlfn.AGGREGATE(15,6,(ROW(ASCOPE_PMESII!$B$3:$B$62)-ROW(ASCOPE_PMESII!$B$3)+1)/(ASCOPE_PMESII!$B$3:$B$62="LIMITATION"),18)),""),IF(18&lt;=(COUNTIF(ASCOPE_PMESII!$B$3:$B$62,"LIMITATION")+COUNTIF(ASCOPE_PMESII!$D$3:$D$62,"LIMITATION")),IFERROR(INDEX(ASCOPE_PMESII!$E$3:$E$62,_xlfn.AGGREGATE(15,6,(ROW(ASCOPE_PMESII!$D$3:$D$62)-ROW(ASCOPE_PMESII!$D$3)+1)/(ASCOPE_PMESII!$D$3:$D$62="LIMITATION"),18-(COUNTIF(ASCOPE_PMESII!$B$3:$B$62,"LIMITATION")))),""),IF(18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18-(COUNTIF(ASCOPE_PMESII!$B$3:$B$62,"LIMITATION")+COUNTIF(ASCOPE_PMESII!$D$3:$D$62,"LIMITATION")))),""),IF(18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18-(COUNTIF(ASCOPE_PMESII!$B$3:$B$62,"LIMITATION")+COUNTIF(ASCOPE_PMESII!$D$3:$D$62,"LIMITATION")+COUNTIF(ASCOPE_PMESII!$F$3:$F$62,"LIMITATION")))),""),IF(18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18-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18-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21" s="22" t="str">
        <f t="array" ref="P21">IFERROR(IF(18&lt;=COUNTIF(ASCOPE_PMESII!$B$3:$B$62,"CC"),IFERROR(INDEX(ASCOPE_PMESII!$C$3:$C$62,_xlfn.AGGREGATE(15,6,(ROW(ASCOPE_PMESII!$B$3:$B$62)-ROW(ASCOPE_PMESII!$B$3)+1)/(ASCOPE_PMESII!$B$3:$B$62="CC"),18)),""),IF(18&lt;=(COUNTIF(ASCOPE_PMESII!$B$3:$B$62,"CC")+COUNTIF(ASCOPE_PMESII!$D$3:$D$62,"CC")),IFERROR(INDEX(ASCOPE_PMESII!$E$3:$E$62,_xlfn.AGGREGATE(15,6,(ROW(ASCOPE_PMESII!$D$3:$D$62)-ROW(ASCOPE_PMESII!$D$3)+1)/(ASCOPE_PMESII!$D$3:$D$62="CC"),18-(COUNTIF(ASCOPE_PMESII!$B$3:$B$62,"CC")))),""),IF(18&lt;=(COUNTIF(ASCOPE_PMESII!$B$3:$B$62,"CC")+COUNTIF(ASCOPE_PMESII!$D$3:$D$62,"CC")+COUNTIF(ASCOPE_PMESII!$F$3:$F$62,"CC")),IFERROR(INDEX(ASCOPE_PMESII!$G$3:$G$62,_xlfn.AGGREGATE(15,6,(ROW(ASCOPE_PMESII!$F$3:$F$62)-ROW(ASCOPE_PMESII!$F$3)+1)/(ASCOPE_PMESII!$F$3:$F$62="CC"),18-(COUNTIF(ASCOPE_PMESII!$B$3:$B$62,"CC")+COUNTIF(ASCOPE_PMESII!$D$3:$D$62,"CC")))),""),IF(18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18-(COUNTIF(ASCOPE_PMESII!$B$3:$B$62,"CC")+COUNTIF(ASCOPE_PMESII!$D$3:$D$62,"CC")+COUNTIF(ASCOPE_PMESII!$F$3:$F$62,"CC")))),""),IF(18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18-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18-(COUNTIF(ASCOPE_PMESII!$B$3:$B$62,"CC")+COUNTIF(ASCOPE_PMESII!$D$3:$D$62,"CC")+COUNTIF(ASCOPE_PMESII!$F$3:$F$62,"CC")+COUNTIF(ASCOPE_PMESII!$H$3:$H$62,"CC")+COUNTIF(ASCOPE_PMESII!$J$3:$J$62,"CC")))),"")))))),"")</f>
        <v>Commercial data reveals shipping and finance patterns</v>
      </c>
      <c r="Q21" s="22" t="str">
        <f t="array" ref="Q21">IFERROR(IF(18&lt;=COUNTIF(ASCOPE_PMESII!$B$3:$B$62,"CR"),IFERROR(INDEX(ASCOPE_PMESII!$C$3:$C$62,_xlfn.AGGREGATE(15,6,(ROW(ASCOPE_PMESII!$B$3:$B$62)-ROW(ASCOPE_PMESII!$B$3)+1)/(ASCOPE_PMESII!$B$3:$B$62="CR"),18)),""),IF(18&lt;=(COUNTIF(ASCOPE_PMESII!$B$3:$B$62,"CR")+COUNTIF(ASCOPE_PMESII!$D$3:$D$62,"CR")),IFERROR(INDEX(ASCOPE_PMESII!$E$3:$E$62,_xlfn.AGGREGATE(15,6,(ROW(ASCOPE_PMESII!$D$3:$D$62)-ROW(ASCOPE_PMESII!$D$3)+1)/(ASCOPE_PMESII!$D$3:$D$62="CR"),18-(COUNTIF(ASCOPE_PMESII!$B$3:$B$62,"CR")))),""),IF(18&lt;=(COUNTIF(ASCOPE_PMESII!$B$3:$B$62,"CR")+COUNTIF(ASCOPE_PMESII!$D$3:$D$62,"CR")+COUNTIF(ASCOPE_PMESII!$F$3:$F$62,"CR")),IFERROR(INDEX(ASCOPE_PMESII!$G$3:$G$62,_xlfn.AGGREGATE(15,6,(ROW(ASCOPE_PMESII!$F$3:$F$62)-ROW(ASCOPE_PMESII!$F$3)+1)/(ASCOPE_PMESII!$F$3:$F$62="CR"),18-(COUNTIF(ASCOPE_PMESII!$B$3:$B$62,"CR")+COUNTIF(ASCOPE_PMESII!$D$3:$D$62,"CR")))),""),IF(18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18-(COUNTIF(ASCOPE_PMESII!$B$3:$B$62,"CR")+COUNTIF(ASCOPE_PMESII!$D$3:$D$62,"CR")+COUNTIF(ASCOPE_PMESII!$F$3:$F$62,"CR")))),""),IF(18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18-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18-(COUNTIF(ASCOPE_PMESII!$B$3:$B$62,"CR")+COUNTIF(ASCOPE_PMESII!$D$3:$D$62,"CR")+COUNTIF(ASCOPE_PMESII!$F$3:$F$62,"CR")+COUNTIF(ASCOPE_PMESII!$H$3:$H$62,"CR")+COUNTIF(ASCOPE_PMESII!$J$3:$J$62,"CR")))),"")))))),"")</f>
        <v>PA, PSYOPS, CIMIC and legal fusion required</v>
      </c>
      <c r="R21" s="95" t="str">
        <f t="array" ref="R21">IFERROR(IF(18&lt;=COUNTIF(ASCOPE_PMESII!$B$3:$B$62,"PCS"),IFERROR(INDEX(ASCOPE_PMESII!$C$3:$C$62,_xlfn.AGGREGATE(15,6,(ROW(ASCOPE_PMESII!$B$3:$B$62)-ROW(ASCOPE_PMESII!$B$3)+1)/(ASCOPE_PMESII!$B$3:$B$62="PCS"),18)),""),IF(18&lt;=(COUNTIF(ASCOPE_PMESII!$B$3:$B$62,"PCS")+COUNTIF(ASCOPE_PMESII!$D$3:$D$62,"PCS")),IFERROR(INDEX(ASCOPE_PMESII!$E$3:$E$62,_xlfn.AGGREGATE(15,6,(ROW(ASCOPE_PMESII!$D$3:$D$62)-ROW(ASCOPE_PMESII!$D$3)+1)/(ASCOPE_PMESII!$D$3:$D$62="PCS"),18-(COUNTIF(ASCOPE_PMESII!$B$3:$B$62,"PCS")))),""),IF(18&lt;=(COUNTIF(ASCOPE_PMESII!$B$3:$B$62,"PCS")+COUNTIF(ASCOPE_PMESII!$D$3:$D$62,"PCS")+COUNTIF(ASCOPE_PMESII!$F$3:$F$62,"PCS")),IFERROR(INDEX(ASCOPE_PMESII!$G$3:$G$62,_xlfn.AGGREGATE(15,6,(ROW(ASCOPE_PMESII!$F$3:$F$62)-ROW(ASCOPE_PMESII!$F$3)+1)/(ASCOPE_PMESII!$F$3:$F$62="PCS"),18-(COUNTIF(ASCOPE_PMESII!$B$3:$B$62,"PCS")+COUNTIF(ASCOPE_PMESII!$D$3:$D$62,"PCS")))),""),IF(18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18-(COUNTIF(ASCOPE_PMESII!$B$3:$B$62,"PCS")+COUNTIF(ASCOPE_PMESII!$D$3:$D$62,"PCS")+COUNTIF(ASCOPE_PMESII!$F$3:$F$62,"PCS")))),""),IF(18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18-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18-(COUNTIF(ASCOPE_PMESII!$B$3:$B$62,"PCS")+COUNTIF(ASCOPE_PMESII!$D$3:$D$62,"PCS")+COUNTIF(ASCOPE_PMESII!$F$3:$F$62,"PCS")+COUNTIF(ASCOPE_PMESII!$H$3:$H$62,"PCS")+COUNTIF(ASCOPE_PMESII!$J$3:$J$62,"PCS")))),"")))))),"")</f>
        <v/>
      </c>
    </row>
    <row r="22" spans="1:18" ht="34.5" customHeight="1">
      <c r="A22" s="21" t="str">
        <f t="array" ref="A22">IFERROR(IF(19&lt;=COUNTIF(ASCOPE_PMESII!$B$3:$B$62,"OE"),IFERROR(INDEX(ASCOPE_PMESII!$C$3:$C$62,_xlfn.AGGREGATE(15,6,(ROW(ASCOPE_PMESII!$B$3:$B$62)-ROW(ASCOPE_PMESII!$B$3)+1)/(ASCOPE_PMESII!$B$3:$B$62="OE"),19)),""),IF(19&lt;=(COUNTIF(ASCOPE_PMESII!$B$3:$B$62,"OE")+COUNTIF(ASCOPE_PMESII!$D$3:$D$62,"OE")),IFERROR(INDEX(ASCOPE_PMESII!$E$3:$E$62,_xlfn.AGGREGATE(15,6,(ROW(ASCOPE_PMESII!$D$3:$D$62)-ROW(ASCOPE_PMESII!$D$3)+1)/(ASCOPE_PMESII!$D$3:$D$62="OE"),19-(COUNTIF(ASCOPE_PMESII!$B$3:$B$62,"OE")))),""),IF(19&lt;=(COUNTIF(ASCOPE_PMESII!$B$3:$B$62,"OE")+COUNTIF(ASCOPE_PMESII!$D$3:$D$62,"OE")+COUNTIF(ASCOPE_PMESII!$F$3:$F$62,"OE")),IFERROR(INDEX(ASCOPE_PMESII!$G$3:$G$62,_xlfn.AGGREGATE(15,6,(ROW(ASCOPE_PMESII!$F$3:$F$62)-ROW(ASCOPE_PMESII!$F$3)+1)/(ASCOPE_PMESII!$F$3:$F$62="OE"),19-(COUNTIF(ASCOPE_PMESII!$B$3:$B$62,"OE")+COUNTIF(ASCOPE_PMESII!$D$3:$D$62,"OE")))),""),IF(19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19-(COUNTIF(ASCOPE_PMESII!$B$3:$B$62,"OE")+COUNTIF(ASCOPE_PMESII!$D$3:$D$62,"OE")+COUNTIF(ASCOPE_PMESII!$F$3:$F$62,"OE")))),""),IF(19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19-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19-(COUNTIF(ASCOPE_PMESII!$B$3:$B$62,"OE")+COUNTIF(ASCOPE_PMESII!$D$3:$D$62,"OE")+COUNTIF(ASCOPE_PMESII!$F$3:$F$62,"OE")+COUNTIF(ASCOPE_PMESII!$H$3:$H$62,"OE")+COUNTIF(ASCOPE_PMESII!$J$3:$J$62,"OE")))),"")))))),"")</f>
        <v/>
      </c>
      <c r="B22" s="21" t="str">
        <f t="array" ref="B22">IFERROR(IF(19&lt;=COUNTIF(ASCOPE_PMESII!$B$3:$B$62,"OA"),IFERROR(INDEX(ASCOPE_PMESII!$C$3:$C$62,_xlfn.AGGREGATE(15,6,(ROW(ASCOPE_PMESII!$B$3:$B$62)-ROW(ASCOPE_PMESII!$B$3)+1)/(ASCOPE_PMESII!$B$3:$B$62="OA"),19)),""),IF(19&lt;=(COUNTIF(ASCOPE_PMESII!$B$3:$B$62,"OA")+COUNTIF(ASCOPE_PMESII!$D$3:$D$62,"OA")),IFERROR(INDEX(ASCOPE_PMESII!$E$3:$E$62,_xlfn.AGGREGATE(15,6,(ROW(ASCOPE_PMESII!$D$3:$D$62)-ROW(ASCOPE_PMESII!$D$3)+1)/(ASCOPE_PMESII!$D$3:$D$62="OA"),19-(COUNTIF(ASCOPE_PMESII!$B$3:$B$62,"OA")))),""),IF(19&lt;=(COUNTIF(ASCOPE_PMESII!$B$3:$B$62,"OA")+COUNTIF(ASCOPE_PMESII!$D$3:$D$62,"OA")+COUNTIF(ASCOPE_PMESII!$F$3:$F$62,"OA")),IFERROR(INDEX(ASCOPE_PMESII!$G$3:$G$62,_xlfn.AGGREGATE(15,6,(ROW(ASCOPE_PMESII!$F$3:$F$62)-ROW(ASCOPE_PMESII!$F$3)+1)/(ASCOPE_PMESII!$F$3:$F$62="OA"),19-(COUNTIF(ASCOPE_PMESII!$B$3:$B$62,"OA")+COUNTIF(ASCOPE_PMESII!$D$3:$D$62,"OA")))),""),IF(19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19-(COUNTIF(ASCOPE_PMESII!$B$3:$B$62,"OA")+COUNTIF(ASCOPE_PMESII!$D$3:$D$62,"OA")+COUNTIF(ASCOPE_PMESII!$F$3:$F$62,"OA")))),""),IF(19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19-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19-(COUNTIF(ASCOPE_PMESII!$B$3:$B$62,"OA")+COUNTIF(ASCOPE_PMESII!$D$3:$D$62,"OA")+COUNTIF(ASCOPE_PMESII!$F$3:$F$62,"OA")+COUNTIF(ASCOPE_PMESII!$H$3:$H$62,"OA")+COUNTIF(ASCOPE_PMESII!$J$3:$J$62,"OA")))),"")))))),"")</f>
        <v/>
      </c>
      <c r="C22" s="21" t="str">
        <f t="array" ref="C22">IFERROR(IF(19&lt;=COUNTIF(ASCOPE_PMESII!$B$3:$B$62,"RISK"),IFERROR(INDEX(ASCOPE_PMESII!$C$3:$C$62,_xlfn.AGGREGATE(15,6,(ROW(ASCOPE_PMESII!$B$3:$B$62)-ROW(ASCOPE_PMESII!$B$3)+1)/(ASCOPE_PMESII!$B$3:$B$62="RISK"),19)),""),IF(19&lt;=(COUNTIF(ASCOPE_PMESII!$B$3:$B$62,"RISK")+COUNTIF(ASCOPE_PMESII!$D$3:$D$62,"RISK")),IFERROR(INDEX(ASCOPE_PMESII!$E$3:$E$62,_xlfn.AGGREGATE(15,6,(ROW(ASCOPE_PMESII!$D$3:$D$62)-ROW(ASCOPE_PMESII!$D$3)+1)/(ASCOPE_PMESII!$D$3:$D$62="RISK"),19-(COUNTIF(ASCOPE_PMESII!$B$3:$B$62,"RISK")))),""),IF(19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19-(COUNTIF(ASCOPE_PMESII!$B$3:$B$62,"RISK")+COUNTIF(ASCOPE_PMESII!$D$3:$D$62,"RISK")))),""),IF(19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19-(COUNTIF(ASCOPE_PMESII!$B$3:$B$62,"RISK")+COUNTIF(ASCOPE_PMESII!$D$3:$D$62,"RISK")+COUNTIF(ASCOPE_PMESII!$F$3:$F$62,"RISK")))),""),IF(19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19-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19-(COUNTIF(ASCOPE_PMESII!$B$3:$B$62,"RISK")+COUNTIF(ASCOPE_PMESII!$D$3:$D$62,"RISK")+COUNTIF(ASCOPE_PMESII!$F$3:$F$62,"RISK")+COUNTIF(ASCOPE_PMESII!$H$3:$H$62,"RISK")+COUNTIF(ASCOPE_PMESII!$J$3:$J$62,"RISK")))),"")))))),"")</f>
        <v>Blunt targeting can unify anti-NATO actors</v>
      </c>
      <c r="D22" s="21" t="str">
        <f t="array" ref="D22">IFERROR(IF(19&lt;=COUNTIF(ASCOPE_PMESII!$B$3:$B$62,"CV"),IFERROR(INDEX(ASCOPE_PMESII!$C$3:$C$62,_xlfn.AGGREGATE(15,6,(ROW(ASCOPE_PMESII!$B$3:$B$62)-ROW(ASCOPE_PMESII!$B$3)+1)/(ASCOPE_PMESII!$B$3:$B$62="CV"),19)),""),IF(19&lt;=(COUNTIF(ASCOPE_PMESII!$B$3:$B$62,"CV")+COUNTIF(ASCOPE_PMESII!$D$3:$D$62,"CV")),IFERROR(INDEX(ASCOPE_PMESII!$E$3:$E$62,_xlfn.AGGREGATE(15,6,(ROW(ASCOPE_PMESII!$D$3:$D$62)-ROW(ASCOPE_PMESII!$D$3)+1)/(ASCOPE_PMESII!$D$3:$D$62="CV"),19-(COUNTIF(ASCOPE_PMESII!$B$3:$B$62,"CV")))),""),IF(19&lt;=(COUNTIF(ASCOPE_PMESII!$B$3:$B$62,"CV")+COUNTIF(ASCOPE_PMESII!$D$3:$D$62,"CV")+COUNTIF(ASCOPE_PMESII!$F$3:$F$62,"CV")),IFERROR(INDEX(ASCOPE_PMESII!$G$3:$G$62,_xlfn.AGGREGATE(15,6,(ROW(ASCOPE_PMESII!$F$3:$F$62)-ROW(ASCOPE_PMESII!$F$3)+1)/(ASCOPE_PMESII!$F$3:$F$62="CV"),19-(COUNTIF(ASCOPE_PMESII!$B$3:$B$62,"CV")+COUNTIF(ASCOPE_PMESII!$D$3:$D$62,"CV")))),""),IF(19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19-(COUNTIF(ASCOPE_PMESII!$B$3:$B$62,"CV")+COUNTIF(ASCOPE_PMESII!$D$3:$D$62,"CV")+COUNTIF(ASCOPE_PMESII!$F$3:$F$62,"CV")))),""),IF(19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19-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19-(COUNTIF(ASCOPE_PMESII!$B$3:$B$62,"CV")+COUNTIF(ASCOPE_PMESII!$D$3:$D$62,"CV")+COUNTIF(ASCOPE_PMESII!$F$3:$F$62,"CV")+COUNTIF(ASCOPE_PMESII!$H$3:$H$62,"CV")+COUNTIF(ASCOPE_PMESII!$J$3:$J$62,"CV")))),"")))))),"")</f>
        <v>GoIND lacks local force density in rebel provinces</v>
      </c>
      <c r="E22" s="21" t="str">
        <f t="array" ref="E22">IFERROR(IF(19&lt;=COUNTIF(ASCOPE_PMESII!$B$3:$B$62,"COR"),IFERROR(INDEX(ASCOPE_PMESII!$C$3:$C$62,_xlfn.AGGREGATE(15,6,(ROW(ASCOPE_PMESII!$B$3:$B$62)-ROW(ASCOPE_PMESII!$B$3)+1)/(ASCOPE_PMESII!$B$3:$B$62="COR"),19)),""),IF(19&lt;=(COUNTIF(ASCOPE_PMESII!$B$3:$B$62,"COR")+COUNTIF(ASCOPE_PMESII!$D$3:$D$62,"COR")),IFERROR(INDEX(ASCOPE_PMESII!$E$3:$E$62,_xlfn.AGGREGATE(15,6,(ROW(ASCOPE_PMESII!$D$3:$D$62)-ROW(ASCOPE_PMESII!$D$3)+1)/(ASCOPE_PMESII!$D$3:$D$62="COR"),19-(COUNTIF(ASCOPE_PMESII!$B$3:$B$62,"COR")))),""),IF(19&lt;=(COUNTIF(ASCOPE_PMESII!$B$3:$B$62,"COR")+COUNTIF(ASCOPE_PMESII!$D$3:$D$62,"COR")+COUNTIF(ASCOPE_PMESII!$F$3:$F$62,"COR")),IFERROR(INDEX(ASCOPE_PMESII!$G$3:$G$62,_xlfn.AGGREGATE(15,6,(ROW(ASCOPE_PMESII!$F$3:$F$62)-ROW(ASCOPE_PMESII!$F$3)+1)/(ASCOPE_PMESII!$F$3:$F$62="COR"),19-(COUNTIF(ASCOPE_PMESII!$B$3:$B$62,"COR")+COUNTIF(ASCOPE_PMESII!$D$3:$D$62,"COR")))),""),IF(19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19-(COUNTIF(ASCOPE_PMESII!$B$3:$B$62,"COR")+COUNTIF(ASCOPE_PMESII!$D$3:$D$62,"COR")+COUNTIF(ASCOPE_PMESII!$F$3:$F$62,"COR")))),""),IF(19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19-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19-(COUNTIF(ASCOPE_PMESII!$B$3:$B$62,"COR")+COUNTIF(ASCOPE_PMESII!$D$3:$D$62,"COR")+COUNTIF(ASCOPE_PMESII!$F$3:$F$62,"COR")+COUNTIF(ASCOPE_PMESII!$H$3:$H$62,"COR")+COUNTIF(ASCOPE_PMESII!$J$3:$J$62,"COR")))),"")))))),"")</f>
        <v>Exploit faction seams without rejecting Sumatran grievance</v>
      </c>
      <c r="F22" s="21" t="str">
        <f t="array" ref="F22">IFERROR(IF(19&lt;=COUNTIF(ASCOPE_PMESII!$B$3:$B$62,"REQT"),IFERROR(INDEX(ASCOPE_PMESII!$C$3:$C$62,_xlfn.AGGREGATE(15,6,(ROW(ASCOPE_PMESII!$B$3:$B$62)-ROW(ASCOPE_PMESII!$B$3)+1)/(ASCOPE_PMESII!$B$3:$B$62="REQT"),19)),""),IF(19&lt;=(COUNTIF(ASCOPE_PMESII!$B$3:$B$62,"REQT")+COUNTIF(ASCOPE_PMESII!$D$3:$D$62,"REQT")),IFERROR(INDEX(ASCOPE_PMESII!$E$3:$E$62,_xlfn.AGGREGATE(15,6,(ROW(ASCOPE_PMESII!$D$3:$D$62)-ROW(ASCOPE_PMESII!$D$3)+1)/(ASCOPE_PMESII!$D$3:$D$62="REQT"),19-(COUNTIF(ASCOPE_PMESII!$B$3:$B$62,"REQT")))),""),IF(19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19-(COUNTIF(ASCOPE_PMESII!$B$3:$B$62,"REQT")+COUNTIF(ASCOPE_PMESII!$D$3:$D$62,"REQT")))),""),IF(19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19-(COUNTIF(ASCOPE_PMESII!$B$3:$B$62,"REQT")+COUNTIF(ASCOPE_PMESII!$D$3:$D$62,"REQT")+COUNTIF(ASCOPE_PMESII!$F$3:$F$62,"REQT")))),""),IF(19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19-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19-(COUNTIF(ASCOPE_PMESII!$B$3:$B$62,"REQT")+COUNTIF(ASCOPE_PMESII!$D$3:$D$62,"REQT")+COUNTIF(ASCOPE_PMESII!$F$3:$F$62,"REQT")+COUNTIF(ASCOPE_PMESII!$H$3:$H$62,"REQT")+COUNTIF(ASCOPE_PMESII!$J$3:$J$62,"REQT")))),"")))))),"")</f>
        <v/>
      </c>
      <c r="G22" s="21" t="str">
        <f t="array" ref="G22">IFERROR(IF(19&lt;=COUNTIF(ASCOPE_PMESII!$B$3:$B$62,"REST"),IFERROR(INDEX(ASCOPE_PMESII!$C$3:$C$62,_xlfn.AGGREGATE(15,6,(ROW(ASCOPE_PMESII!$B$3:$B$62)-ROW(ASCOPE_PMESII!$B$3)+1)/(ASCOPE_PMESII!$B$3:$B$62="REST"),19)),""),IF(19&lt;=(COUNTIF(ASCOPE_PMESII!$B$3:$B$62,"REST")+COUNTIF(ASCOPE_PMESII!$D$3:$D$62,"REST")),IFERROR(INDEX(ASCOPE_PMESII!$E$3:$E$62,_xlfn.AGGREGATE(15,6,(ROW(ASCOPE_PMESII!$D$3:$D$62)-ROW(ASCOPE_PMESII!$D$3)+1)/(ASCOPE_PMESII!$D$3:$D$62="REST"),19-(COUNTIF(ASCOPE_PMESII!$B$3:$B$62,"REST")))),""),IF(19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19-(COUNTIF(ASCOPE_PMESII!$B$3:$B$62,"REST")+COUNTIF(ASCOPE_PMESII!$D$3:$D$62,"REST")))),""),IF(19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19-(COUNTIF(ASCOPE_PMESII!$B$3:$B$62,"REST")+COUNTIF(ASCOPE_PMESII!$D$3:$D$62,"REST")+COUNTIF(ASCOPE_PMESII!$F$3:$F$62,"REST")))),""),IF(19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19-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19-(COUNTIF(ASCOPE_PMESII!$B$3:$B$62,"REST")+COUNTIF(ASCOPE_PMESII!$D$3:$D$62,"REST")+COUNTIF(ASCOPE_PMESII!$F$3:$F$62,"REST")+COUNTIF(ASCOPE_PMESII!$H$3:$H$62,"REST")+COUNTIF(ASCOPE_PMESII!$J$3:$J$62,"REST")))),"")))))),"")</f>
        <v/>
      </c>
      <c r="H22" s="21" t="str">
        <f t="array" ref="H22">IFERROR(IF(19&lt;=COUNTIF(ASCOPE_PMESII!$B$3:$B$62,"KCD-MUST"),IFERROR(INDEX(ASCOPE_PMESII!$C$3:$C$62,_xlfn.AGGREGATE(15,6,(ROW(ASCOPE_PMESII!$B$3:$B$62)-ROW(ASCOPE_PMESII!$B$3)+1)/(ASCOPE_PMESII!$B$3:$B$62="KCD-MUST"),19)),""),IF(19&lt;=(COUNTIF(ASCOPE_PMESII!$B$3:$B$62,"KCD-MUST")+COUNTIF(ASCOPE_PMESII!$D$3:$D$62,"KCD-MUST")),IFERROR(INDEX(ASCOPE_PMESII!$E$3:$E$62,_xlfn.AGGREGATE(15,6,(ROW(ASCOPE_PMESII!$D$3:$D$62)-ROW(ASCOPE_PMESII!$D$3)+1)/(ASCOPE_PMESII!$D$3:$D$62="KCD-MUST"),19-(COUNTIF(ASCOPE_PMESII!$B$3:$B$62,"KCD-MUST")))),""),IF(19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19-(COUNTIF(ASCOPE_PMESII!$B$3:$B$62,"KCD-MUST")+COUNTIF(ASCOPE_PMESII!$D$3:$D$62,"KCD-MUST")))),""),IF(19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19-(COUNTIF(ASCOPE_PMESII!$B$3:$B$62,"KCD-MUST")+COUNTIF(ASCOPE_PMESII!$D$3:$D$62,"KCD-MUST")+COUNTIF(ASCOPE_PMESII!$F$3:$F$62,"KCD-MUST")))),""),IF(19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19-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19-(COUNTIF(ASCOPE_PMESII!$B$3:$B$62,"KCD-MUST")+COUNTIF(ASCOPE_PMESII!$D$3:$D$62,"KCD-MUST")+COUNTIF(ASCOPE_PMESII!$F$3:$F$62,"KCD-MUST")+COUNTIF(ASCOPE_PMESII!$H$3:$H$62,"KCD-MUST")+COUNTIF(ASCOPE_PMESII!$J$3:$J$62,"KCD-MUST")))),"")))))),"")</f>
        <v>Engage Malaysia/Singapore before visible escalation</v>
      </c>
      <c r="I22" s="21" t="str">
        <f t="array" ref="I22">IFERROR(IF(19&lt;=COUNTIF(ASCOPE_PMESII!$B$3:$B$62,"KCD-SHOULD"),IFERROR(INDEX(ASCOPE_PMESII!$C$3:$C$62,_xlfn.AGGREGATE(15,6,(ROW(ASCOPE_PMESII!$B$3:$B$62)-ROW(ASCOPE_PMESII!$B$3)+1)/(ASCOPE_PMESII!$B$3:$B$62="KCD-SHOULD"),19)),""),IF(19&lt;=(COUNTIF(ASCOPE_PMESII!$B$3:$B$62,"KCD-SHOULD")+COUNTIF(ASCOPE_PMESII!$D$3:$D$62,"KCD-SHOULD")),IFERROR(INDEX(ASCOPE_PMESII!$E$3:$E$62,_xlfn.AGGREGATE(15,6,(ROW(ASCOPE_PMESII!$D$3:$D$62)-ROW(ASCOPE_PMESII!$D$3)+1)/(ASCOPE_PMESII!$D$3:$D$62="KCD-SHOULD"),19-(COUNTIF(ASCOPE_PMESII!$B$3:$B$62,"KCD-SHOULD")))),""),IF(19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19-(COUNTIF(ASCOPE_PMESII!$B$3:$B$62,"KCD-SHOULD")+COUNTIF(ASCOPE_PMESII!$D$3:$D$62,"KCD-SHOULD")))),""),IF(19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19-(COUNTIF(ASCOPE_PMESII!$B$3:$B$62,"KCD-SHOULD")+COUNTIF(ASCOPE_PMESII!$D$3:$D$62,"KCD-SHOULD")+COUNTIF(ASCOPE_PMESII!$F$3:$F$62,"KCD-SHOULD")))),""),IF(19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19-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19-(COUNTIF(ASCOPE_PMESII!$B$3:$B$62,"KCD-SHOULD")+COUNTIF(ASCOPE_PMESII!$D$3:$D$62,"KCD-SHOULD")+COUNTIF(ASCOPE_PMESII!$F$3:$F$62,"KCD-SHOULD")+COUNTIF(ASCOPE_PMESII!$H$3:$H$62,"KCD-SHOULD")+COUNTIF(ASCOPE_PMESII!$J$3:$J$62,"KCD-SHOULD")))),"")))))),"")</f>
        <v>Segment IRS nationalists from terrorist actors</v>
      </c>
      <c r="J22" s="21" t="str">
        <f t="array" ref="J22">IFERROR(IF(19&lt;=COUNTIF(ASCOPE_PMESII!$B$3:$B$62,"KCD-SHOULD NOT"),IFERROR(INDEX(ASCOPE_PMESII!$C$3:$C$62,_xlfn.AGGREGATE(15,6,(ROW(ASCOPE_PMESII!$B$3:$B$62)-ROW(ASCOPE_PMESII!$B$3)+1)/(ASCOPE_PMESII!$B$3:$B$62="KCD-SHOULD NOT"),19)),""),IF(19&lt;=(COUNTIF(ASCOPE_PMESII!$B$3:$B$62,"KCD-SHOULD NOT")+COUNTIF(ASCOPE_PMESII!$D$3:$D$62,"KCD-SHOULD NOT")),IFERROR(INDEX(ASCOPE_PMESII!$E$3:$E$62,_xlfn.AGGREGATE(15,6,(ROW(ASCOPE_PMESII!$D$3:$D$62)-ROW(ASCOPE_PMESII!$D$3)+1)/(ASCOPE_PMESII!$D$3:$D$62="KCD-SHOULD NOT"),19-(COUNTIF(ASCOPE_PMESII!$B$3:$B$62,"KCD-SHOULD NOT")))),""),IF(19&lt;=(COUNTIF(ASCOPE_PMESII!$B$3:$B$62,"KCD-SHOULD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NOT"),19-(COUNTIF(ASCOPE_PMESII!$B$3:$B$62,"KCD-SHOULD NOT")+COUNTIF(ASCOPE_PMESII!$D$3:$D$62,"KCD-SHOULD NOT")))),""),IF(19&lt;=(COUNTIF(ASCOPE_PMESII!$B$3:$B$62,"KCD-SHOULD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NOT"),19-(COUNTIF(ASCOPE_PMESII!$B$3:$B$62,"KCD-SHOULD NOT")+COUNTIF(ASCOPE_PMESII!$D$3:$D$62,"KCD-SHOULD NOT")+COUNTIF(ASCOPE_PMESII!$F$3:$F$62,"KCD-SHOULD NOT")))),""),IF(19&lt;=(COUNTIF(ASCOPE_PMESII!$B$3:$B$62,"KCD-SHOULD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NOT"),19-(COUNTIF(ASCOPE_PMESII!$B$3:$B$62,"KCD-SHOULD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NOT"),19-(COUNTIF(ASCOPE_PMESII!$B$3:$B$62,"KCD-SHOULD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22" s="21" t="str">
        <f t="array" ref="K22">IFERROR(IF(19&lt;=COUNTIF(ASCOPE_PMESII!$B$3:$B$62,"KCD-CANNOT"),IFERROR(INDEX(ASCOPE_PMESII!$C$3:$C$62,_xlfn.AGGREGATE(15,6,(ROW(ASCOPE_PMESII!$B$3:$B$62)-ROW(ASCOPE_PMESII!$B$3)+1)/(ASCOPE_PMESII!$B$3:$B$62="KCD-CANNOT"),19)),""),IF(19&lt;=(COUNTIF(ASCOPE_PMESII!$B$3:$B$62,"KCD-CANNOT")+COUNTIF(ASCOPE_PMESII!$D$3:$D$62,"KCD-CANNOT")),IFERROR(INDEX(ASCOPE_PMESII!$E$3:$E$62,_xlfn.AGGREGATE(15,6,(ROW(ASCOPE_PMESII!$D$3:$D$62)-ROW(ASCOPE_PMESII!$D$3)+1)/(ASCOPE_PMESII!$D$3:$D$62="KCD-CANNOT"),19-(COUNTIF(ASCOPE_PMESII!$B$3:$B$62,"KCD-CANNOT")))),""),IF(19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19-(COUNTIF(ASCOPE_PMESII!$B$3:$B$62,"KCD-CANNOT")+COUNTIF(ASCOPE_PMESII!$D$3:$D$62,"KCD-CANNOT")))),""),IF(19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19-(COUNTIF(ASCOPE_PMESII!$B$3:$B$62,"KCD-CANNOT")+COUNTIF(ASCOPE_PMESII!$D$3:$D$62,"KCD-CANNOT")+COUNTIF(ASCOPE_PMESII!$F$3:$F$62,"KCD-CANNOT")))),""),IF(19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19-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19-(COUNTIF(ASCOPE_PMESII!$B$3:$B$62,"KCD-CANNOT")+COUNTIF(ASCOPE_PMESII!$D$3:$D$62,"KCD-CANNOT")+COUNTIF(ASCOPE_PMESII!$F$3:$F$62,"KCD-CANNOT")+COUNTIF(ASCOPE_PMESII!$H$3:$H$62,"KCD-CANNOT")+COUNTIF(ASCOPE_PMESII!$J$3:$J$62,"KCD-CANNOT")))),"")))))),"")</f>
        <v>Cannot use one political message for all actors</v>
      </c>
      <c r="L22" s="21" t="str">
        <f t="array" ref="L22">IFERROR(IF(19&lt;=COUNTIF(ASCOPE_PMESII!$B$3:$B$62,"DECISION"),IFERROR(INDEX(ASCOPE_PMESII!$C$3:$C$62,_xlfn.AGGREGATE(15,6,(ROW(ASCOPE_PMESII!$B$3:$B$62)-ROW(ASCOPE_PMESII!$B$3)+1)/(ASCOPE_PMESII!$B$3:$B$62="DECISION"),19)),""),IF(19&lt;=(COUNTIF(ASCOPE_PMESII!$B$3:$B$62,"DECISION")+COUNTIF(ASCOPE_PMESII!$D$3:$D$62,"DECISION")),IFERROR(INDEX(ASCOPE_PMESII!$E$3:$E$62,_xlfn.AGGREGATE(15,6,(ROW(ASCOPE_PMESII!$D$3:$D$62)-ROW(ASCOPE_PMESII!$D$3)+1)/(ASCOPE_PMESII!$D$3:$D$62="DECISION"),19-(COUNTIF(ASCOPE_PMESII!$B$3:$B$62,"DECISION")))),""),IF(19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19-(COUNTIF(ASCOPE_PMESII!$B$3:$B$62,"DECISION")+COUNTIF(ASCOPE_PMESII!$D$3:$D$62,"DECISION")))),""),IF(19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19-(COUNTIF(ASCOPE_PMESII!$B$3:$B$62,"DECISION")+COUNTIF(ASCOPE_PMESII!$D$3:$D$62,"DECISION")+COUNTIF(ASCOPE_PMESII!$F$3:$F$62,"DECISION")))),""),IF(19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19-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19-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22" s="21" t="str">
        <f t="array" ref="M22">IFERROR(IF(19&lt;=COUNTIF(ASCOPE_PMESII!$B$3:$B$62,"ASSUMPTION"),IFERROR(INDEX(ASCOPE_PMESII!$C$3:$C$62,_xlfn.AGGREGATE(15,6,(ROW(ASCOPE_PMESII!$B$3:$B$62)-ROW(ASCOPE_PMESII!$B$3)+1)/(ASCOPE_PMESII!$B$3:$B$62="ASSUMPTION"),19)),""),IF(19&lt;=(COUNTIF(ASCOPE_PMESII!$B$3:$B$62,"ASSUMPTION")+COUNTIF(ASCOPE_PMESII!$D$3:$D$62,"ASSUMPTION")),IFERROR(INDEX(ASCOPE_PMESII!$E$3:$E$62,_xlfn.AGGREGATE(15,6,(ROW(ASCOPE_PMESII!$D$3:$D$62)-ROW(ASCOPE_PMESII!$D$3)+1)/(ASCOPE_PMESII!$D$3:$D$62="ASSUMPTION"),19-(COUNTIF(ASCOPE_PMESII!$B$3:$B$62,"ASSUMPTION")))),""),IF(19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19-(COUNTIF(ASCOPE_PMESII!$B$3:$B$62,"ASSUMPTION")+COUNTIF(ASCOPE_PMESII!$D$3:$D$62,"ASSUMPTION")))),""),IF(19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19-(COUNTIF(ASCOPE_PMESII!$B$3:$B$62,"ASSUMPTION")+COUNTIF(ASCOPE_PMESII!$D$3:$D$62,"ASSUMPTION")+COUNTIF(ASCOPE_PMESII!$F$3:$F$62,"ASSUMPTION")))),""),IF(19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19-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19-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22" s="21" t="str">
        <f t="array" ref="N22">IFERROR(IF(19&lt;=COUNTIF(ASCOPE_PMESII!$B$3:$B$62,"CONSTRAINT"),IFERROR(INDEX(ASCOPE_PMESII!$C$3:$C$62,_xlfn.AGGREGATE(15,6,(ROW(ASCOPE_PMESII!$B$3:$B$62)-ROW(ASCOPE_PMESII!$B$3)+1)/(ASCOPE_PMESII!$B$3:$B$62="CONSTRAINT"),19)),""),IF(19&lt;=(COUNTIF(ASCOPE_PMESII!$B$3:$B$62,"CONSTRAINT")+COUNTIF(ASCOPE_PMESII!$D$3:$D$62,"CONSTRAINT")),IFERROR(INDEX(ASCOPE_PMESII!$E$3:$E$62,_xlfn.AGGREGATE(15,6,(ROW(ASCOPE_PMESII!$D$3:$D$62)-ROW(ASCOPE_PMESII!$D$3)+1)/(ASCOPE_PMESII!$D$3:$D$62="CONSTRAINT"),19-(COUNTIF(ASCOPE_PMESII!$B$3:$B$62,"CONSTRAINT")))),""),IF(19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19-(COUNTIF(ASCOPE_PMESII!$B$3:$B$62,"CONSTRAINT")+COUNTIF(ASCOPE_PMESII!$D$3:$D$62,"CONSTRAINT")))),""),IF(19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19-(COUNTIF(ASCOPE_PMESII!$B$3:$B$62,"CONSTRAINT")+COUNTIF(ASCOPE_PMESII!$D$3:$D$62,"CONSTRAINT")+COUNTIF(ASCOPE_PMESII!$F$3:$F$62,"CONSTRAINT")))),""),IF(19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19-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19-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22" s="21" t="str">
        <f t="array" ref="O22">IFERROR(IF(19&lt;=COUNTIF(ASCOPE_PMESII!$B$3:$B$62,"LIMITATION"),IFERROR(INDEX(ASCOPE_PMESII!$C$3:$C$62,_xlfn.AGGREGATE(15,6,(ROW(ASCOPE_PMESII!$B$3:$B$62)-ROW(ASCOPE_PMESII!$B$3)+1)/(ASCOPE_PMESII!$B$3:$B$62="LIMITATION"),19)),""),IF(19&lt;=(COUNTIF(ASCOPE_PMESII!$B$3:$B$62,"LIMITATION")+COUNTIF(ASCOPE_PMESII!$D$3:$D$62,"LIMITATION")),IFERROR(INDEX(ASCOPE_PMESII!$E$3:$E$62,_xlfn.AGGREGATE(15,6,(ROW(ASCOPE_PMESII!$D$3:$D$62)-ROW(ASCOPE_PMESII!$D$3)+1)/(ASCOPE_PMESII!$D$3:$D$62="LIMITATION"),19-(COUNTIF(ASCOPE_PMESII!$B$3:$B$62,"LIMITATION")))),""),IF(19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19-(COUNTIF(ASCOPE_PMESII!$B$3:$B$62,"LIMITATION")+COUNTIF(ASCOPE_PMESII!$D$3:$D$62,"LIMITATION")))),""),IF(19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19-(COUNTIF(ASCOPE_PMESII!$B$3:$B$62,"LIMITATION")+COUNTIF(ASCOPE_PMESII!$D$3:$D$62,"LIMITATION")+COUNTIF(ASCOPE_PMESII!$F$3:$F$62,"LIMITATION")))),""),IF(19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19-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19-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22" s="21" t="str">
        <f t="array" ref="P22">IFERROR(IF(19&lt;=COUNTIF(ASCOPE_PMESII!$B$3:$B$62,"CC"),IFERROR(INDEX(ASCOPE_PMESII!$C$3:$C$62,_xlfn.AGGREGATE(15,6,(ROW(ASCOPE_PMESII!$B$3:$B$62)-ROW(ASCOPE_PMESII!$B$3)+1)/(ASCOPE_PMESII!$B$3:$B$62="CC"),19)),""),IF(19&lt;=(COUNTIF(ASCOPE_PMESII!$B$3:$B$62,"CC")+COUNTIF(ASCOPE_PMESII!$D$3:$D$62,"CC")),IFERROR(INDEX(ASCOPE_PMESII!$E$3:$E$62,_xlfn.AGGREGATE(15,6,(ROW(ASCOPE_PMESII!$D$3:$D$62)-ROW(ASCOPE_PMESII!$D$3)+1)/(ASCOPE_PMESII!$D$3:$D$62="CC"),19-(COUNTIF(ASCOPE_PMESII!$B$3:$B$62,"CC")))),""),IF(19&lt;=(COUNTIF(ASCOPE_PMESII!$B$3:$B$62,"CC")+COUNTIF(ASCOPE_PMESII!$D$3:$D$62,"CC")+COUNTIF(ASCOPE_PMESII!$F$3:$F$62,"CC")),IFERROR(INDEX(ASCOPE_PMESII!$G$3:$G$62,_xlfn.AGGREGATE(15,6,(ROW(ASCOPE_PMESII!$F$3:$F$62)-ROW(ASCOPE_PMESII!$F$3)+1)/(ASCOPE_PMESII!$F$3:$F$62="CC"),19-(COUNTIF(ASCOPE_PMESII!$B$3:$B$62,"CC")+COUNTIF(ASCOPE_PMESII!$D$3:$D$62,"CC")))),""),IF(19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19-(COUNTIF(ASCOPE_PMESII!$B$3:$B$62,"CC")+COUNTIF(ASCOPE_PMESII!$D$3:$D$62,"CC")+COUNTIF(ASCOPE_PMESII!$F$3:$F$62,"CC")))),""),IF(19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19-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19-(COUNTIF(ASCOPE_PMESII!$B$3:$B$62,"CC")+COUNTIF(ASCOPE_PMESII!$D$3:$D$62,"CC")+COUNTIF(ASCOPE_PMESII!$F$3:$F$62,"CC")+COUNTIF(ASCOPE_PMESII!$H$3:$H$62,"CC")+COUNTIF(ASCOPE_PMESII!$J$3:$J$62,"CC")))),"")))))),"")</f>
        <v>GoIND retains legal sovereignty and external recognition</v>
      </c>
      <c r="Q22" s="21" t="str">
        <f t="array" ref="Q22">IFERROR(IF(19&lt;=COUNTIF(ASCOPE_PMESII!$B$3:$B$62,"CR"),IFERROR(INDEX(ASCOPE_PMESII!$C$3:$C$62,_xlfn.AGGREGATE(15,6,(ROW(ASCOPE_PMESII!$B$3:$B$62)-ROW(ASCOPE_PMESII!$B$3)+1)/(ASCOPE_PMESII!$B$3:$B$62="CR"),19)),""),IF(19&lt;=(COUNTIF(ASCOPE_PMESII!$B$3:$B$62,"CR")+COUNTIF(ASCOPE_PMESII!$D$3:$D$62,"CR")),IFERROR(INDEX(ASCOPE_PMESII!$E$3:$E$62,_xlfn.AGGREGATE(15,6,(ROW(ASCOPE_PMESII!$D$3:$D$62)-ROW(ASCOPE_PMESII!$D$3)+1)/(ASCOPE_PMESII!$D$3:$D$62="CR"),19-(COUNTIF(ASCOPE_PMESII!$B$3:$B$62,"CR")))),""),IF(19&lt;=(COUNTIF(ASCOPE_PMESII!$B$3:$B$62,"CR")+COUNTIF(ASCOPE_PMESII!$D$3:$D$62,"CR")+COUNTIF(ASCOPE_PMESII!$F$3:$F$62,"CR")),IFERROR(INDEX(ASCOPE_PMESII!$G$3:$G$62,_xlfn.AGGREGATE(15,6,(ROW(ASCOPE_PMESII!$F$3:$F$62)-ROW(ASCOPE_PMESII!$F$3)+1)/(ASCOPE_PMESII!$F$3:$F$62="CR"),19-(COUNTIF(ASCOPE_PMESII!$B$3:$B$62,"CR")+COUNTIF(ASCOPE_PMESII!$D$3:$D$62,"CR")))),""),IF(19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19-(COUNTIF(ASCOPE_PMESII!$B$3:$B$62,"CR")+COUNTIF(ASCOPE_PMESII!$D$3:$D$62,"CR")+COUNTIF(ASCOPE_PMESII!$F$3:$F$62,"CR")))),""),IF(19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19-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19-(COUNTIF(ASCOPE_PMESII!$B$3:$B$62,"CR")+COUNTIF(ASCOPE_PMESII!$D$3:$D$62,"CR")+COUNTIF(ASCOPE_PMESII!$F$3:$F$62,"CR")+COUNTIF(ASCOPE_PMESII!$H$3:$H$62,"CR")+COUNTIF(ASCOPE_PMESII!$J$3:$J$62,"CR")))),"")))))),"")</f>
        <v>Regional partners needed for access and legitimacy</v>
      </c>
      <c r="R22" s="94" t="str">
        <f t="array" ref="R22">IFERROR(IF(19&lt;=COUNTIF(ASCOPE_PMESII!$B$3:$B$62,"PCS"),IFERROR(INDEX(ASCOPE_PMESII!$C$3:$C$62,_xlfn.AGGREGATE(15,6,(ROW(ASCOPE_PMESII!$B$3:$B$62)-ROW(ASCOPE_PMESII!$B$3)+1)/(ASCOPE_PMESII!$B$3:$B$62="PCS"),19)),""),IF(19&lt;=(COUNTIF(ASCOPE_PMESII!$B$3:$B$62,"PCS")+COUNTIF(ASCOPE_PMESII!$D$3:$D$62,"PCS")),IFERROR(INDEX(ASCOPE_PMESII!$E$3:$E$62,_xlfn.AGGREGATE(15,6,(ROW(ASCOPE_PMESII!$D$3:$D$62)-ROW(ASCOPE_PMESII!$D$3)+1)/(ASCOPE_PMESII!$D$3:$D$62="PCS"),19-(COUNTIF(ASCOPE_PMESII!$B$3:$B$62,"PCS")))),""),IF(19&lt;=(COUNTIF(ASCOPE_PMESII!$B$3:$B$62,"PCS")+COUNTIF(ASCOPE_PMESII!$D$3:$D$62,"PCS")+COUNTIF(ASCOPE_PMESII!$F$3:$F$62,"PCS")),IFERROR(INDEX(ASCOPE_PMESII!$G$3:$G$62,_xlfn.AGGREGATE(15,6,(ROW(ASCOPE_PMESII!$F$3:$F$62)-ROW(ASCOPE_PMESII!$F$3)+1)/(ASCOPE_PMESII!$F$3:$F$62="PCS"),19-(COUNTIF(ASCOPE_PMESII!$B$3:$B$62,"PCS")+COUNTIF(ASCOPE_PMESII!$D$3:$D$62,"PCS")))),""),IF(19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19-(COUNTIF(ASCOPE_PMESII!$B$3:$B$62,"PCS")+COUNTIF(ASCOPE_PMESII!$D$3:$D$62,"PCS")+COUNTIF(ASCOPE_PMESII!$F$3:$F$62,"PCS")))),""),IF(19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19-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19-(COUNTIF(ASCOPE_PMESII!$B$3:$B$62,"PCS")+COUNTIF(ASCOPE_PMESII!$D$3:$D$62,"PCS")+COUNTIF(ASCOPE_PMESII!$F$3:$F$62,"PCS")+COUNTIF(ASCOPE_PMESII!$H$3:$H$62,"PCS")+COUNTIF(ASCOPE_PMESII!$J$3:$J$62,"PCS")))),"")))))),"")</f>
        <v/>
      </c>
    </row>
    <row r="23" spans="1:18" ht="34.5" customHeight="1">
      <c r="A23" s="22" t="str">
        <f t="array" ref="A23">IFERROR(IF(20&lt;=COUNTIF(ASCOPE_PMESII!$B$3:$B$62,"OE"),IFERROR(INDEX(ASCOPE_PMESII!$C$3:$C$62,_xlfn.AGGREGATE(15,6,(ROW(ASCOPE_PMESII!$B$3:$B$62)-ROW(ASCOPE_PMESII!$B$3)+1)/(ASCOPE_PMESII!$B$3:$B$62="OE"),20)),""),IF(20&lt;=(COUNTIF(ASCOPE_PMESII!$B$3:$B$62,"OE")+COUNTIF(ASCOPE_PMESII!$D$3:$D$62,"OE")),IFERROR(INDEX(ASCOPE_PMESII!$E$3:$E$62,_xlfn.AGGREGATE(15,6,(ROW(ASCOPE_PMESII!$D$3:$D$62)-ROW(ASCOPE_PMESII!$D$3)+1)/(ASCOPE_PMESII!$D$3:$D$62="OE"),20-(COUNTIF(ASCOPE_PMESII!$B$3:$B$62,"OE")))),""),IF(20&lt;=(COUNTIF(ASCOPE_PMESII!$B$3:$B$62,"OE")+COUNTIF(ASCOPE_PMESII!$D$3:$D$62,"OE")+COUNTIF(ASCOPE_PMESII!$F$3:$F$62,"OE")),IFERROR(INDEX(ASCOPE_PMESII!$G$3:$G$62,_xlfn.AGGREGATE(15,6,(ROW(ASCOPE_PMESII!$F$3:$F$62)-ROW(ASCOPE_PMESII!$F$3)+1)/(ASCOPE_PMESII!$F$3:$F$62="OE"),20-(COUNTIF(ASCOPE_PMESII!$B$3:$B$62,"OE")+COUNTIF(ASCOPE_PMESII!$D$3:$D$62,"OE")))),""),IF(20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20-(COUNTIF(ASCOPE_PMESII!$B$3:$B$62,"OE")+COUNTIF(ASCOPE_PMESII!$D$3:$D$62,"OE")+COUNTIF(ASCOPE_PMESII!$F$3:$F$62,"OE")))),""),IF(20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20-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20-(COUNTIF(ASCOPE_PMESII!$B$3:$B$62,"OE")+COUNTIF(ASCOPE_PMESII!$D$3:$D$62,"OE")+COUNTIF(ASCOPE_PMESII!$F$3:$F$62,"OE")+COUNTIF(ASCOPE_PMESII!$H$3:$H$62,"OE")+COUNTIF(ASCOPE_PMESII!$J$3:$J$62,"OE")))),"")))))),"")</f>
        <v/>
      </c>
      <c r="B23" s="22" t="str">
        <f t="array" ref="B23">IFERROR(IF(20&lt;=COUNTIF(ASCOPE_PMESII!$B$3:$B$62,"OA"),IFERROR(INDEX(ASCOPE_PMESII!$C$3:$C$62,_xlfn.AGGREGATE(15,6,(ROW(ASCOPE_PMESII!$B$3:$B$62)-ROW(ASCOPE_PMESII!$B$3)+1)/(ASCOPE_PMESII!$B$3:$B$62="OA"),20)),""),IF(20&lt;=(COUNTIF(ASCOPE_PMESII!$B$3:$B$62,"OA")+COUNTIF(ASCOPE_PMESII!$D$3:$D$62,"OA")),IFERROR(INDEX(ASCOPE_PMESII!$E$3:$E$62,_xlfn.AGGREGATE(15,6,(ROW(ASCOPE_PMESII!$D$3:$D$62)-ROW(ASCOPE_PMESII!$D$3)+1)/(ASCOPE_PMESII!$D$3:$D$62="OA"),20-(COUNTIF(ASCOPE_PMESII!$B$3:$B$62,"OA")))),""),IF(20&lt;=(COUNTIF(ASCOPE_PMESII!$B$3:$B$62,"OA")+COUNTIF(ASCOPE_PMESII!$D$3:$D$62,"OA")+COUNTIF(ASCOPE_PMESII!$F$3:$F$62,"OA")),IFERROR(INDEX(ASCOPE_PMESII!$G$3:$G$62,_xlfn.AGGREGATE(15,6,(ROW(ASCOPE_PMESII!$F$3:$F$62)-ROW(ASCOPE_PMESII!$F$3)+1)/(ASCOPE_PMESII!$F$3:$F$62="OA"),20-(COUNTIF(ASCOPE_PMESII!$B$3:$B$62,"OA")+COUNTIF(ASCOPE_PMESII!$D$3:$D$62,"OA")))),""),IF(20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20-(COUNTIF(ASCOPE_PMESII!$B$3:$B$62,"OA")+COUNTIF(ASCOPE_PMESII!$D$3:$D$62,"OA")+COUNTIF(ASCOPE_PMESII!$F$3:$F$62,"OA")))),""),IF(20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20-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20-(COUNTIF(ASCOPE_PMESII!$B$3:$B$62,"OA")+COUNTIF(ASCOPE_PMESII!$D$3:$D$62,"OA")+COUNTIF(ASCOPE_PMESII!$F$3:$F$62,"OA")+COUNTIF(ASCOPE_PMESII!$H$3:$H$62,"OA")+COUNTIF(ASCOPE_PMESII!$J$3:$J$62,"OA")))),"")))))),"")</f>
        <v/>
      </c>
      <c r="C23" s="22" t="str">
        <f t="array" ref="C23">IFERROR(IF(20&lt;=COUNTIF(ASCOPE_PMESII!$B$3:$B$62,"RISK"),IFERROR(INDEX(ASCOPE_PMESII!$C$3:$C$62,_xlfn.AGGREGATE(15,6,(ROW(ASCOPE_PMESII!$B$3:$B$62)-ROW(ASCOPE_PMESII!$B$3)+1)/(ASCOPE_PMESII!$B$3:$B$62="RISK"),20)),""),IF(20&lt;=(COUNTIF(ASCOPE_PMESII!$B$3:$B$62,"RISK")+COUNTIF(ASCOPE_PMESII!$D$3:$D$62,"RISK")),IFERROR(INDEX(ASCOPE_PMESII!$E$3:$E$62,_xlfn.AGGREGATE(15,6,(ROW(ASCOPE_PMESII!$D$3:$D$62)-ROW(ASCOPE_PMESII!$D$3)+1)/(ASCOPE_PMESII!$D$3:$D$62="RISK"),20-(COUNTIF(ASCOPE_PMESII!$B$3:$B$62,"RISK")))),""),IF(20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20-(COUNTIF(ASCOPE_PMESII!$B$3:$B$62,"RISK")+COUNTIF(ASCOPE_PMESII!$D$3:$D$62,"RISK")))),""),IF(20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20-(COUNTIF(ASCOPE_PMESII!$B$3:$B$62,"RISK")+COUNTIF(ASCOPE_PMESII!$D$3:$D$62,"RISK")+COUNTIF(ASCOPE_PMESII!$F$3:$F$62,"RISK")))),""),IF(20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20-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20-(COUNTIF(ASCOPE_PMESII!$B$3:$B$62,"RISK")+COUNTIF(ASCOPE_PMESII!$D$3:$D$62,"RISK")+COUNTIF(ASCOPE_PMESII!$F$3:$F$62,"RISK")+COUNTIF(ASCOPE_PMESII!$H$3:$H$62,"RISK")+COUNTIF(ASCOPE_PMESII!$J$3:$J$62,"RISK")))),"")))))),"")</f>
        <v>Decapitation without succession analysis may backfire</v>
      </c>
      <c r="D23" s="22" t="str">
        <f t="array" ref="D23">IFERROR(IF(20&lt;=COUNTIF(ASCOPE_PMESII!$B$3:$B$62,"CV"),IFERROR(INDEX(ASCOPE_PMESII!$C$3:$C$62,_xlfn.AGGREGATE(15,6,(ROW(ASCOPE_PMESII!$B$3:$B$62)-ROW(ASCOPE_PMESII!$B$3)+1)/(ASCOPE_PMESII!$B$3:$B$62="CV"),20)),""),IF(20&lt;=(COUNTIF(ASCOPE_PMESII!$B$3:$B$62,"CV")+COUNTIF(ASCOPE_PMESII!$D$3:$D$62,"CV")),IFERROR(INDEX(ASCOPE_PMESII!$E$3:$E$62,_xlfn.AGGREGATE(15,6,(ROW(ASCOPE_PMESII!$D$3:$D$62)-ROW(ASCOPE_PMESII!$D$3)+1)/(ASCOPE_PMESII!$D$3:$D$62="CV"),20-(COUNTIF(ASCOPE_PMESII!$B$3:$B$62,"CV")))),""),IF(20&lt;=(COUNTIF(ASCOPE_PMESII!$B$3:$B$62,"CV")+COUNTIF(ASCOPE_PMESII!$D$3:$D$62,"CV")+COUNTIF(ASCOPE_PMESII!$F$3:$F$62,"CV")),IFERROR(INDEX(ASCOPE_PMESII!$G$3:$G$62,_xlfn.AGGREGATE(15,6,(ROW(ASCOPE_PMESII!$F$3:$F$62)-ROW(ASCOPE_PMESII!$F$3)+1)/(ASCOPE_PMESII!$F$3:$F$62="CV"),20-(COUNTIF(ASCOPE_PMESII!$B$3:$B$62,"CV")+COUNTIF(ASCOPE_PMESII!$D$3:$D$62,"CV")))),""),IF(20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20-(COUNTIF(ASCOPE_PMESII!$B$3:$B$62,"CV")+COUNTIF(ASCOPE_PMESII!$D$3:$D$62,"CV")+COUNTIF(ASCOPE_PMESII!$F$3:$F$62,"CV")))),""),IF(20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20-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20-(COUNTIF(ASCOPE_PMESII!$B$3:$B$62,"CV")+COUNTIF(ASCOPE_PMESII!$D$3:$D$62,"CV")+COUNTIF(ASCOPE_PMESII!$F$3:$F$62,"CV")+COUNTIF(ASCOPE_PMESII!$H$3:$H$62,"CV")+COUNTIF(ASCOPE_PMESII!$J$3:$J$62,"CV")))),"")))))),"")</f>
        <v>Weak GoIND capacity invites NATO substitution</v>
      </c>
      <c r="E23" s="22" t="str">
        <f t="array" ref="E23">IFERROR(IF(20&lt;=COUNTIF(ASCOPE_PMESII!$B$3:$B$62,"COR"),IFERROR(INDEX(ASCOPE_PMESII!$C$3:$C$62,_xlfn.AGGREGATE(15,6,(ROW(ASCOPE_PMESII!$B$3:$B$62)-ROW(ASCOPE_PMESII!$B$3)+1)/(ASCOPE_PMESII!$B$3:$B$62="COR"),20)),""),IF(20&lt;=(COUNTIF(ASCOPE_PMESII!$B$3:$B$62,"COR")+COUNTIF(ASCOPE_PMESII!$D$3:$D$62,"COR")),IFERROR(INDEX(ASCOPE_PMESII!$E$3:$E$62,_xlfn.AGGREGATE(15,6,(ROW(ASCOPE_PMESII!$D$3:$D$62)-ROW(ASCOPE_PMESII!$D$3)+1)/(ASCOPE_PMESII!$D$3:$D$62="COR"),20-(COUNTIF(ASCOPE_PMESII!$B$3:$B$62,"COR")))),""),IF(20&lt;=(COUNTIF(ASCOPE_PMESII!$B$3:$B$62,"COR")+COUNTIF(ASCOPE_PMESII!$D$3:$D$62,"COR")+COUNTIF(ASCOPE_PMESII!$F$3:$F$62,"COR")),IFERROR(INDEX(ASCOPE_PMESII!$G$3:$G$62,_xlfn.AGGREGATE(15,6,(ROW(ASCOPE_PMESII!$F$3:$F$62)-ROW(ASCOPE_PMESII!$F$3)+1)/(ASCOPE_PMESII!$F$3:$F$62="COR"),20-(COUNTIF(ASCOPE_PMESII!$B$3:$B$62,"COR")+COUNTIF(ASCOPE_PMESII!$D$3:$D$62,"COR")))),""),IF(20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20-(COUNTIF(ASCOPE_PMESII!$B$3:$B$62,"COR")+COUNTIF(ASCOPE_PMESII!$D$3:$D$62,"COR")+COUNTIF(ASCOPE_PMESII!$F$3:$F$62,"COR")))),""),IF(20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20-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20-(COUNTIF(ASCOPE_PMESII!$B$3:$B$62,"COR")+COUNTIF(ASCOPE_PMESII!$D$3:$D$62,"COR")+COUNTIF(ASCOPE_PMESII!$F$3:$F$62,"COR")+COUNTIF(ASCOPE_PMESII!$H$3:$H$62,"COR")+COUNTIF(ASCOPE_PMESII!$J$3:$J$62,"COR")))),"")))))),"")</f>
        <v>Separate commanders from Hasan's authority</v>
      </c>
      <c r="F23" s="22" t="str">
        <f t="array" ref="F23">IFERROR(IF(20&lt;=COUNTIF(ASCOPE_PMESII!$B$3:$B$62,"REQT"),IFERROR(INDEX(ASCOPE_PMESII!$C$3:$C$62,_xlfn.AGGREGATE(15,6,(ROW(ASCOPE_PMESII!$B$3:$B$62)-ROW(ASCOPE_PMESII!$B$3)+1)/(ASCOPE_PMESII!$B$3:$B$62="REQT"),20)),""),IF(20&lt;=(COUNTIF(ASCOPE_PMESII!$B$3:$B$62,"REQT")+COUNTIF(ASCOPE_PMESII!$D$3:$D$62,"REQT")),IFERROR(INDEX(ASCOPE_PMESII!$E$3:$E$62,_xlfn.AGGREGATE(15,6,(ROW(ASCOPE_PMESII!$D$3:$D$62)-ROW(ASCOPE_PMESII!$D$3)+1)/(ASCOPE_PMESII!$D$3:$D$62="REQT"),20-(COUNTIF(ASCOPE_PMESII!$B$3:$B$62,"REQT")))),""),IF(20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20-(COUNTIF(ASCOPE_PMESII!$B$3:$B$62,"REQT")+COUNTIF(ASCOPE_PMESII!$D$3:$D$62,"REQT")))),""),IF(20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20-(COUNTIF(ASCOPE_PMESII!$B$3:$B$62,"REQT")+COUNTIF(ASCOPE_PMESII!$D$3:$D$62,"REQT")+COUNTIF(ASCOPE_PMESII!$F$3:$F$62,"REQT")))),""),IF(20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20-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20-(COUNTIF(ASCOPE_PMESII!$B$3:$B$62,"REQT")+COUNTIF(ASCOPE_PMESII!$D$3:$D$62,"REQT")+COUNTIF(ASCOPE_PMESII!$F$3:$F$62,"REQT")+COUNTIF(ASCOPE_PMESII!$H$3:$H$62,"REQT")+COUNTIF(ASCOPE_PMESII!$J$3:$J$62,"REQT")))),"")))))),"")</f>
        <v/>
      </c>
      <c r="G23" s="22" t="str">
        <f t="array" ref="G23">IFERROR(IF(20&lt;=COUNTIF(ASCOPE_PMESII!$B$3:$B$62,"REST"),IFERROR(INDEX(ASCOPE_PMESII!$C$3:$C$62,_xlfn.AGGREGATE(15,6,(ROW(ASCOPE_PMESII!$B$3:$B$62)-ROW(ASCOPE_PMESII!$B$3)+1)/(ASCOPE_PMESII!$B$3:$B$62="REST"),20)),""),IF(20&lt;=(COUNTIF(ASCOPE_PMESII!$B$3:$B$62,"REST")+COUNTIF(ASCOPE_PMESII!$D$3:$D$62,"REST")),IFERROR(INDEX(ASCOPE_PMESII!$E$3:$E$62,_xlfn.AGGREGATE(15,6,(ROW(ASCOPE_PMESII!$D$3:$D$62)-ROW(ASCOPE_PMESII!$D$3)+1)/(ASCOPE_PMESII!$D$3:$D$62="REST"),20-(COUNTIF(ASCOPE_PMESII!$B$3:$B$62,"REST")))),""),IF(20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20-(COUNTIF(ASCOPE_PMESII!$B$3:$B$62,"REST")+COUNTIF(ASCOPE_PMESII!$D$3:$D$62,"REST")))),""),IF(20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20-(COUNTIF(ASCOPE_PMESII!$B$3:$B$62,"REST")+COUNTIF(ASCOPE_PMESII!$D$3:$D$62,"REST")+COUNTIF(ASCOPE_PMESII!$F$3:$F$62,"REST")))),""),IF(20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20-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20-(COUNTIF(ASCOPE_PMESII!$B$3:$B$62,"REST")+COUNTIF(ASCOPE_PMESII!$D$3:$D$62,"REST")+COUNTIF(ASCOPE_PMESII!$F$3:$F$62,"REST")+COUNTIF(ASCOPE_PMESII!$H$3:$H$62,"REST")+COUNTIF(ASCOPE_PMESII!$J$3:$J$62,"REST")))),"")))))),"")</f>
        <v/>
      </c>
      <c r="H23" s="22" t="str">
        <f t="array" ref="H23">IFERROR(IF(20&lt;=COUNTIF(ASCOPE_PMESII!$B$3:$B$62,"KCD-MUST"),IFERROR(INDEX(ASCOPE_PMESII!$C$3:$C$62,_xlfn.AGGREGATE(15,6,(ROW(ASCOPE_PMESII!$B$3:$B$62)-ROW(ASCOPE_PMESII!$B$3)+1)/(ASCOPE_PMESII!$B$3:$B$62="KCD-MUST"),20)),""),IF(20&lt;=(COUNTIF(ASCOPE_PMESII!$B$3:$B$62,"KCD-MUST")+COUNTIF(ASCOPE_PMESII!$D$3:$D$62,"KCD-MUST")),IFERROR(INDEX(ASCOPE_PMESII!$E$3:$E$62,_xlfn.AGGREGATE(15,6,(ROW(ASCOPE_PMESII!$D$3:$D$62)-ROW(ASCOPE_PMESII!$D$3)+1)/(ASCOPE_PMESII!$D$3:$D$62="KCD-MUST"),20-(COUNTIF(ASCOPE_PMESII!$B$3:$B$62,"KCD-MUST")))),""),IF(20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20-(COUNTIF(ASCOPE_PMESII!$B$3:$B$62,"KCD-MUST")+COUNTIF(ASCOPE_PMESII!$D$3:$D$62,"KCD-MUST")))),""),IF(20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20-(COUNTIF(ASCOPE_PMESII!$B$3:$B$62,"KCD-MUST")+COUNTIF(ASCOPE_PMESII!$D$3:$D$62,"KCD-MUST")+COUNTIF(ASCOPE_PMESII!$F$3:$F$62,"KCD-MUST")))),""),IF(20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20-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20-(COUNTIF(ASCOPE_PMESII!$B$3:$B$62,"KCD-MUST")+COUNTIF(ASCOPE_PMESII!$D$3:$D$62,"KCD-MUST")+COUNTIF(ASCOPE_PMESII!$F$3:$F$62,"KCD-MUST")+COUNTIF(ASCOPE_PMESII!$H$3:$H$62,"KCD-MUST")+COUNTIF(ASCOPE_PMESII!$J$3:$J$62,"KCD-MUST")))),"")))))),"")</f>
        <v>Exploit leadership fractures before decisive engagement</v>
      </c>
      <c r="I23" s="22" t="str">
        <f t="array" ref="I23">IFERROR(IF(20&lt;=COUNTIF(ASCOPE_PMESII!$B$3:$B$62,"KCD-SHOULD"),IFERROR(INDEX(ASCOPE_PMESII!$C$3:$C$62,_xlfn.AGGREGATE(15,6,(ROW(ASCOPE_PMESII!$B$3:$B$62)-ROW(ASCOPE_PMESII!$B$3)+1)/(ASCOPE_PMESII!$B$3:$B$62="KCD-SHOULD"),20)),""),IF(20&lt;=(COUNTIF(ASCOPE_PMESII!$B$3:$B$62,"KCD-SHOULD")+COUNTIF(ASCOPE_PMESII!$D$3:$D$62,"KCD-SHOULD")),IFERROR(INDEX(ASCOPE_PMESII!$E$3:$E$62,_xlfn.AGGREGATE(15,6,(ROW(ASCOPE_PMESII!$D$3:$D$62)-ROW(ASCOPE_PMESII!$D$3)+1)/(ASCOPE_PMESII!$D$3:$D$62="KCD-SHOULD"),20-(COUNTIF(ASCOPE_PMESII!$B$3:$B$62,"KCD-SHOULD")))),""),IF(20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20-(COUNTIF(ASCOPE_PMESII!$B$3:$B$62,"KCD-SHOULD")+COUNTIF(ASCOPE_PMESII!$D$3:$D$62,"KCD-SHOULD")))),""),IF(20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20-(COUNTIF(ASCOPE_PMESII!$B$3:$B$62,"KCD-SHOULD")+COUNTIF(ASCOPE_PMESII!$D$3:$D$62,"KCD-SHOULD")+COUNTIF(ASCOPE_PMESII!$F$3:$F$62,"KCD-SHOULD")))),""),IF(20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20-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20-(COUNTIF(ASCOPE_PMESII!$B$3:$B$62,"KCD-SHOULD")+COUNTIF(ASCOPE_PMESII!$D$3:$D$62,"KCD-SHOULD")+COUNTIF(ASCOPE_PMESII!$F$3:$F$62,"KCD-SHOULD")+COUNTIF(ASCOPE_PMESII!$H$3:$H$62,"KCD-SHOULD")+COUNTIF(ASCOPE_PMESII!$J$3:$J$62,"KCD-SHOULD")))),"")))))),"")</f>
        <v>Protect defections and surrender channels</v>
      </c>
      <c r="J23" s="22" t="str">
        <f t="array" ref="J23">IFERROR(IF(20&lt;=COUNTIF(ASCOPE_PMESII!$B$3:$B$62,"KCD-SHOULD NOT"),IFERROR(INDEX(ASCOPE_PMESII!$C$3:$C$62,_xlfn.AGGREGATE(15,6,(ROW(ASCOPE_PMESII!$B$3:$B$62)-ROW(ASCOPE_PMESII!$B$3)+1)/(ASCOPE_PMESII!$B$3:$B$62="KCD-SHOULD NOT"),20)),""),IF(20&lt;=(COUNTIF(ASCOPE_PMESII!$B$3:$B$62,"KCD-SHOULD NOT")+COUNTIF(ASCOPE_PMESII!$D$3:$D$62,"KCD-SHOULD NOT")),IFERROR(INDEX(ASCOPE_PMESII!$E$3:$E$62,_xlfn.AGGREGATE(15,6,(ROW(ASCOPE_PMESII!$D$3:$D$62)-ROW(ASCOPE_PMESII!$D$3)+1)/(ASCOPE_PMESII!$D$3:$D$62="KCD-SHOULD NOT"),20-(COUNTIF(ASCOPE_PMESII!$B$3:$B$62,"KCD-SHOULD NOT")))),""),IF(20&lt;=(COUNTIF(ASCOPE_PMESII!$B$3:$B$62,"KCD-SHOULD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NOT"),20-(COUNTIF(ASCOPE_PMESII!$B$3:$B$62,"KCD-SHOULD NOT")+COUNTIF(ASCOPE_PMESII!$D$3:$D$62,"KCD-SHOULD NOT")))),""),IF(20&lt;=(COUNTIF(ASCOPE_PMESII!$B$3:$B$62,"KCD-SHOULD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NOT"),20-(COUNTIF(ASCOPE_PMESII!$B$3:$B$62,"KCD-SHOULD NOT")+COUNTIF(ASCOPE_PMESII!$D$3:$D$62,"KCD-SHOULD NOT")+COUNTIF(ASCOPE_PMESII!$F$3:$F$62,"KCD-SHOULD NOT")))),""),IF(20&lt;=(COUNTIF(ASCOPE_PMESII!$B$3:$B$62,"KCD-SHOULD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NOT"),20-(COUNTIF(ASCOPE_PMESII!$B$3:$B$62,"KCD-SHOULD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NOT"),20-(COUNTIF(ASCOPE_PMESII!$B$3:$B$62,"KCD-SHOULD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23" s="22" t="str">
        <f t="array" ref="K23">IFERROR(IF(20&lt;=COUNTIF(ASCOPE_PMESII!$B$3:$B$62,"KCD-CANNOT"),IFERROR(INDEX(ASCOPE_PMESII!$C$3:$C$62,_xlfn.AGGREGATE(15,6,(ROW(ASCOPE_PMESII!$B$3:$B$62)-ROW(ASCOPE_PMESII!$B$3)+1)/(ASCOPE_PMESII!$B$3:$B$62="KCD-CANNOT"),20)),""),IF(20&lt;=(COUNTIF(ASCOPE_PMESII!$B$3:$B$62,"KCD-CANNOT")+COUNTIF(ASCOPE_PMESII!$D$3:$D$62,"KCD-CANNOT")),IFERROR(INDEX(ASCOPE_PMESII!$E$3:$E$62,_xlfn.AGGREGATE(15,6,(ROW(ASCOPE_PMESII!$D$3:$D$62)-ROW(ASCOPE_PMESII!$D$3)+1)/(ASCOPE_PMESII!$D$3:$D$62="KCD-CANNOT"),20-(COUNTIF(ASCOPE_PMESII!$B$3:$B$62,"KCD-CANNOT")))),""),IF(20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20-(COUNTIF(ASCOPE_PMESII!$B$3:$B$62,"KCD-CANNOT")+COUNTIF(ASCOPE_PMESII!$D$3:$D$62,"KCD-CANNOT")))),""),IF(20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20-(COUNTIF(ASCOPE_PMESII!$B$3:$B$62,"KCD-CANNOT")+COUNTIF(ASCOPE_PMESII!$D$3:$D$62,"KCD-CANNOT")+COUNTIF(ASCOPE_PMESII!$F$3:$F$62,"KCD-CANNOT")))),""),IF(20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20-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20-(COUNTIF(ASCOPE_PMESII!$B$3:$B$62,"KCD-CANNOT")+COUNTIF(ASCOPE_PMESII!$D$3:$D$62,"KCD-CANNOT")+COUNTIF(ASCOPE_PMESII!$F$3:$F$62,"KCD-CANNOT")+COUNTIF(ASCOPE_PMESII!$H$3:$H$62,"KCD-CANNOT")+COUNTIF(ASCOPE_PMESII!$J$3:$J$62,"KCD-CANNOT")))),"")))))),"")</f>
        <v>Cannot assume KODAM 1 collapses uniformly</v>
      </c>
      <c r="L23" s="22" t="str">
        <f t="array" ref="L23">IFERROR(IF(20&lt;=COUNTIF(ASCOPE_PMESII!$B$3:$B$62,"DECISION"),IFERROR(INDEX(ASCOPE_PMESII!$C$3:$C$62,_xlfn.AGGREGATE(15,6,(ROW(ASCOPE_PMESII!$B$3:$B$62)-ROW(ASCOPE_PMESII!$B$3)+1)/(ASCOPE_PMESII!$B$3:$B$62="DECISION"),20)),""),IF(20&lt;=(COUNTIF(ASCOPE_PMESII!$B$3:$B$62,"DECISION")+COUNTIF(ASCOPE_PMESII!$D$3:$D$62,"DECISION")),IFERROR(INDEX(ASCOPE_PMESII!$E$3:$E$62,_xlfn.AGGREGATE(15,6,(ROW(ASCOPE_PMESII!$D$3:$D$62)-ROW(ASCOPE_PMESII!$D$3)+1)/(ASCOPE_PMESII!$D$3:$D$62="DECISION"),20-(COUNTIF(ASCOPE_PMESII!$B$3:$B$62,"DECISION")))),""),IF(20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20-(COUNTIF(ASCOPE_PMESII!$B$3:$B$62,"DECISION")+COUNTIF(ASCOPE_PMESII!$D$3:$D$62,"DECISION")))),""),IF(20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20-(COUNTIF(ASCOPE_PMESII!$B$3:$B$62,"DECISION")+COUNTIF(ASCOPE_PMESII!$D$3:$D$62,"DECISION")+COUNTIF(ASCOPE_PMESII!$F$3:$F$62,"DECISION")))),""),IF(20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20-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20-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23" s="22" t="str">
        <f t="array" ref="M23">IFERROR(IF(20&lt;=COUNTIF(ASCOPE_PMESII!$B$3:$B$62,"ASSUMPTION"),IFERROR(INDEX(ASCOPE_PMESII!$C$3:$C$62,_xlfn.AGGREGATE(15,6,(ROW(ASCOPE_PMESII!$B$3:$B$62)-ROW(ASCOPE_PMESII!$B$3)+1)/(ASCOPE_PMESII!$B$3:$B$62="ASSUMPTION"),20)),""),IF(20&lt;=(COUNTIF(ASCOPE_PMESII!$B$3:$B$62,"ASSUMPTION")+COUNTIF(ASCOPE_PMESII!$D$3:$D$62,"ASSUMPTION")),IFERROR(INDEX(ASCOPE_PMESII!$E$3:$E$62,_xlfn.AGGREGATE(15,6,(ROW(ASCOPE_PMESII!$D$3:$D$62)-ROW(ASCOPE_PMESII!$D$3)+1)/(ASCOPE_PMESII!$D$3:$D$62="ASSUMPTION"),20-(COUNTIF(ASCOPE_PMESII!$B$3:$B$62,"ASSUMPTION")))),""),IF(20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20-(COUNTIF(ASCOPE_PMESII!$B$3:$B$62,"ASSUMPTION")+COUNTIF(ASCOPE_PMESII!$D$3:$D$62,"ASSUMPTION")))),""),IF(20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20-(COUNTIF(ASCOPE_PMESII!$B$3:$B$62,"ASSUMPTION")+COUNTIF(ASCOPE_PMESII!$D$3:$D$62,"ASSUMPTION")+COUNTIF(ASCOPE_PMESII!$F$3:$F$62,"ASSUMPTION")))),""),IF(20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20-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20-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23" s="22" t="str">
        <f t="array" ref="N23">IFERROR(IF(20&lt;=COUNTIF(ASCOPE_PMESII!$B$3:$B$62,"CONSTRAINT"),IFERROR(INDEX(ASCOPE_PMESII!$C$3:$C$62,_xlfn.AGGREGATE(15,6,(ROW(ASCOPE_PMESII!$B$3:$B$62)-ROW(ASCOPE_PMESII!$B$3)+1)/(ASCOPE_PMESII!$B$3:$B$62="CONSTRAINT"),20)),""),IF(20&lt;=(COUNTIF(ASCOPE_PMESII!$B$3:$B$62,"CONSTRAINT")+COUNTIF(ASCOPE_PMESII!$D$3:$D$62,"CONSTRAINT")),IFERROR(INDEX(ASCOPE_PMESII!$E$3:$E$62,_xlfn.AGGREGATE(15,6,(ROW(ASCOPE_PMESII!$D$3:$D$62)-ROW(ASCOPE_PMESII!$D$3)+1)/(ASCOPE_PMESII!$D$3:$D$62="CONSTRAINT"),20-(COUNTIF(ASCOPE_PMESII!$B$3:$B$62,"CONSTRAINT")))),""),IF(20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20-(COUNTIF(ASCOPE_PMESII!$B$3:$B$62,"CONSTRAINT")+COUNTIF(ASCOPE_PMESII!$D$3:$D$62,"CONSTRAINT")))),""),IF(20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20-(COUNTIF(ASCOPE_PMESII!$B$3:$B$62,"CONSTRAINT")+COUNTIF(ASCOPE_PMESII!$D$3:$D$62,"CONSTRAINT")+COUNTIF(ASCOPE_PMESII!$F$3:$F$62,"CONSTRAINT")))),""),IF(20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20-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20-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23" s="22" t="str">
        <f t="array" ref="O23">IFERROR(IF(20&lt;=COUNTIF(ASCOPE_PMESII!$B$3:$B$62,"LIMITATION"),IFERROR(INDEX(ASCOPE_PMESII!$C$3:$C$62,_xlfn.AGGREGATE(15,6,(ROW(ASCOPE_PMESII!$B$3:$B$62)-ROW(ASCOPE_PMESII!$B$3)+1)/(ASCOPE_PMESII!$B$3:$B$62="LIMITATION"),20)),""),IF(20&lt;=(COUNTIF(ASCOPE_PMESII!$B$3:$B$62,"LIMITATION")+COUNTIF(ASCOPE_PMESII!$D$3:$D$62,"LIMITATION")),IFERROR(INDEX(ASCOPE_PMESII!$E$3:$E$62,_xlfn.AGGREGATE(15,6,(ROW(ASCOPE_PMESII!$D$3:$D$62)-ROW(ASCOPE_PMESII!$D$3)+1)/(ASCOPE_PMESII!$D$3:$D$62="LIMITATION"),20-(COUNTIF(ASCOPE_PMESII!$B$3:$B$62,"LIMITATION")))),""),IF(20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20-(COUNTIF(ASCOPE_PMESII!$B$3:$B$62,"LIMITATION")+COUNTIF(ASCOPE_PMESII!$D$3:$D$62,"LIMITATION")))),""),IF(20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20-(COUNTIF(ASCOPE_PMESII!$B$3:$B$62,"LIMITATION")+COUNTIF(ASCOPE_PMESII!$D$3:$D$62,"LIMITATION")+COUNTIF(ASCOPE_PMESII!$F$3:$F$62,"LIMITATION")))),""),IF(20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20-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20-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23" s="22" t="str">
        <f t="array" ref="P23">IFERROR(IF(20&lt;=COUNTIF(ASCOPE_PMESII!$B$3:$B$62,"CC"),IFERROR(INDEX(ASCOPE_PMESII!$C$3:$C$62,_xlfn.AGGREGATE(15,6,(ROW(ASCOPE_PMESII!$B$3:$B$62)-ROW(ASCOPE_PMESII!$B$3)+1)/(ASCOPE_PMESII!$B$3:$B$62="CC"),20)),""),IF(20&lt;=(COUNTIF(ASCOPE_PMESII!$B$3:$B$62,"CC")+COUNTIF(ASCOPE_PMESII!$D$3:$D$62,"CC")),IFERROR(INDEX(ASCOPE_PMESII!$E$3:$E$62,_xlfn.AGGREGATE(15,6,(ROW(ASCOPE_PMESII!$D$3:$D$62)-ROW(ASCOPE_PMESII!$D$3)+1)/(ASCOPE_PMESII!$D$3:$D$62="CC"),20-(COUNTIF(ASCOPE_PMESII!$B$3:$B$62,"CC")))),""),IF(20&lt;=(COUNTIF(ASCOPE_PMESII!$B$3:$B$62,"CC")+COUNTIF(ASCOPE_PMESII!$D$3:$D$62,"CC")+COUNTIF(ASCOPE_PMESII!$F$3:$F$62,"CC")),IFERROR(INDEX(ASCOPE_PMESII!$G$3:$G$62,_xlfn.AGGREGATE(15,6,(ROW(ASCOPE_PMESII!$F$3:$F$62)-ROW(ASCOPE_PMESII!$F$3)+1)/(ASCOPE_PMESII!$F$3:$F$62="CC"),20-(COUNTIF(ASCOPE_PMESII!$B$3:$B$62,"CC")+COUNTIF(ASCOPE_PMESII!$D$3:$D$62,"CC")))),""),IF(20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20-(COUNTIF(ASCOPE_PMESII!$B$3:$B$62,"CC")+COUNTIF(ASCOPE_PMESII!$D$3:$D$62,"CC")+COUNTIF(ASCOPE_PMESII!$F$3:$F$62,"CC")))),""),IF(20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20-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20-(COUNTIF(ASCOPE_PMESII!$B$3:$B$62,"CC")+COUNTIF(ASCOPE_PMESII!$D$3:$D$62,"CC")+COUNTIF(ASCOPE_PMESII!$F$3:$F$62,"CC")+COUNTIF(ASCOPE_PMESII!$H$3:$H$62,"CC")+COUNTIF(ASCOPE_PMESII!$J$3:$J$62,"CC")))),"")))))),"")</f>
        <v>IRS fields 78k troops, subs, mines, SAMs, CDCMs</v>
      </c>
      <c r="Q23" s="22" t="str">
        <f t="array" ref="Q23">IFERROR(IF(20&lt;=COUNTIF(ASCOPE_PMESII!$B$3:$B$62,"CR"),IFERROR(INDEX(ASCOPE_PMESII!$C$3:$C$62,_xlfn.AGGREGATE(15,6,(ROW(ASCOPE_PMESII!$B$3:$B$62)-ROW(ASCOPE_PMESII!$B$3)+1)/(ASCOPE_PMESII!$B$3:$B$62="CR"),20)),""),IF(20&lt;=(COUNTIF(ASCOPE_PMESII!$B$3:$B$62,"CR")+COUNTIF(ASCOPE_PMESII!$D$3:$D$62,"CR")),IFERROR(INDEX(ASCOPE_PMESII!$E$3:$E$62,_xlfn.AGGREGATE(15,6,(ROW(ASCOPE_PMESII!$D$3:$D$62)-ROW(ASCOPE_PMESII!$D$3)+1)/(ASCOPE_PMESII!$D$3:$D$62="CR"),20-(COUNTIF(ASCOPE_PMESII!$B$3:$B$62,"CR")))),""),IF(20&lt;=(COUNTIF(ASCOPE_PMESII!$B$3:$B$62,"CR")+COUNTIF(ASCOPE_PMESII!$D$3:$D$62,"CR")+COUNTIF(ASCOPE_PMESII!$F$3:$F$62,"CR")),IFERROR(INDEX(ASCOPE_PMESII!$G$3:$G$62,_xlfn.AGGREGATE(15,6,(ROW(ASCOPE_PMESII!$F$3:$F$62)-ROW(ASCOPE_PMESII!$F$3)+1)/(ASCOPE_PMESII!$F$3:$F$62="CR"),20-(COUNTIF(ASCOPE_PMESII!$B$3:$B$62,"CR")+COUNTIF(ASCOPE_PMESII!$D$3:$D$62,"CR")))),""),IF(20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20-(COUNTIF(ASCOPE_PMESII!$B$3:$B$62,"CR")+COUNTIF(ASCOPE_PMESII!$D$3:$D$62,"CR")+COUNTIF(ASCOPE_PMESII!$F$3:$F$62,"CR")))),""),IF(20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20-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20-(COUNTIF(ASCOPE_PMESII!$B$3:$B$62,"CR")+COUNTIF(ASCOPE_PMESII!$D$3:$D$62,"CR")+COUNTIF(ASCOPE_PMESII!$F$3:$F$62,"CR")+COUNTIF(ASCOPE_PMESII!$H$3:$H$62,"CR")+COUNTIF(ASCOPE_PMESII!$J$3:$J$62,"CR")))),"")))))),"")</f>
        <v>J2/J3 targeting must map command relationships</v>
      </c>
      <c r="R23" s="95" t="str">
        <f t="array" ref="R23">IFERROR(IF(20&lt;=COUNTIF(ASCOPE_PMESII!$B$3:$B$62,"PCS"),IFERROR(INDEX(ASCOPE_PMESII!$C$3:$C$62,_xlfn.AGGREGATE(15,6,(ROW(ASCOPE_PMESII!$B$3:$B$62)-ROW(ASCOPE_PMESII!$B$3)+1)/(ASCOPE_PMESII!$B$3:$B$62="PCS"),20)),""),IF(20&lt;=(COUNTIF(ASCOPE_PMESII!$B$3:$B$62,"PCS")+COUNTIF(ASCOPE_PMESII!$D$3:$D$62,"PCS")),IFERROR(INDEX(ASCOPE_PMESII!$E$3:$E$62,_xlfn.AGGREGATE(15,6,(ROW(ASCOPE_PMESII!$D$3:$D$62)-ROW(ASCOPE_PMESII!$D$3)+1)/(ASCOPE_PMESII!$D$3:$D$62="PCS"),20-(COUNTIF(ASCOPE_PMESII!$B$3:$B$62,"PCS")))),""),IF(20&lt;=(COUNTIF(ASCOPE_PMESII!$B$3:$B$62,"PCS")+COUNTIF(ASCOPE_PMESII!$D$3:$D$62,"PCS")+COUNTIF(ASCOPE_PMESII!$F$3:$F$62,"PCS")),IFERROR(INDEX(ASCOPE_PMESII!$G$3:$G$62,_xlfn.AGGREGATE(15,6,(ROW(ASCOPE_PMESII!$F$3:$F$62)-ROW(ASCOPE_PMESII!$F$3)+1)/(ASCOPE_PMESII!$F$3:$F$62="PCS"),20-(COUNTIF(ASCOPE_PMESII!$B$3:$B$62,"PCS")+COUNTIF(ASCOPE_PMESII!$D$3:$D$62,"PCS")))),""),IF(20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20-(COUNTIF(ASCOPE_PMESII!$B$3:$B$62,"PCS")+COUNTIF(ASCOPE_PMESII!$D$3:$D$62,"PCS")+COUNTIF(ASCOPE_PMESII!$F$3:$F$62,"PCS")))),""),IF(20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20-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20-(COUNTIF(ASCOPE_PMESII!$B$3:$B$62,"PCS")+COUNTIF(ASCOPE_PMESII!$D$3:$D$62,"PCS")+COUNTIF(ASCOPE_PMESII!$F$3:$F$62,"PCS")+COUNTIF(ASCOPE_PMESII!$H$3:$H$62,"PCS")+COUNTIF(ASCOPE_PMESII!$J$3:$J$62,"PCS")))),"")))))),"")</f>
        <v/>
      </c>
    </row>
    <row r="24" spans="1:18" ht="34.5" customHeight="1">
      <c r="A24" s="21" t="str">
        <f t="array" ref="A24">IFERROR(IF(21&lt;=COUNTIF(ASCOPE_PMESII!$B$3:$B$62,"OE"),IFERROR(INDEX(ASCOPE_PMESII!$C$3:$C$62,_xlfn.AGGREGATE(15,6,(ROW(ASCOPE_PMESII!$B$3:$B$62)-ROW(ASCOPE_PMESII!$B$3)+1)/(ASCOPE_PMESII!$B$3:$B$62="OE"),21)),""),IF(21&lt;=(COUNTIF(ASCOPE_PMESII!$B$3:$B$62,"OE")+COUNTIF(ASCOPE_PMESII!$D$3:$D$62,"OE")),IFERROR(INDEX(ASCOPE_PMESII!$E$3:$E$62,_xlfn.AGGREGATE(15,6,(ROW(ASCOPE_PMESII!$D$3:$D$62)-ROW(ASCOPE_PMESII!$D$3)+1)/(ASCOPE_PMESII!$D$3:$D$62="OE"),21-(COUNTIF(ASCOPE_PMESII!$B$3:$B$62,"OE")))),""),IF(21&lt;=(COUNTIF(ASCOPE_PMESII!$B$3:$B$62,"OE")+COUNTIF(ASCOPE_PMESII!$D$3:$D$62,"OE")+COUNTIF(ASCOPE_PMESII!$F$3:$F$62,"OE")),IFERROR(INDEX(ASCOPE_PMESII!$G$3:$G$62,_xlfn.AGGREGATE(15,6,(ROW(ASCOPE_PMESII!$F$3:$F$62)-ROW(ASCOPE_PMESII!$F$3)+1)/(ASCOPE_PMESII!$F$3:$F$62="OE"),21-(COUNTIF(ASCOPE_PMESII!$B$3:$B$62,"OE")+COUNTIF(ASCOPE_PMESII!$D$3:$D$62,"OE")))),""),IF(21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21-(COUNTIF(ASCOPE_PMESII!$B$3:$B$62,"OE")+COUNTIF(ASCOPE_PMESII!$D$3:$D$62,"OE")+COUNTIF(ASCOPE_PMESII!$F$3:$F$62,"OE")))),""),IF(21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21-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21-(COUNTIF(ASCOPE_PMESII!$B$3:$B$62,"OE")+COUNTIF(ASCOPE_PMESII!$D$3:$D$62,"OE")+COUNTIF(ASCOPE_PMESII!$F$3:$F$62,"OE")+COUNTIF(ASCOPE_PMESII!$H$3:$H$62,"OE")+COUNTIF(ASCOPE_PMESII!$J$3:$J$62,"OE")))),"")))))),"")</f>
        <v/>
      </c>
      <c r="B24" s="21" t="str">
        <f t="array" ref="B24">IFERROR(IF(21&lt;=COUNTIF(ASCOPE_PMESII!$B$3:$B$62,"OA"),IFERROR(INDEX(ASCOPE_PMESII!$C$3:$C$62,_xlfn.AGGREGATE(15,6,(ROW(ASCOPE_PMESII!$B$3:$B$62)-ROW(ASCOPE_PMESII!$B$3)+1)/(ASCOPE_PMESII!$B$3:$B$62="OA"),21)),""),IF(21&lt;=(COUNTIF(ASCOPE_PMESII!$B$3:$B$62,"OA")+COUNTIF(ASCOPE_PMESII!$D$3:$D$62,"OA")),IFERROR(INDEX(ASCOPE_PMESII!$E$3:$E$62,_xlfn.AGGREGATE(15,6,(ROW(ASCOPE_PMESII!$D$3:$D$62)-ROW(ASCOPE_PMESII!$D$3)+1)/(ASCOPE_PMESII!$D$3:$D$62="OA"),21-(COUNTIF(ASCOPE_PMESII!$B$3:$B$62,"OA")))),""),IF(21&lt;=(COUNTIF(ASCOPE_PMESII!$B$3:$B$62,"OA")+COUNTIF(ASCOPE_PMESII!$D$3:$D$62,"OA")+COUNTIF(ASCOPE_PMESII!$F$3:$F$62,"OA")),IFERROR(INDEX(ASCOPE_PMESII!$G$3:$G$62,_xlfn.AGGREGATE(15,6,(ROW(ASCOPE_PMESII!$F$3:$F$62)-ROW(ASCOPE_PMESII!$F$3)+1)/(ASCOPE_PMESII!$F$3:$F$62="OA"),21-(COUNTIF(ASCOPE_PMESII!$B$3:$B$62,"OA")+COUNTIF(ASCOPE_PMESII!$D$3:$D$62,"OA")))),""),IF(21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21-(COUNTIF(ASCOPE_PMESII!$B$3:$B$62,"OA")+COUNTIF(ASCOPE_PMESII!$D$3:$D$62,"OA")+COUNTIF(ASCOPE_PMESII!$F$3:$F$62,"OA")))),""),IF(21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21-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21-(COUNTIF(ASCOPE_PMESII!$B$3:$B$62,"OA")+COUNTIF(ASCOPE_PMESII!$D$3:$D$62,"OA")+COUNTIF(ASCOPE_PMESII!$F$3:$F$62,"OA")+COUNTIF(ASCOPE_PMESII!$H$3:$H$62,"OA")+COUNTIF(ASCOPE_PMESII!$J$3:$J$62,"OA")))),"")))))),"")</f>
        <v/>
      </c>
      <c r="C24" s="21" t="str">
        <f t="array" ref="C24">IFERROR(IF(21&lt;=COUNTIF(ASCOPE_PMESII!$B$3:$B$62,"RISK"),IFERROR(INDEX(ASCOPE_PMESII!$C$3:$C$62,_xlfn.AGGREGATE(15,6,(ROW(ASCOPE_PMESII!$B$3:$B$62)-ROW(ASCOPE_PMESII!$B$3)+1)/(ASCOPE_PMESII!$B$3:$B$62="RISK"),21)),""),IF(21&lt;=(COUNTIF(ASCOPE_PMESII!$B$3:$B$62,"RISK")+COUNTIF(ASCOPE_PMESII!$D$3:$D$62,"RISK")),IFERROR(INDEX(ASCOPE_PMESII!$E$3:$E$62,_xlfn.AGGREGATE(15,6,(ROW(ASCOPE_PMESII!$D$3:$D$62)-ROW(ASCOPE_PMESII!$D$3)+1)/(ASCOPE_PMESII!$D$3:$D$62="RISK"),21-(COUNTIF(ASCOPE_PMESII!$B$3:$B$62,"RISK")))),""),IF(21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21-(COUNTIF(ASCOPE_PMESII!$B$3:$B$62,"RISK")+COUNTIF(ASCOPE_PMESII!$D$3:$D$62,"RISK")))),""),IF(21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21-(COUNTIF(ASCOPE_PMESII!$B$3:$B$62,"RISK")+COUNTIF(ASCOPE_PMESII!$D$3:$D$62,"RISK")+COUNTIF(ASCOPE_PMESII!$F$3:$F$62,"RISK")))),""),IF(21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21-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21-(COUNTIF(ASCOPE_PMESII!$B$3:$B$62,"RISK")+COUNTIF(ASCOPE_PMESII!$D$3:$D$62,"RISK")+COUNTIF(ASCOPE_PMESII!$F$3:$F$62,"RISK")+COUNTIF(ASCOPE_PMESII!$H$3:$H$62,"RISK")+COUNTIF(ASCOPE_PMESII!$J$3:$J$62,"RISK")))),"")))))),"")</f>
        <v>Attribution gaps create diplomatic friction</v>
      </c>
      <c r="D24" s="21" t="str">
        <f t="array" ref="D24">IFERROR(IF(21&lt;=COUNTIF(ASCOPE_PMESII!$B$3:$B$62,"CV"),IFERROR(INDEX(ASCOPE_PMESII!$C$3:$C$62,_xlfn.AGGREGATE(15,6,(ROW(ASCOPE_PMESII!$B$3:$B$62)-ROW(ASCOPE_PMESII!$B$3)+1)/(ASCOPE_PMESII!$B$3:$B$62="CV"),21)),""),IF(21&lt;=(COUNTIF(ASCOPE_PMESII!$B$3:$B$62,"CV")+COUNTIF(ASCOPE_PMESII!$D$3:$D$62,"CV")),IFERROR(INDEX(ASCOPE_PMESII!$E$3:$E$62,_xlfn.AGGREGATE(15,6,(ROW(ASCOPE_PMESII!$D$3:$D$62)-ROW(ASCOPE_PMESII!$D$3)+1)/(ASCOPE_PMESII!$D$3:$D$62="CV"),21-(COUNTIF(ASCOPE_PMESII!$B$3:$B$62,"CV")))),""),IF(21&lt;=(COUNTIF(ASCOPE_PMESII!$B$3:$B$62,"CV")+COUNTIF(ASCOPE_PMESII!$D$3:$D$62,"CV")+COUNTIF(ASCOPE_PMESII!$F$3:$F$62,"CV")),IFERROR(INDEX(ASCOPE_PMESII!$G$3:$G$62,_xlfn.AGGREGATE(15,6,(ROW(ASCOPE_PMESII!$F$3:$F$62)-ROW(ASCOPE_PMESII!$F$3)+1)/(ASCOPE_PMESII!$F$3:$F$62="CV"),21-(COUNTIF(ASCOPE_PMESII!$B$3:$B$62,"CV")+COUNTIF(ASCOPE_PMESII!$D$3:$D$62,"CV")))),""),IF(21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21-(COUNTIF(ASCOPE_PMESII!$B$3:$B$62,"CV")+COUNTIF(ASCOPE_PMESII!$D$3:$D$62,"CV")+COUNTIF(ASCOPE_PMESII!$F$3:$F$62,"CV")))),""),IF(21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21-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21-(COUNTIF(ASCOPE_PMESII!$B$3:$B$62,"CV")+COUNTIF(ASCOPE_PMESII!$D$3:$D$62,"CV")+COUNTIF(ASCOPE_PMESII!$F$3:$F$62,"CV")+COUNTIF(ASCOPE_PMESII!$H$3:$H$62,"CV")+COUNTIF(ASCOPE_PMESII!$J$3:$J$62,"CV")))),"")))))),"")</f>
        <v>Capability is broad but shallow and older</v>
      </c>
      <c r="E24" s="21" t="str">
        <f t="array" ref="E24">IFERROR(IF(21&lt;=COUNTIF(ASCOPE_PMESII!$B$3:$B$62,"COR"),IFERROR(INDEX(ASCOPE_PMESII!$C$3:$C$62,_xlfn.AGGREGATE(15,6,(ROW(ASCOPE_PMESII!$B$3:$B$62)-ROW(ASCOPE_PMESII!$B$3)+1)/(ASCOPE_PMESII!$B$3:$B$62="COR"),21)),""),IF(21&lt;=(COUNTIF(ASCOPE_PMESII!$B$3:$B$62,"COR")+COUNTIF(ASCOPE_PMESII!$D$3:$D$62,"COR")),IFERROR(INDEX(ASCOPE_PMESII!$E$3:$E$62,_xlfn.AGGREGATE(15,6,(ROW(ASCOPE_PMESII!$D$3:$D$62)-ROW(ASCOPE_PMESII!$D$3)+1)/(ASCOPE_PMESII!$D$3:$D$62="COR"),21-(COUNTIF(ASCOPE_PMESII!$B$3:$B$62,"COR")))),""),IF(21&lt;=(COUNTIF(ASCOPE_PMESII!$B$3:$B$62,"COR")+COUNTIF(ASCOPE_PMESII!$D$3:$D$62,"COR")+COUNTIF(ASCOPE_PMESII!$F$3:$F$62,"COR")),IFERROR(INDEX(ASCOPE_PMESII!$G$3:$G$62,_xlfn.AGGREGATE(15,6,(ROW(ASCOPE_PMESII!$F$3:$F$62)-ROW(ASCOPE_PMESII!$F$3)+1)/(ASCOPE_PMESII!$F$3:$F$62="COR"),21-(COUNTIF(ASCOPE_PMESII!$B$3:$B$62,"COR")+COUNTIF(ASCOPE_PMESII!$D$3:$D$62,"COR")))),""),IF(21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21-(COUNTIF(ASCOPE_PMESII!$B$3:$B$62,"COR")+COUNTIF(ASCOPE_PMESII!$D$3:$D$62,"COR")+COUNTIF(ASCOPE_PMESII!$F$3:$F$62,"COR")))),""),IF(21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21-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21-(COUNTIF(ASCOPE_PMESII!$B$3:$B$62,"COR")+COUNTIF(ASCOPE_PMESII!$D$3:$D$62,"COR")+COUNTIF(ASCOPE_PMESII!$F$3:$F$62,"COR")+COUNTIF(ASCOPE_PMESII!$H$3:$H$62,"COR")+COUNTIF(ASCOPE_PMESII!$J$3:$J$62,"COR")))),"")))))),"")</f>
        <v>Map brokers, shippers, insurers and intermediaries</v>
      </c>
      <c r="F24" s="21" t="str">
        <f t="array" ref="F24">IFERROR(IF(21&lt;=COUNTIF(ASCOPE_PMESII!$B$3:$B$62,"REQT"),IFERROR(INDEX(ASCOPE_PMESII!$C$3:$C$62,_xlfn.AGGREGATE(15,6,(ROW(ASCOPE_PMESII!$B$3:$B$62)-ROW(ASCOPE_PMESII!$B$3)+1)/(ASCOPE_PMESII!$B$3:$B$62="REQT"),21)),""),IF(21&lt;=(COUNTIF(ASCOPE_PMESII!$B$3:$B$62,"REQT")+COUNTIF(ASCOPE_PMESII!$D$3:$D$62,"REQT")),IFERROR(INDEX(ASCOPE_PMESII!$E$3:$E$62,_xlfn.AGGREGATE(15,6,(ROW(ASCOPE_PMESII!$D$3:$D$62)-ROW(ASCOPE_PMESII!$D$3)+1)/(ASCOPE_PMESII!$D$3:$D$62="REQT"),21-(COUNTIF(ASCOPE_PMESII!$B$3:$B$62,"REQT")))),""),IF(21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21-(COUNTIF(ASCOPE_PMESII!$B$3:$B$62,"REQT")+COUNTIF(ASCOPE_PMESII!$D$3:$D$62,"REQT")))),""),IF(21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21-(COUNTIF(ASCOPE_PMESII!$B$3:$B$62,"REQT")+COUNTIF(ASCOPE_PMESII!$D$3:$D$62,"REQT")+COUNTIF(ASCOPE_PMESII!$F$3:$F$62,"REQT")))),""),IF(21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21-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21-(COUNTIF(ASCOPE_PMESII!$B$3:$B$62,"REQT")+COUNTIF(ASCOPE_PMESII!$D$3:$D$62,"REQT")+COUNTIF(ASCOPE_PMESII!$F$3:$F$62,"REQT")+COUNTIF(ASCOPE_PMESII!$H$3:$H$62,"REQT")+COUNTIF(ASCOPE_PMESII!$J$3:$J$62,"REQT")))),"")))))),"")</f>
        <v/>
      </c>
      <c r="G24" s="21" t="str">
        <f t="array" ref="G24">IFERROR(IF(21&lt;=COUNTIF(ASCOPE_PMESII!$B$3:$B$62,"REST"),IFERROR(INDEX(ASCOPE_PMESII!$C$3:$C$62,_xlfn.AGGREGATE(15,6,(ROW(ASCOPE_PMESII!$B$3:$B$62)-ROW(ASCOPE_PMESII!$B$3)+1)/(ASCOPE_PMESII!$B$3:$B$62="REST"),21)),""),IF(21&lt;=(COUNTIF(ASCOPE_PMESII!$B$3:$B$62,"REST")+COUNTIF(ASCOPE_PMESII!$D$3:$D$62,"REST")),IFERROR(INDEX(ASCOPE_PMESII!$E$3:$E$62,_xlfn.AGGREGATE(15,6,(ROW(ASCOPE_PMESII!$D$3:$D$62)-ROW(ASCOPE_PMESII!$D$3)+1)/(ASCOPE_PMESII!$D$3:$D$62="REST"),21-(COUNTIF(ASCOPE_PMESII!$B$3:$B$62,"REST")))),""),IF(21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21-(COUNTIF(ASCOPE_PMESII!$B$3:$B$62,"REST")+COUNTIF(ASCOPE_PMESII!$D$3:$D$62,"REST")))),""),IF(21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21-(COUNTIF(ASCOPE_PMESII!$B$3:$B$62,"REST")+COUNTIF(ASCOPE_PMESII!$D$3:$D$62,"REST")+COUNTIF(ASCOPE_PMESII!$F$3:$F$62,"REST")))),""),IF(21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21-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21-(COUNTIF(ASCOPE_PMESII!$B$3:$B$62,"REST")+COUNTIF(ASCOPE_PMESII!$D$3:$D$62,"REST")+COUNTIF(ASCOPE_PMESII!$F$3:$F$62,"REST")+COUNTIF(ASCOPE_PMESII!$H$3:$H$62,"REST")+COUNTIF(ASCOPE_PMESII!$J$3:$J$62,"REST")))),"")))))),"")</f>
        <v/>
      </c>
      <c r="H24" s="21" t="str">
        <f t="array" ref="H24">IFERROR(IF(21&lt;=COUNTIF(ASCOPE_PMESII!$B$3:$B$62,"KCD-MUST"),IFERROR(INDEX(ASCOPE_PMESII!$C$3:$C$62,_xlfn.AGGREGATE(15,6,(ROW(ASCOPE_PMESII!$B$3:$B$62)-ROW(ASCOPE_PMESII!$B$3)+1)/(ASCOPE_PMESII!$B$3:$B$62="KCD-MUST"),21)),""),IF(21&lt;=(COUNTIF(ASCOPE_PMESII!$B$3:$B$62,"KCD-MUST")+COUNTIF(ASCOPE_PMESII!$D$3:$D$62,"KCD-MUST")),IFERROR(INDEX(ASCOPE_PMESII!$E$3:$E$62,_xlfn.AGGREGATE(15,6,(ROW(ASCOPE_PMESII!$D$3:$D$62)-ROW(ASCOPE_PMESII!$D$3)+1)/(ASCOPE_PMESII!$D$3:$D$62="KCD-MUST"),21-(COUNTIF(ASCOPE_PMESII!$B$3:$B$62,"KCD-MUST")))),""),IF(21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21-(COUNTIF(ASCOPE_PMESII!$B$3:$B$62,"KCD-MUST")+COUNTIF(ASCOPE_PMESII!$D$3:$D$62,"KCD-MUST")))),""),IF(21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21-(COUNTIF(ASCOPE_PMESII!$B$3:$B$62,"KCD-MUST")+COUNTIF(ASCOPE_PMESII!$D$3:$D$62,"KCD-MUST")+COUNTIF(ASCOPE_PMESII!$F$3:$F$62,"KCD-MUST")))),""),IF(21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21-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21-(COUNTIF(ASCOPE_PMESII!$B$3:$B$62,"KCD-MUST")+COUNTIF(ASCOPE_PMESII!$D$3:$D$62,"KCD-MUST")+COUNTIF(ASCOPE_PMESII!$F$3:$F$62,"KCD-MUST")+COUNTIF(ASCOPE_PMESII!$H$3:$H$62,"KCD-MUST")+COUNTIF(ASCOPE_PMESII!$J$3:$J$62,"KCD-MUST")))),"")))))),"")</f>
        <v>Use non-military instruments against finance flows</v>
      </c>
      <c r="I24" s="21" t="str">
        <f t="array" ref="I24">IFERROR(IF(21&lt;=COUNTIF(ASCOPE_PMESII!$B$3:$B$62,"KCD-SHOULD"),IFERROR(INDEX(ASCOPE_PMESII!$C$3:$C$62,_xlfn.AGGREGATE(15,6,(ROW(ASCOPE_PMESII!$B$3:$B$62)-ROW(ASCOPE_PMESII!$B$3)+1)/(ASCOPE_PMESII!$B$3:$B$62="KCD-SHOULD"),21)),""),IF(21&lt;=(COUNTIF(ASCOPE_PMESII!$B$3:$B$62,"KCD-SHOULD")+COUNTIF(ASCOPE_PMESII!$D$3:$D$62,"KCD-SHOULD")),IFERROR(INDEX(ASCOPE_PMESII!$E$3:$E$62,_xlfn.AGGREGATE(15,6,(ROW(ASCOPE_PMESII!$D$3:$D$62)-ROW(ASCOPE_PMESII!$D$3)+1)/(ASCOPE_PMESII!$D$3:$D$62="KCD-SHOULD"),21-(COUNTIF(ASCOPE_PMESII!$B$3:$B$62,"KCD-SHOULD")))),""),IF(21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21-(COUNTIF(ASCOPE_PMESII!$B$3:$B$62,"KCD-SHOULD")+COUNTIF(ASCOPE_PMESII!$D$3:$D$62,"KCD-SHOULD")))),""),IF(21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21-(COUNTIF(ASCOPE_PMESII!$B$3:$B$62,"KCD-SHOULD")+COUNTIF(ASCOPE_PMESII!$D$3:$D$62,"KCD-SHOULD")+COUNTIF(ASCOPE_PMESII!$F$3:$F$62,"KCD-SHOULD")))),""),IF(21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21-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21-(COUNTIF(ASCOPE_PMESII!$B$3:$B$62,"KCD-SHOULD")+COUNTIF(ASCOPE_PMESII!$D$3:$D$62,"KCD-SHOULD")+COUNTIF(ASCOPE_PMESII!$F$3:$F$62,"KCD-SHOULD")+COUNTIF(ASCOPE_PMESII!$H$3:$H$62,"KCD-SHOULD")+COUNTIF(ASCOPE_PMESII!$J$3:$J$62,"KCD-SHOULD")))),"")))))),"")</f>
        <v>Expose sponsor links to undermine recognition bid</v>
      </c>
      <c r="J24" s="21" t="str">
        <f t="array" ref="J24">IFERROR(IF(21&lt;=COUNTIF(ASCOPE_PMESII!$B$3:$B$62,"KCD-SHOULD NOT"),IFERROR(INDEX(ASCOPE_PMESII!$C$3:$C$62,_xlfn.AGGREGATE(15,6,(ROW(ASCOPE_PMESII!$B$3:$B$62)-ROW(ASCOPE_PMESII!$B$3)+1)/(ASCOPE_PMESII!$B$3:$B$62="KCD-SHOULD NOT"),21)),""),IF(21&lt;=(COUNTIF(ASCOPE_PMESII!$B$3:$B$62,"KCD-SHOULD NOT")+COUNTIF(ASCOPE_PMESII!$D$3:$D$62,"KCD-SHOULD NOT")),IFERROR(INDEX(ASCOPE_PMESII!$E$3:$E$62,_xlfn.AGGREGATE(15,6,(ROW(ASCOPE_PMESII!$D$3:$D$62)-ROW(ASCOPE_PMESII!$D$3)+1)/(ASCOPE_PMESII!$D$3:$D$62="KCD-SHOULD NOT"),21-(COUNTIF(ASCOPE_PMESII!$B$3:$B$62,"KCD-SHOULD NOT")))),""),IF(21&lt;=(COUNTIF(ASCOPE_PMESII!$B$3:$B$62,"KCD-SHOULD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NOT"),21-(COUNTIF(ASCOPE_PMESII!$B$3:$B$62,"KCD-SHOULD NOT")+COUNTIF(ASCOPE_PMESII!$D$3:$D$62,"KCD-SHOULD NOT")))),""),IF(21&lt;=(COUNTIF(ASCOPE_PMESII!$B$3:$B$62,"KCD-SHOULD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NOT"),21-(COUNTIF(ASCOPE_PMESII!$B$3:$B$62,"KCD-SHOULD NOT")+COUNTIF(ASCOPE_PMESII!$D$3:$D$62,"KCD-SHOULD NOT")+COUNTIF(ASCOPE_PMESII!$F$3:$F$62,"KCD-SHOULD NOT")))),""),IF(21&lt;=(COUNTIF(ASCOPE_PMESII!$B$3:$B$62,"KCD-SHOULD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NOT"),21-(COUNTIF(ASCOPE_PMESII!$B$3:$B$62,"KCD-SHOULD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NOT"),21-(COUNTIF(ASCOPE_PMESII!$B$3:$B$62,"KCD-SHOULD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24" s="21" t="str">
        <f t="array" ref="K24">IFERROR(IF(21&lt;=COUNTIF(ASCOPE_PMESII!$B$3:$B$62,"KCD-CANNOT"),IFERROR(INDEX(ASCOPE_PMESII!$C$3:$C$62,_xlfn.AGGREGATE(15,6,(ROW(ASCOPE_PMESII!$B$3:$B$62)-ROW(ASCOPE_PMESII!$B$3)+1)/(ASCOPE_PMESII!$B$3:$B$62="KCD-CANNOT"),21)),""),IF(21&lt;=(COUNTIF(ASCOPE_PMESII!$B$3:$B$62,"KCD-CANNOT")+COUNTIF(ASCOPE_PMESII!$D$3:$D$62,"KCD-CANNOT")),IFERROR(INDEX(ASCOPE_PMESII!$E$3:$E$62,_xlfn.AGGREGATE(15,6,(ROW(ASCOPE_PMESII!$D$3:$D$62)-ROW(ASCOPE_PMESII!$D$3)+1)/(ASCOPE_PMESII!$D$3:$D$62="KCD-CANNOT"),21-(COUNTIF(ASCOPE_PMESII!$B$3:$B$62,"KCD-CANNOT")))),""),IF(21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21-(COUNTIF(ASCOPE_PMESII!$B$3:$B$62,"KCD-CANNOT")+COUNTIF(ASCOPE_PMESII!$D$3:$D$62,"KCD-CANNOT")))),""),IF(21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21-(COUNTIF(ASCOPE_PMESII!$B$3:$B$62,"KCD-CANNOT")+COUNTIF(ASCOPE_PMESII!$D$3:$D$62,"KCD-CANNOT")+COUNTIF(ASCOPE_PMESII!$F$3:$F$62,"KCD-CANNOT")))),""),IF(21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21-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21-(COUNTIF(ASCOPE_PMESII!$B$3:$B$62,"KCD-CANNOT")+COUNTIF(ASCOPE_PMESII!$D$3:$D$62,"KCD-CANNOT")+COUNTIF(ASCOPE_PMESII!$F$3:$F$62,"KCD-CANNOT")+COUNTIF(ASCOPE_PMESII!$H$3:$H$62,"KCD-CANNOT")+COUNTIF(ASCOPE_PMESII!$J$3:$J$62,"KCD-CANNOT")))),"")))))),"")</f>
        <v>Cannot assume sponsorship is centrally directed</v>
      </c>
      <c r="L24" s="21" t="str">
        <f t="array" ref="L24">IFERROR(IF(21&lt;=COUNTIF(ASCOPE_PMESII!$B$3:$B$62,"DECISION"),IFERROR(INDEX(ASCOPE_PMESII!$C$3:$C$62,_xlfn.AGGREGATE(15,6,(ROW(ASCOPE_PMESII!$B$3:$B$62)-ROW(ASCOPE_PMESII!$B$3)+1)/(ASCOPE_PMESII!$B$3:$B$62="DECISION"),21)),""),IF(21&lt;=(COUNTIF(ASCOPE_PMESII!$B$3:$B$62,"DECISION")+COUNTIF(ASCOPE_PMESII!$D$3:$D$62,"DECISION")),IFERROR(INDEX(ASCOPE_PMESII!$E$3:$E$62,_xlfn.AGGREGATE(15,6,(ROW(ASCOPE_PMESII!$D$3:$D$62)-ROW(ASCOPE_PMESII!$D$3)+1)/(ASCOPE_PMESII!$D$3:$D$62="DECISION"),21-(COUNTIF(ASCOPE_PMESII!$B$3:$B$62,"DECISION")))),""),IF(21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21-(COUNTIF(ASCOPE_PMESII!$B$3:$B$62,"DECISION")+COUNTIF(ASCOPE_PMESII!$D$3:$D$62,"DECISION")))),""),IF(21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21-(COUNTIF(ASCOPE_PMESII!$B$3:$B$62,"DECISION")+COUNTIF(ASCOPE_PMESII!$D$3:$D$62,"DECISION")+COUNTIF(ASCOPE_PMESII!$F$3:$F$62,"DECISION")))),""),IF(21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21-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21-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24" s="21" t="str">
        <f t="array" ref="M24">IFERROR(IF(21&lt;=COUNTIF(ASCOPE_PMESII!$B$3:$B$62,"ASSUMPTION"),IFERROR(INDEX(ASCOPE_PMESII!$C$3:$C$62,_xlfn.AGGREGATE(15,6,(ROW(ASCOPE_PMESII!$B$3:$B$62)-ROW(ASCOPE_PMESII!$B$3)+1)/(ASCOPE_PMESII!$B$3:$B$62="ASSUMPTION"),21)),""),IF(21&lt;=(COUNTIF(ASCOPE_PMESII!$B$3:$B$62,"ASSUMPTION")+COUNTIF(ASCOPE_PMESII!$D$3:$D$62,"ASSUMPTION")),IFERROR(INDEX(ASCOPE_PMESII!$E$3:$E$62,_xlfn.AGGREGATE(15,6,(ROW(ASCOPE_PMESII!$D$3:$D$62)-ROW(ASCOPE_PMESII!$D$3)+1)/(ASCOPE_PMESII!$D$3:$D$62="ASSUMPTION"),21-(COUNTIF(ASCOPE_PMESII!$B$3:$B$62,"ASSUMPTION")))),""),IF(21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21-(COUNTIF(ASCOPE_PMESII!$B$3:$B$62,"ASSUMPTION")+COUNTIF(ASCOPE_PMESII!$D$3:$D$62,"ASSUMPTION")))),""),IF(21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21-(COUNTIF(ASCOPE_PMESII!$B$3:$B$62,"ASSUMPTION")+COUNTIF(ASCOPE_PMESII!$D$3:$D$62,"ASSUMPTION")+COUNTIF(ASCOPE_PMESII!$F$3:$F$62,"ASSUMPTION")))),""),IF(21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21-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21-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24" s="21" t="str">
        <f t="array" ref="N24">IFERROR(IF(21&lt;=COUNTIF(ASCOPE_PMESII!$B$3:$B$62,"CONSTRAINT"),IFERROR(INDEX(ASCOPE_PMESII!$C$3:$C$62,_xlfn.AGGREGATE(15,6,(ROW(ASCOPE_PMESII!$B$3:$B$62)-ROW(ASCOPE_PMESII!$B$3)+1)/(ASCOPE_PMESII!$B$3:$B$62="CONSTRAINT"),21)),""),IF(21&lt;=(COUNTIF(ASCOPE_PMESII!$B$3:$B$62,"CONSTRAINT")+COUNTIF(ASCOPE_PMESII!$D$3:$D$62,"CONSTRAINT")),IFERROR(INDEX(ASCOPE_PMESII!$E$3:$E$62,_xlfn.AGGREGATE(15,6,(ROW(ASCOPE_PMESII!$D$3:$D$62)-ROW(ASCOPE_PMESII!$D$3)+1)/(ASCOPE_PMESII!$D$3:$D$62="CONSTRAINT"),21-(COUNTIF(ASCOPE_PMESII!$B$3:$B$62,"CONSTRAINT")))),""),IF(21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21-(COUNTIF(ASCOPE_PMESII!$B$3:$B$62,"CONSTRAINT")+COUNTIF(ASCOPE_PMESII!$D$3:$D$62,"CONSTRAINT")))),""),IF(21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21-(COUNTIF(ASCOPE_PMESII!$B$3:$B$62,"CONSTRAINT")+COUNTIF(ASCOPE_PMESII!$D$3:$D$62,"CONSTRAINT")+COUNTIF(ASCOPE_PMESII!$F$3:$F$62,"CONSTRAINT")))),""),IF(21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21-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21-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24" s="21" t="str">
        <f t="array" ref="O24">IFERROR(IF(21&lt;=COUNTIF(ASCOPE_PMESII!$B$3:$B$62,"LIMITATION"),IFERROR(INDEX(ASCOPE_PMESII!$C$3:$C$62,_xlfn.AGGREGATE(15,6,(ROW(ASCOPE_PMESII!$B$3:$B$62)-ROW(ASCOPE_PMESII!$B$3)+1)/(ASCOPE_PMESII!$B$3:$B$62="LIMITATION"),21)),""),IF(21&lt;=(COUNTIF(ASCOPE_PMESII!$B$3:$B$62,"LIMITATION")+COUNTIF(ASCOPE_PMESII!$D$3:$D$62,"LIMITATION")),IFERROR(INDEX(ASCOPE_PMESII!$E$3:$E$62,_xlfn.AGGREGATE(15,6,(ROW(ASCOPE_PMESII!$D$3:$D$62)-ROW(ASCOPE_PMESII!$D$3)+1)/(ASCOPE_PMESII!$D$3:$D$62="LIMITATION"),21-(COUNTIF(ASCOPE_PMESII!$B$3:$B$62,"LIMITATION")))),""),IF(21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21-(COUNTIF(ASCOPE_PMESII!$B$3:$B$62,"LIMITATION")+COUNTIF(ASCOPE_PMESII!$D$3:$D$62,"LIMITATION")))),""),IF(21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21-(COUNTIF(ASCOPE_PMESII!$B$3:$B$62,"LIMITATION")+COUNTIF(ASCOPE_PMESII!$D$3:$D$62,"LIMITATION")+COUNTIF(ASCOPE_PMESII!$F$3:$F$62,"LIMITATION")))),""),IF(21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21-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21-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24" s="21" t="str">
        <f t="array" ref="P24">IFERROR(IF(21&lt;=COUNTIF(ASCOPE_PMESII!$B$3:$B$62,"CC"),IFERROR(INDEX(ASCOPE_PMESII!$C$3:$C$62,_xlfn.AGGREGATE(15,6,(ROW(ASCOPE_PMESII!$B$3:$B$62)-ROW(ASCOPE_PMESII!$B$3)+1)/(ASCOPE_PMESII!$B$3:$B$62="CC"),21)),""),IF(21&lt;=(COUNTIF(ASCOPE_PMESII!$B$3:$B$62,"CC")+COUNTIF(ASCOPE_PMESII!$D$3:$D$62,"CC")),IFERROR(INDEX(ASCOPE_PMESII!$E$3:$E$62,_xlfn.AGGREGATE(15,6,(ROW(ASCOPE_PMESII!$D$3:$D$62)-ROW(ASCOPE_PMESII!$D$3)+1)/(ASCOPE_PMESII!$D$3:$D$62="CC"),21-(COUNTIF(ASCOPE_PMESII!$B$3:$B$62,"CC")))),""),IF(21&lt;=(COUNTIF(ASCOPE_PMESII!$B$3:$B$62,"CC")+COUNTIF(ASCOPE_PMESII!$D$3:$D$62,"CC")+COUNTIF(ASCOPE_PMESII!$F$3:$F$62,"CC")),IFERROR(INDEX(ASCOPE_PMESII!$G$3:$G$62,_xlfn.AGGREGATE(15,6,(ROW(ASCOPE_PMESII!$F$3:$F$62)-ROW(ASCOPE_PMESII!$F$3)+1)/(ASCOPE_PMESII!$F$3:$F$62="CC"),21-(COUNTIF(ASCOPE_PMESII!$B$3:$B$62,"CC")+COUNTIF(ASCOPE_PMESII!$D$3:$D$62,"CC")))),""),IF(21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21-(COUNTIF(ASCOPE_PMESII!$B$3:$B$62,"CC")+COUNTIF(ASCOPE_PMESII!$D$3:$D$62,"CC")+COUNTIF(ASCOPE_PMESII!$F$3:$F$62,"CC")))),""),IF(21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21-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21-(COUNTIF(ASCOPE_PMESII!$B$3:$B$62,"CC")+COUNTIF(ASCOPE_PMESII!$D$3:$D$62,"CC")+COUNTIF(ASCOPE_PMESII!$F$3:$F$62,"CC")+COUNTIF(ASCOPE_PMESII!$H$3:$H$62,"CC")+COUNTIF(ASCOPE_PMESII!$J$3:$J$62,"CC")))),"")))))),"")</f>
        <v>IRS merchant fleet sustains external trade</v>
      </c>
      <c r="Q24" s="21" t="str">
        <f t="array" ref="Q24">IFERROR(IF(21&lt;=COUNTIF(ASCOPE_PMESII!$B$3:$B$62,"CR"),IFERROR(INDEX(ASCOPE_PMESII!$C$3:$C$62,_xlfn.AGGREGATE(15,6,(ROW(ASCOPE_PMESII!$B$3:$B$62)-ROW(ASCOPE_PMESII!$B$3)+1)/(ASCOPE_PMESII!$B$3:$B$62="CR"),21)),""),IF(21&lt;=(COUNTIF(ASCOPE_PMESII!$B$3:$B$62,"CR")+COUNTIF(ASCOPE_PMESII!$D$3:$D$62,"CR")),IFERROR(INDEX(ASCOPE_PMESII!$E$3:$E$62,_xlfn.AGGREGATE(15,6,(ROW(ASCOPE_PMESII!$D$3:$D$62)-ROW(ASCOPE_PMESII!$D$3)+1)/(ASCOPE_PMESII!$D$3:$D$62="CR"),21-(COUNTIF(ASCOPE_PMESII!$B$3:$B$62,"CR")))),""),IF(21&lt;=(COUNTIF(ASCOPE_PMESII!$B$3:$B$62,"CR")+COUNTIF(ASCOPE_PMESII!$D$3:$D$62,"CR")+COUNTIF(ASCOPE_PMESII!$F$3:$F$62,"CR")),IFERROR(INDEX(ASCOPE_PMESII!$G$3:$G$62,_xlfn.AGGREGATE(15,6,(ROW(ASCOPE_PMESII!$F$3:$F$62)-ROW(ASCOPE_PMESII!$F$3)+1)/(ASCOPE_PMESII!$F$3:$F$62="CR"),21-(COUNTIF(ASCOPE_PMESII!$B$3:$B$62,"CR")+COUNTIF(ASCOPE_PMESII!$D$3:$D$62,"CR")))),""),IF(21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21-(COUNTIF(ASCOPE_PMESII!$B$3:$B$62,"CR")+COUNTIF(ASCOPE_PMESII!$D$3:$D$62,"CR")+COUNTIF(ASCOPE_PMESII!$F$3:$F$62,"CR")))),""),IF(21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21-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21-(COUNTIF(ASCOPE_PMESII!$B$3:$B$62,"CR")+COUNTIF(ASCOPE_PMESII!$D$3:$D$62,"CR")+COUNTIF(ASCOPE_PMESII!$F$3:$F$62,"CR")+COUNTIF(ASCOPE_PMESII!$H$3:$H$62,"CR")+COUNTIF(ASCOPE_PMESII!$J$3:$J$62,"CR")))),"")))))),"")</f>
        <v>Treasury, law-enforcement and partner intelligence required</v>
      </c>
      <c r="R24" s="94" t="str">
        <f t="array" ref="R24">IFERROR(IF(21&lt;=COUNTIF(ASCOPE_PMESII!$B$3:$B$62,"PCS"),IFERROR(INDEX(ASCOPE_PMESII!$C$3:$C$62,_xlfn.AGGREGATE(15,6,(ROW(ASCOPE_PMESII!$B$3:$B$62)-ROW(ASCOPE_PMESII!$B$3)+1)/(ASCOPE_PMESII!$B$3:$B$62="PCS"),21)),""),IF(21&lt;=(COUNTIF(ASCOPE_PMESII!$B$3:$B$62,"PCS")+COUNTIF(ASCOPE_PMESII!$D$3:$D$62,"PCS")),IFERROR(INDEX(ASCOPE_PMESII!$E$3:$E$62,_xlfn.AGGREGATE(15,6,(ROW(ASCOPE_PMESII!$D$3:$D$62)-ROW(ASCOPE_PMESII!$D$3)+1)/(ASCOPE_PMESII!$D$3:$D$62="PCS"),21-(COUNTIF(ASCOPE_PMESII!$B$3:$B$62,"PCS")))),""),IF(21&lt;=(COUNTIF(ASCOPE_PMESII!$B$3:$B$62,"PCS")+COUNTIF(ASCOPE_PMESII!$D$3:$D$62,"PCS")+COUNTIF(ASCOPE_PMESII!$F$3:$F$62,"PCS")),IFERROR(INDEX(ASCOPE_PMESII!$G$3:$G$62,_xlfn.AGGREGATE(15,6,(ROW(ASCOPE_PMESII!$F$3:$F$62)-ROW(ASCOPE_PMESII!$F$3)+1)/(ASCOPE_PMESII!$F$3:$F$62="PCS"),21-(COUNTIF(ASCOPE_PMESII!$B$3:$B$62,"PCS")+COUNTIF(ASCOPE_PMESII!$D$3:$D$62,"PCS")))),""),IF(21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21-(COUNTIF(ASCOPE_PMESII!$B$3:$B$62,"PCS")+COUNTIF(ASCOPE_PMESII!$D$3:$D$62,"PCS")+COUNTIF(ASCOPE_PMESII!$F$3:$F$62,"PCS")))),""),IF(21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21-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21-(COUNTIF(ASCOPE_PMESII!$B$3:$B$62,"PCS")+COUNTIF(ASCOPE_PMESII!$D$3:$D$62,"PCS")+COUNTIF(ASCOPE_PMESII!$F$3:$F$62,"PCS")+COUNTIF(ASCOPE_PMESII!$H$3:$H$62,"PCS")+COUNTIF(ASCOPE_PMESII!$J$3:$J$62,"PCS")))),"")))))),"")</f>
        <v/>
      </c>
    </row>
    <row r="25" spans="1:18" ht="34.5" customHeight="1">
      <c r="A25" s="22" t="str">
        <f t="array" ref="A25">IFERROR(IF(22&lt;=COUNTIF(ASCOPE_PMESII!$B$3:$B$62,"OE"),IFERROR(INDEX(ASCOPE_PMESII!$C$3:$C$62,_xlfn.AGGREGATE(15,6,(ROW(ASCOPE_PMESII!$B$3:$B$62)-ROW(ASCOPE_PMESII!$B$3)+1)/(ASCOPE_PMESII!$B$3:$B$62="OE"),22)),""),IF(22&lt;=(COUNTIF(ASCOPE_PMESII!$B$3:$B$62,"OE")+COUNTIF(ASCOPE_PMESII!$D$3:$D$62,"OE")),IFERROR(INDEX(ASCOPE_PMESII!$E$3:$E$62,_xlfn.AGGREGATE(15,6,(ROW(ASCOPE_PMESII!$D$3:$D$62)-ROW(ASCOPE_PMESII!$D$3)+1)/(ASCOPE_PMESII!$D$3:$D$62="OE"),22-(COUNTIF(ASCOPE_PMESII!$B$3:$B$62,"OE")))),""),IF(22&lt;=(COUNTIF(ASCOPE_PMESII!$B$3:$B$62,"OE")+COUNTIF(ASCOPE_PMESII!$D$3:$D$62,"OE")+COUNTIF(ASCOPE_PMESII!$F$3:$F$62,"OE")),IFERROR(INDEX(ASCOPE_PMESII!$G$3:$G$62,_xlfn.AGGREGATE(15,6,(ROW(ASCOPE_PMESII!$F$3:$F$62)-ROW(ASCOPE_PMESII!$F$3)+1)/(ASCOPE_PMESII!$F$3:$F$62="OE"),22-(COUNTIF(ASCOPE_PMESII!$B$3:$B$62,"OE")+COUNTIF(ASCOPE_PMESII!$D$3:$D$62,"OE")))),""),IF(22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22-(COUNTIF(ASCOPE_PMESII!$B$3:$B$62,"OE")+COUNTIF(ASCOPE_PMESII!$D$3:$D$62,"OE")+COUNTIF(ASCOPE_PMESII!$F$3:$F$62,"OE")))),""),IF(22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22-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22-(COUNTIF(ASCOPE_PMESII!$B$3:$B$62,"OE")+COUNTIF(ASCOPE_PMESII!$D$3:$D$62,"OE")+COUNTIF(ASCOPE_PMESII!$F$3:$F$62,"OE")+COUNTIF(ASCOPE_PMESII!$H$3:$H$62,"OE")+COUNTIF(ASCOPE_PMESII!$J$3:$J$62,"OE")))),"")))))),"")</f>
        <v/>
      </c>
      <c r="B25" s="22" t="str">
        <f t="array" ref="B25">IFERROR(IF(22&lt;=COUNTIF(ASCOPE_PMESII!$B$3:$B$62,"OA"),IFERROR(INDEX(ASCOPE_PMESII!$C$3:$C$62,_xlfn.AGGREGATE(15,6,(ROW(ASCOPE_PMESII!$B$3:$B$62)-ROW(ASCOPE_PMESII!$B$3)+1)/(ASCOPE_PMESII!$B$3:$B$62="OA"),22)),""),IF(22&lt;=(COUNTIF(ASCOPE_PMESII!$B$3:$B$62,"OA")+COUNTIF(ASCOPE_PMESII!$D$3:$D$62,"OA")),IFERROR(INDEX(ASCOPE_PMESII!$E$3:$E$62,_xlfn.AGGREGATE(15,6,(ROW(ASCOPE_PMESII!$D$3:$D$62)-ROW(ASCOPE_PMESII!$D$3)+1)/(ASCOPE_PMESII!$D$3:$D$62="OA"),22-(COUNTIF(ASCOPE_PMESII!$B$3:$B$62,"OA")))),""),IF(22&lt;=(COUNTIF(ASCOPE_PMESII!$B$3:$B$62,"OA")+COUNTIF(ASCOPE_PMESII!$D$3:$D$62,"OA")+COUNTIF(ASCOPE_PMESII!$F$3:$F$62,"OA")),IFERROR(INDEX(ASCOPE_PMESII!$G$3:$G$62,_xlfn.AGGREGATE(15,6,(ROW(ASCOPE_PMESII!$F$3:$F$62)-ROW(ASCOPE_PMESII!$F$3)+1)/(ASCOPE_PMESII!$F$3:$F$62="OA"),22-(COUNTIF(ASCOPE_PMESII!$B$3:$B$62,"OA")+COUNTIF(ASCOPE_PMESII!$D$3:$D$62,"OA")))),""),IF(22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22-(COUNTIF(ASCOPE_PMESII!$B$3:$B$62,"OA")+COUNTIF(ASCOPE_PMESII!$D$3:$D$62,"OA")+COUNTIF(ASCOPE_PMESII!$F$3:$F$62,"OA")))),""),IF(22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22-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22-(COUNTIF(ASCOPE_PMESII!$B$3:$B$62,"OA")+COUNTIF(ASCOPE_PMESII!$D$3:$D$62,"OA")+COUNTIF(ASCOPE_PMESII!$F$3:$F$62,"OA")+COUNTIF(ASCOPE_PMESII!$H$3:$H$62,"OA")+COUNTIF(ASCOPE_PMESII!$J$3:$J$62,"OA")))),"")))))),"")</f>
        <v/>
      </c>
      <c r="C25" s="22" t="str">
        <f t="array" ref="C25">IFERROR(IF(22&lt;=COUNTIF(ASCOPE_PMESII!$B$3:$B$62,"RISK"),IFERROR(INDEX(ASCOPE_PMESII!$C$3:$C$62,_xlfn.AGGREGATE(15,6,(ROW(ASCOPE_PMESII!$B$3:$B$62)-ROW(ASCOPE_PMESII!$B$3)+1)/(ASCOPE_PMESII!$B$3:$B$62="RISK"),22)),""),IF(22&lt;=(COUNTIF(ASCOPE_PMESII!$B$3:$B$62,"RISK")+COUNTIF(ASCOPE_PMESII!$D$3:$D$62,"RISK")),IFERROR(INDEX(ASCOPE_PMESII!$E$3:$E$62,_xlfn.AGGREGATE(15,6,(ROW(ASCOPE_PMESII!$D$3:$D$62)-ROW(ASCOPE_PMESII!$D$3)+1)/(ASCOPE_PMESII!$D$3:$D$62="RISK"),22-(COUNTIF(ASCOPE_PMESII!$B$3:$B$62,"RISK")))),""),IF(22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22-(COUNTIF(ASCOPE_PMESII!$B$3:$B$62,"RISK")+COUNTIF(ASCOPE_PMESII!$D$3:$D$62,"RISK")))),""),IF(22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22-(COUNTIF(ASCOPE_PMESII!$B$3:$B$62,"RISK")+COUNTIF(ASCOPE_PMESII!$D$3:$D$62,"RISK")+COUNTIF(ASCOPE_PMESII!$F$3:$F$62,"RISK")))),""),IF(22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22-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22-(COUNTIF(ASCOPE_PMESII!$B$3:$B$62,"RISK")+COUNTIF(ASCOPE_PMESII!$D$3:$D$62,"RISK")+COUNTIF(ASCOPE_PMESII!$F$3:$F$62,"RISK")+COUNTIF(ASCOPE_PMESII!$H$3:$H$62,"RISK")+COUNTIF(ASCOPE_PMESII!$J$3:$J$62,"RISK")))),"")))))),"")</f>
        <v>Over-broad terror label unifies local opposition</v>
      </c>
      <c r="D25" s="22" t="str">
        <f t="array" ref="D25">IFERROR(IF(22&lt;=COUNTIF(ASCOPE_PMESII!$B$3:$B$62,"CV"),IFERROR(INDEX(ASCOPE_PMESII!$C$3:$C$62,_xlfn.AGGREGATE(15,6,(ROW(ASCOPE_PMESII!$B$3:$B$62)-ROW(ASCOPE_PMESII!$B$3)+1)/(ASCOPE_PMESII!$B$3:$B$62="CV"),22)),""),IF(22&lt;=(COUNTIF(ASCOPE_PMESII!$B$3:$B$62,"CV")+COUNTIF(ASCOPE_PMESII!$D$3:$D$62,"CV")),IFERROR(INDEX(ASCOPE_PMESII!$E$3:$E$62,_xlfn.AGGREGATE(15,6,(ROW(ASCOPE_PMESII!$D$3:$D$62)-ROW(ASCOPE_PMESII!$D$3)+1)/(ASCOPE_PMESII!$D$3:$D$62="CV"),22-(COUNTIF(ASCOPE_PMESII!$B$3:$B$62,"CV")))),""),IF(22&lt;=(COUNTIF(ASCOPE_PMESII!$B$3:$B$62,"CV")+COUNTIF(ASCOPE_PMESII!$D$3:$D$62,"CV")+COUNTIF(ASCOPE_PMESII!$F$3:$F$62,"CV")),IFERROR(INDEX(ASCOPE_PMESII!$G$3:$G$62,_xlfn.AGGREGATE(15,6,(ROW(ASCOPE_PMESII!$F$3:$F$62)-ROW(ASCOPE_PMESII!$F$3)+1)/(ASCOPE_PMESII!$F$3:$F$62="CV"),22-(COUNTIF(ASCOPE_PMESII!$B$3:$B$62,"CV")+COUNTIF(ASCOPE_PMESII!$D$3:$D$62,"CV")))),""),IF(22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22-(COUNTIF(ASCOPE_PMESII!$B$3:$B$62,"CV")+COUNTIF(ASCOPE_PMESII!$D$3:$D$62,"CV")+COUNTIF(ASCOPE_PMESII!$F$3:$F$62,"CV")))),""),IF(22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22-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22-(COUNTIF(ASCOPE_PMESII!$B$3:$B$62,"CV")+COUNTIF(ASCOPE_PMESII!$D$3:$D$62,"CV")+COUNTIF(ASCOPE_PMESII!$F$3:$F$62,"CV")+COUNTIF(ASCOPE_PMESII!$H$3:$H$62,"CV")+COUNTIF(ASCOPE_PMESII!$J$3:$J$62,"CV")))),"")))))),"")</f>
        <v>Limited night capability gives temporal advantage</v>
      </c>
      <c r="E25" s="22" t="str">
        <f t="array" ref="E25">IFERROR(IF(22&lt;=COUNTIF(ASCOPE_PMESII!$B$3:$B$62,"COR"),IFERROR(INDEX(ASCOPE_PMESII!$C$3:$C$62,_xlfn.AGGREGATE(15,6,(ROW(ASCOPE_PMESII!$B$3:$B$62)-ROW(ASCOPE_PMESII!$B$3)+1)/(ASCOPE_PMESII!$B$3:$B$62="COR"),22)),""),IF(22&lt;=(COUNTIF(ASCOPE_PMESII!$B$3:$B$62,"COR")+COUNTIF(ASCOPE_PMESII!$D$3:$D$62,"COR")),IFERROR(INDEX(ASCOPE_PMESII!$E$3:$E$62,_xlfn.AGGREGATE(15,6,(ROW(ASCOPE_PMESII!$D$3:$D$62)-ROW(ASCOPE_PMESII!$D$3)+1)/(ASCOPE_PMESII!$D$3:$D$62="COR"),22-(COUNTIF(ASCOPE_PMESII!$B$3:$B$62,"COR")))),""),IF(22&lt;=(COUNTIF(ASCOPE_PMESII!$B$3:$B$62,"COR")+COUNTIF(ASCOPE_PMESII!$D$3:$D$62,"COR")+COUNTIF(ASCOPE_PMESII!$F$3:$F$62,"COR")),IFERROR(INDEX(ASCOPE_PMESII!$G$3:$G$62,_xlfn.AGGREGATE(15,6,(ROW(ASCOPE_PMESII!$F$3:$F$62)-ROW(ASCOPE_PMESII!$F$3)+1)/(ASCOPE_PMESII!$F$3:$F$62="COR"),22-(COUNTIF(ASCOPE_PMESII!$B$3:$B$62,"COR")+COUNTIF(ASCOPE_PMESII!$D$3:$D$62,"COR")))),""),IF(22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22-(COUNTIF(ASCOPE_PMESII!$B$3:$B$62,"COR")+COUNTIF(ASCOPE_PMESII!$D$3:$D$62,"COR")+COUNTIF(ASCOPE_PMESII!$F$3:$F$62,"COR")))),""),IF(22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22-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22-(COUNTIF(ASCOPE_PMESII!$B$3:$B$62,"COR")+COUNTIF(ASCOPE_PMESII!$D$3:$D$62,"COR")+COUNTIF(ASCOPE_PMESII!$F$3:$F$62,"COR")+COUNTIF(ASCOPE_PMESII!$H$3:$H$62,"COR")+COUNTIF(ASCOPE_PMESII!$J$3:$J$62,"COR")))),"")))))),"")</f>
        <v>Separate nationalist grievance from terrorist exploitation</v>
      </c>
      <c r="F25" s="22" t="str">
        <f t="array" ref="F25">IFERROR(IF(22&lt;=COUNTIF(ASCOPE_PMESII!$B$3:$B$62,"REQT"),IFERROR(INDEX(ASCOPE_PMESII!$C$3:$C$62,_xlfn.AGGREGATE(15,6,(ROW(ASCOPE_PMESII!$B$3:$B$62)-ROW(ASCOPE_PMESII!$B$3)+1)/(ASCOPE_PMESII!$B$3:$B$62="REQT"),22)),""),IF(22&lt;=(COUNTIF(ASCOPE_PMESII!$B$3:$B$62,"REQT")+COUNTIF(ASCOPE_PMESII!$D$3:$D$62,"REQT")),IFERROR(INDEX(ASCOPE_PMESII!$E$3:$E$62,_xlfn.AGGREGATE(15,6,(ROW(ASCOPE_PMESII!$D$3:$D$62)-ROW(ASCOPE_PMESII!$D$3)+1)/(ASCOPE_PMESII!$D$3:$D$62="REQT"),22-(COUNTIF(ASCOPE_PMESII!$B$3:$B$62,"REQT")))),""),IF(22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22-(COUNTIF(ASCOPE_PMESII!$B$3:$B$62,"REQT")+COUNTIF(ASCOPE_PMESII!$D$3:$D$62,"REQT")))),""),IF(22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22-(COUNTIF(ASCOPE_PMESII!$B$3:$B$62,"REQT")+COUNTIF(ASCOPE_PMESII!$D$3:$D$62,"REQT")+COUNTIF(ASCOPE_PMESII!$F$3:$F$62,"REQT")))),""),IF(22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22-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22-(COUNTIF(ASCOPE_PMESII!$B$3:$B$62,"REQT")+COUNTIF(ASCOPE_PMESII!$D$3:$D$62,"REQT")+COUNTIF(ASCOPE_PMESII!$F$3:$F$62,"REQT")+COUNTIF(ASCOPE_PMESII!$H$3:$H$62,"REQT")+COUNTIF(ASCOPE_PMESII!$J$3:$J$62,"REQT")))),"")))))),"")</f>
        <v/>
      </c>
      <c r="G25" s="22" t="str">
        <f t="array" ref="G25">IFERROR(IF(22&lt;=COUNTIF(ASCOPE_PMESII!$B$3:$B$62,"REST"),IFERROR(INDEX(ASCOPE_PMESII!$C$3:$C$62,_xlfn.AGGREGATE(15,6,(ROW(ASCOPE_PMESII!$B$3:$B$62)-ROW(ASCOPE_PMESII!$B$3)+1)/(ASCOPE_PMESII!$B$3:$B$62="REST"),22)),""),IF(22&lt;=(COUNTIF(ASCOPE_PMESII!$B$3:$B$62,"REST")+COUNTIF(ASCOPE_PMESII!$D$3:$D$62,"REST")),IFERROR(INDEX(ASCOPE_PMESII!$E$3:$E$62,_xlfn.AGGREGATE(15,6,(ROW(ASCOPE_PMESII!$D$3:$D$62)-ROW(ASCOPE_PMESII!$D$3)+1)/(ASCOPE_PMESII!$D$3:$D$62="REST"),22-(COUNTIF(ASCOPE_PMESII!$B$3:$B$62,"REST")))),""),IF(22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22-(COUNTIF(ASCOPE_PMESII!$B$3:$B$62,"REST")+COUNTIF(ASCOPE_PMESII!$D$3:$D$62,"REST")))),""),IF(22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22-(COUNTIF(ASCOPE_PMESII!$B$3:$B$62,"REST")+COUNTIF(ASCOPE_PMESII!$D$3:$D$62,"REST")+COUNTIF(ASCOPE_PMESII!$F$3:$F$62,"REST")))),""),IF(22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22-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22-(COUNTIF(ASCOPE_PMESII!$B$3:$B$62,"REST")+COUNTIF(ASCOPE_PMESII!$D$3:$D$62,"REST")+COUNTIF(ASCOPE_PMESII!$F$3:$F$62,"REST")+COUNTIF(ASCOPE_PMESII!$H$3:$H$62,"REST")+COUNTIF(ASCOPE_PMESII!$J$3:$J$62,"REST")))),"")))))),"")</f>
        <v/>
      </c>
      <c r="H25" s="22" t="str">
        <f t="array" ref="H25">IFERROR(IF(22&lt;=COUNTIF(ASCOPE_PMESII!$B$3:$B$62,"KCD-MUST"),IFERROR(INDEX(ASCOPE_PMESII!$C$3:$C$62,_xlfn.AGGREGATE(15,6,(ROW(ASCOPE_PMESII!$B$3:$B$62)-ROW(ASCOPE_PMESII!$B$3)+1)/(ASCOPE_PMESII!$B$3:$B$62="KCD-MUST"),22)),""),IF(22&lt;=(COUNTIF(ASCOPE_PMESII!$B$3:$B$62,"KCD-MUST")+COUNTIF(ASCOPE_PMESII!$D$3:$D$62,"KCD-MUST")),IFERROR(INDEX(ASCOPE_PMESII!$E$3:$E$62,_xlfn.AGGREGATE(15,6,(ROW(ASCOPE_PMESII!$D$3:$D$62)-ROW(ASCOPE_PMESII!$D$3)+1)/(ASCOPE_PMESII!$D$3:$D$62="KCD-MUST"),22-(COUNTIF(ASCOPE_PMESII!$B$3:$B$62,"KCD-MUST")))),""),IF(22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22-(COUNTIF(ASCOPE_PMESII!$B$3:$B$62,"KCD-MUST")+COUNTIF(ASCOPE_PMESII!$D$3:$D$62,"KCD-MUST")))),""),IF(22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22-(COUNTIF(ASCOPE_PMESII!$B$3:$B$62,"KCD-MUST")+COUNTIF(ASCOPE_PMESII!$D$3:$D$62,"KCD-MUST")+COUNTIF(ASCOPE_PMESII!$F$3:$F$62,"KCD-MUST")))),""),IF(22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22-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22-(COUNTIF(ASCOPE_PMESII!$B$3:$B$62,"KCD-MUST")+COUNTIF(ASCOPE_PMESII!$D$3:$D$62,"KCD-MUST")+COUNTIF(ASCOPE_PMESII!$F$3:$F$62,"KCD-MUST")+COUNTIF(ASCOPE_PMESII!$H$3:$H$62,"KCD-MUST")+COUNTIF(ASCOPE_PMESII!$J$3:$J$62,"KCD-MUST")))),"")))))),"")</f>
        <v>Exploit internal contradictions without insulting identity</v>
      </c>
      <c r="I25" s="22" t="str">
        <f t="array" ref="I25">IFERROR(IF(22&lt;=COUNTIF(ASCOPE_PMESII!$B$3:$B$62,"KCD-SHOULD"),IFERROR(INDEX(ASCOPE_PMESII!$C$3:$C$62,_xlfn.AGGREGATE(15,6,(ROW(ASCOPE_PMESII!$B$3:$B$62)-ROW(ASCOPE_PMESII!$B$3)+1)/(ASCOPE_PMESII!$B$3:$B$62="KCD-SHOULD"),22)),""),IF(22&lt;=(COUNTIF(ASCOPE_PMESII!$B$3:$B$62,"KCD-SHOULD")+COUNTIF(ASCOPE_PMESII!$D$3:$D$62,"KCD-SHOULD")),IFERROR(INDEX(ASCOPE_PMESII!$E$3:$E$62,_xlfn.AGGREGATE(15,6,(ROW(ASCOPE_PMESII!$D$3:$D$62)-ROW(ASCOPE_PMESII!$D$3)+1)/(ASCOPE_PMESII!$D$3:$D$62="KCD-SHOULD"),22-(COUNTIF(ASCOPE_PMESII!$B$3:$B$62,"KCD-SHOULD")))),""),IF(22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22-(COUNTIF(ASCOPE_PMESII!$B$3:$B$62,"KCD-SHOULD")+COUNTIF(ASCOPE_PMESII!$D$3:$D$62,"KCD-SHOULD")))),""),IF(22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22-(COUNTIF(ASCOPE_PMESII!$B$3:$B$62,"KCD-SHOULD")+COUNTIF(ASCOPE_PMESII!$D$3:$D$62,"KCD-SHOULD")+COUNTIF(ASCOPE_PMESII!$F$3:$F$62,"KCD-SHOULD")))),""),IF(22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22-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22-(COUNTIF(ASCOPE_PMESII!$B$3:$B$62,"KCD-SHOULD")+COUNTIF(ASCOPE_PMESII!$D$3:$D$62,"KCD-SHOULD")+COUNTIF(ASCOPE_PMESII!$F$3:$F$62,"KCD-SHOULD")+COUNTIF(ASCOPE_PMESII!$H$3:$H$62,"KCD-SHOULD")+COUNTIF(ASCOPE_PMESII!$J$3:$J$62,"KCD-SHOULD")))),"")))))),"")</f>
        <v>Empower non-violent Sumatran interlocutors</v>
      </c>
      <c r="J25" s="22" t="str">
        <f t="array" ref="J25">IFERROR(IF(22&lt;=COUNTIF(ASCOPE_PMESII!$B$3:$B$62,"KCD-SHOULD NOT"),IFERROR(INDEX(ASCOPE_PMESII!$C$3:$C$62,_xlfn.AGGREGATE(15,6,(ROW(ASCOPE_PMESII!$B$3:$B$62)-ROW(ASCOPE_PMESII!$B$3)+1)/(ASCOPE_PMESII!$B$3:$B$62="KCD-SHOULD NOT"),22)),""),IF(22&lt;=(COUNTIF(ASCOPE_PMESII!$B$3:$B$62,"KCD-SHOULD NOT")+COUNTIF(ASCOPE_PMESII!$D$3:$D$62,"KCD-SHOULD NOT")),IFERROR(INDEX(ASCOPE_PMESII!$E$3:$E$62,_xlfn.AGGREGATE(15,6,(ROW(ASCOPE_PMESII!$D$3:$D$62)-ROW(ASCOPE_PMESII!$D$3)+1)/(ASCOPE_PMESII!$D$3:$D$62="KCD-SHOULD NOT"),22-(COUNTIF(ASCOPE_PMESII!$B$3:$B$62,"KCD-SHOULD NOT")))),""),IF(22&lt;=(COUNTIF(ASCOPE_PMESII!$B$3:$B$62,"KCD-SHOULD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NOT"),22-(COUNTIF(ASCOPE_PMESII!$B$3:$B$62,"KCD-SHOULD NOT")+COUNTIF(ASCOPE_PMESII!$D$3:$D$62,"KCD-SHOULD NOT")))),""),IF(22&lt;=(COUNTIF(ASCOPE_PMESII!$B$3:$B$62,"KCD-SHOULD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NOT"),22-(COUNTIF(ASCOPE_PMESII!$B$3:$B$62,"KCD-SHOULD NOT")+COUNTIF(ASCOPE_PMESII!$D$3:$D$62,"KCD-SHOULD NOT")+COUNTIF(ASCOPE_PMESII!$F$3:$F$62,"KCD-SHOULD NOT")))),""),IF(22&lt;=(COUNTIF(ASCOPE_PMESII!$B$3:$B$62,"KCD-SHOULD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NOT"),22-(COUNTIF(ASCOPE_PMESII!$B$3:$B$62,"KCD-SHOULD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NOT"),22-(COUNTIF(ASCOPE_PMESII!$B$3:$B$62,"KCD-SHOULD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25" s="22" t="str">
        <f t="array" ref="K25">IFERROR(IF(22&lt;=COUNTIF(ASCOPE_PMESII!$B$3:$B$62,"KCD-CANNOT"),IFERROR(INDEX(ASCOPE_PMESII!$C$3:$C$62,_xlfn.AGGREGATE(15,6,(ROW(ASCOPE_PMESII!$B$3:$B$62)-ROW(ASCOPE_PMESII!$B$3)+1)/(ASCOPE_PMESII!$B$3:$B$62="KCD-CANNOT"),22)),""),IF(22&lt;=(COUNTIF(ASCOPE_PMESII!$B$3:$B$62,"KCD-CANNOT")+COUNTIF(ASCOPE_PMESII!$D$3:$D$62,"KCD-CANNOT")),IFERROR(INDEX(ASCOPE_PMESII!$E$3:$E$62,_xlfn.AGGREGATE(15,6,(ROW(ASCOPE_PMESII!$D$3:$D$62)-ROW(ASCOPE_PMESII!$D$3)+1)/(ASCOPE_PMESII!$D$3:$D$62="KCD-CANNOT"),22-(COUNTIF(ASCOPE_PMESII!$B$3:$B$62,"KCD-CANNOT")))),""),IF(22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22-(COUNTIF(ASCOPE_PMESII!$B$3:$B$62,"KCD-CANNOT")+COUNTIF(ASCOPE_PMESII!$D$3:$D$62,"KCD-CANNOT")))),""),IF(22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22-(COUNTIF(ASCOPE_PMESII!$B$3:$B$62,"KCD-CANNOT")+COUNTIF(ASCOPE_PMESII!$D$3:$D$62,"KCD-CANNOT")+COUNTIF(ASCOPE_PMESII!$F$3:$F$62,"KCD-CANNOT")))),""),IF(22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22-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22-(COUNTIF(ASCOPE_PMESII!$B$3:$B$62,"KCD-CANNOT")+COUNTIF(ASCOPE_PMESII!$D$3:$D$62,"KCD-CANNOT")+COUNTIF(ASCOPE_PMESII!$F$3:$F$62,"KCD-CANNOT")+COUNTIF(ASCOPE_PMESII!$H$3:$H$62,"KCD-CANNOT")+COUNTIF(ASCOPE_PMESII!$J$3:$J$62,"KCD-CANNOT")))),"")))))),"")</f>
        <v>Cannot equate all Sumatran nationalism with extremism</v>
      </c>
      <c r="L25" s="22" t="str">
        <f t="array" ref="L25">IFERROR(IF(22&lt;=COUNTIF(ASCOPE_PMESII!$B$3:$B$62,"DECISION"),IFERROR(INDEX(ASCOPE_PMESII!$C$3:$C$62,_xlfn.AGGREGATE(15,6,(ROW(ASCOPE_PMESII!$B$3:$B$62)-ROW(ASCOPE_PMESII!$B$3)+1)/(ASCOPE_PMESII!$B$3:$B$62="DECISION"),22)),""),IF(22&lt;=(COUNTIF(ASCOPE_PMESII!$B$3:$B$62,"DECISION")+COUNTIF(ASCOPE_PMESII!$D$3:$D$62,"DECISION")),IFERROR(INDEX(ASCOPE_PMESII!$E$3:$E$62,_xlfn.AGGREGATE(15,6,(ROW(ASCOPE_PMESII!$D$3:$D$62)-ROW(ASCOPE_PMESII!$D$3)+1)/(ASCOPE_PMESII!$D$3:$D$62="DECISION"),22-(COUNTIF(ASCOPE_PMESII!$B$3:$B$62,"DECISION")))),""),IF(22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22-(COUNTIF(ASCOPE_PMESII!$B$3:$B$62,"DECISION")+COUNTIF(ASCOPE_PMESII!$D$3:$D$62,"DECISION")))),""),IF(22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22-(COUNTIF(ASCOPE_PMESII!$B$3:$B$62,"DECISION")+COUNTIF(ASCOPE_PMESII!$D$3:$D$62,"DECISION")+COUNTIF(ASCOPE_PMESII!$F$3:$F$62,"DECISION")))),""),IF(22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22-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22-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25" s="22" t="str">
        <f t="array" ref="M25">IFERROR(IF(22&lt;=COUNTIF(ASCOPE_PMESII!$B$3:$B$62,"ASSUMPTION"),IFERROR(INDEX(ASCOPE_PMESII!$C$3:$C$62,_xlfn.AGGREGATE(15,6,(ROW(ASCOPE_PMESII!$B$3:$B$62)-ROW(ASCOPE_PMESII!$B$3)+1)/(ASCOPE_PMESII!$B$3:$B$62="ASSUMPTION"),22)),""),IF(22&lt;=(COUNTIF(ASCOPE_PMESII!$B$3:$B$62,"ASSUMPTION")+COUNTIF(ASCOPE_PMESII!$D$3:$D$62,"ASSUMPTION")),IFERROR(INDEX(ASCOPE_PMESII!$E$3:$E$62,_xlfn.AGGREGATE(15,6,(ROW(ASCOPE_PMESII!$D$3:$D$62)-ROW(ASCOPE_PMESII!$D$3)+1)/(ASCOPE_PMESII!$D$3:$D$62="ASSUMPTION"),22-(COUNTIF(ASCOPE_PMESII!$B$3:$B$62,"ASSUMPTION")))),""),IF(22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22-(COUNTIF(ASCOPE_PMESII!$B$3:$B$62,"ASSUMPTION")+COUNTIF(ASCOPE_PMESII!$D$3:$D$62,"ASSUMPTION")))),""),IF(22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22-(COUNTIF(ASCOPE_PMESII!$B$3:$B$62,"ASSUMPTION")+COUNTIF(ASCOPE_PMESII!$D$3:$D$62,"ASSUMPTION")+COUNTIF(ASCOPE_PMESII!$F$3:$F$62,"ASSUMPTION")))),""),IF(22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22-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22-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25" s="22" t="str">
        <f t="array" ref="N25">IFERROR(IF(22&lt;=COUNTIF(ASCOPE_PMESII!$B$3:$B$62,"CONSTRAINT"),IFERROR(INDEX(ASCOPE_PMESII!$C$3:$C$62,_xlfn.AGGREGATE(15,6,(ROW(ASCOPE_PMESII!$B$3:$B$62)-ROW(ASCOPE_PMESII!$B$3)+1)/(ASCOPE_PMESII!$B$3:$B$62="CONSTRAINT"),22)),""),IF(22&lt;=(COUNTIF(ASCOPE_PMESII!$B$3:$B$62,"CONSTRAINT")+COUNTIF(ASCOPE_PMESII!$D$3:$D$62,"CONSTRAINT")),IFERROR(INDEX(ASCOPE_PMESII!$E$3:$E$62,_xlfn.AGGREGATE(15,6,(ROW(ASCOPE_PMESII!$D$3:$D$62)-ROW(ASCOPE_PMESII!$D$3)+1)/(ASCOPE_PMESII!$D$3:$D$62="CONSTRAINT"),22-(COUNTIF(ASCOPE_PMESII!$B$3:$B$62,"CONSTRAINT")))),""),IF(22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22-(COUNTIF(ASCOPE_PMESII!$B$3:$B$62,"CONSTRAINT")+COUNTIF(ASCOPE_PMESII!$D$3:$D$62,"CONSTRAINT")))),""),IF(22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22-(COUNTIF(ASCOPE_PMESII!$B$3:$B$62,"CONSTRAINT")+COUNTIF(ASCOPE_PMESII!$D$3:$D$62,"CONSTRAINT")+COUNTIF(ASCOPE_PMESII!$F$3:$F$62,"CONSTRAINT")))),""),IF(22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22-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22-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25" s="22" t="str">
        <f t="array" ref="O25">IFERROR(IF(22&lt;=COUNTIF(ASCOPE_PMESII!$B$3:$B$62,"LIMITATION"),IFERROR(INDEX(ASCOPE_PMESII!$C$3:$C$62,_xlfn.AGGREGATE(15,6,(ROW(ASCOPE_PMESII!$B$3:$B$62)-ROW(ASCOPE_PMESII!$B$3)+1)/(ASCOPE_PMESII!$B$3:$B$62="LIMITATION"),22)),""),IF(22&lt;=(COUNTIF(ASCOPE_PMESII!$B$3:$B$62,"LIMITATION")+COUNTIF(ASCOPE_PMESII!$D$3:$D$62,"LIMITATION")),IFERROR(INDEX(ASCOPE_PMESII!$E$3:$E$62,_xlfn.AGGREGATE(15,6,(ROW(ASCOPE_PMESII!$D$3:$D$62)-ROW(ASCOPE_PMESII!$D$3)+1)/(ASCOPE_PMESII!$D$3:$D$62="LIMITATION"),22-(COUNTIF(ASCOPE_PMESII!$B$3:$B$62,"LIMITATION")))),""),IF(22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22-(COUNTIF(ASCOPE_PMESII!$B$3:$B$62,"LIMITATION")+COUNTIF(ASCOPE_PMESII!$D$3:$D$62,"LIMITATION")))),""),IF(22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22-(COUNTIF(ASCOPE_PMESII!$B$3:$B$62,"LIMITATION")+COUNTIF(ASCOPE_PMESII!$D$3:$D$62,"LIMITATION")+COUNTIF(ASCOPE_PMESII!$F$3:$F$62,"LIMITATION")))),""),IF(22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22-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22-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25" s="22" t="str">
        <f t="array" ref="P25">IFERROR(IF(22&lt;=COUNTIF(ASCOPE_PMESII!$B$3:$B$62,"CC"),IFERROR(INDEX(ASCOPE_PMESII!$C$3:$C$62,_xlfn.AGGREGATE(15,6,(ROW(ASCOPE_PMESII!$B$3:$B$62)-ROW(ASCOPE_PMESII!$B$3)+1)/(ASCOPE_PMESII!$B$3:$B$62="CC"),22)),""),IF(22&lt;=(COUNTIF(ASCOPE_PMESII!$B$3:$B$62,"CC")+COUNTIF(ASCOPE_PMESII!$D$3:$D$62,"CC")),IFERROR(INDEX(ASCOPE_PMESII!$E$3:$E$62,_xlfn.AGGREGATE(15,6,(ROW(ASCOPE_PMESII!$D$3:$D$62)-ROW(ASCOPE_PMESII!$D$3)+1)/(ASCOPE_PMESII!$D$3:$D$62="CC"),22-(COUNTIF(ASCOPE_PMESII!$B$3:$B$62,"CC")))),""),IF(22&lt;=(COUNTIF(ASCOPE_PMESII!$B$3:$B$62,"CC")+COUNTIF(ASCOPE_PMESII!$D$3:$D$62,"CC")+COUNTIF(ASCOPE_PMESII!$F$3:$F$62,"CC")),IFERROR(INDEX(ASCOPE_PMESII!$G$3:$G$62,_xlfn.AGGREGATE(15,6,(ROW(ASCOPE_PMESII!$F$3:$F$62)-ROW(ASCOPE_PMESII!$F$3)+1)/(ASCOPE_PMESII!$F$3:$F$62="CC"),22-(COUNTIF(ASCOPE_PMESII!$B$3:$B$62,"CC")+COUNTIF(ASCOPE_PMESII!$D$3:$D$62,"CC")))),""),IF(22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22-(COUNTIF(ASCOPE_PMESII!$B$3:$B$62,"CC")+COUNTIF(ASCOPE_PMESII!$D$3:$D$62,"CC")+COUNTIF(ASCOPE_PMESII!$F$3:$F$62,"CC")))),""),IF(22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22-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22-(COUNTIF(ASCOPE_PMESII!$B$3:$B$62,"CC")+COUNTIF(ASCOPE_PMESII!$D$3:$D$62,"CC")+COUNTIF(ASCOPE_PMESII!$F$3:$F$62,"CC")+COUNTIF(ASCOPE_PMESII!$H$3:$H$62,"CC")+COUNTIF(ASCOPE_PMESII!$J$3:$J$62,"CC")))),"")))))),"")</f>
        <v>OCHA and NGOs present in wider response space</v>
      </c>
      <c r="Q25" s="22" t="str">
        <f t="array" ref="Q25">IFERROR(IF(22&lt;=COUNTIF(ASCOPE_PMESII!$B$3:$B$62,"CR"),IFERROR(INDEX(ASCOPE_PMESII!$C$3:$C$62,_xlfn.AGGREGATE(15,6,(ROW(ASCOPE_PMESII!$B$3:$B$62)-ROW(ASCOPE_PMESII!$B$3)+1)/(ASCOPE_PMESII!$B$3:$B$62="CR"),22)),""),IF(22&lt;=(COUNTIF(ASCOPE_PMESII!$B$3:$B$62,"CR")+COUNTIF(ASCOPE_PMESII!$D$3:$D$62,"CR")),IFERROR(INDEX(ASCOPE_PMESII!$E$3:$E$62,_xlfn.AGGREGATE(15,6,(ROW(ASCOPE_PMESII!$D$3:$D$62)-ROW(ASCOPE_PMESII!$D$3)+1)/(ASCOPE_PMESII!$D$3:$D$62="CR"),22-(COUNTIF(ASCOPE_PMESII!$B$3:$B$62,"CR")))),""),IF(22&lt;=(COUNTIF(ASCOPE_PMESII!$B$3:$B$62,"CR")+COUNTIF(ASCOPE_PMESII!$D$3:$D$62,"CR")+COUNTIF(ASCOPE_PMESII!$F$3:$F$62,"CR")),IFERROR(INDEX(ASCOPE_PMESII!$G$3:$G$62,_xlfn.AGGREGATE(15,6,(ROW(ASCOPE_PMESII!$F$3:$F$62)-ROW(ASCOPE_PMESII!$F$3)+1)/(ASCOPE_PMESII!$F$3:$F$62="CR"),22-(COUNTIF(ASCOPE_PMESII!$B$3:$B$62,"CR")+COUNTIF(ASCOPE_PMESII!$D$3:$D$62,"CR")))),""),IF(22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22-(COUNTIF(ASCOPE_PMESII!$B$3:$B$62,"CR")+COUNTIF(ASCOPE_PMESII!$D$3:$D$62,"CR")+COUNTIF(ASCOPE_PMESII!$F$3:$F$62,"CR")))),""),IF(22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22-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22-(COUNTIF(ASCOPE_PMESII!$B$3:$B$62,"CR")+COUNTIF(ASCOPE_PMESII!$D$3:$D$62,"CR")+COUNTIF(ASCOPE_PMESII!$F$3:$F$62,"CR")+COUNTIF(ASCOPE_PMESII!$H$3:$H$62,"CR")+COUNTIF(ASCOPE_PMESII!$J$3:$J$62,"CR")))),"")))))),"")</f>
        <v>Engagement map by group, tribe and interest</v>
      </c>
      <c r="R25" s="95" t="str">
        <f t="array" ref="R25">IFERROR(IF(22&lt;=COUNTIF(ASCOPE_PMESII!$B$3:$B$62,"PCS"),IFERROR(INDEX(ASCOPE_PMESII!$C$3:$C$62,_xlfn.AGGREGATE(15,6,(ROW(ASCOPE_PMESII!$B$3:$B$62)-ROW(ASCOPE_PMESII!$B$3)+1)/(ASCOPE_PMESII!$B$3:$B$62="PCS"),22)),""),IF(22&lt;=(COUNTIF(ASCOPE_PMESII!$B$3:$B$62,"PCS")+COUNTIF(ASCOPE_PMESII!$D$3:$D$62,"PCS")),IFERROR(INDEX(ASCOPE_PMESII!$E$3:$E$62,_xlfn.AGGREGATE(15,6,(ROW(ASCOPE_PMESII!$D$3:$D$62)-ROW(ASCOPE_PMESII!$D$3)+1)/(ASCOPE_PMESII!$D$3:$D$62="PCS"),22-(COUNTIF(ASCOPE_PMESII!$B$3:$B$62,"PCS")))),""),IF(22&lt;=(COUNTIF(ASCOPE_PMESII!$B$3:$B$62,"PCS")+COUNTIF(ASCOPE_PMESII!$D$3:$D$62,"PCS")+COUNTIF(ASCOPE_PMESII!$F$3:$F$62,"PCS")),IFERROR(INDEX(ASCOPE_PMESII!$G$3:$G$62,_xlfn.AGGREGATE(15,6,(ROW(ASCOPE_PMESII!$F$3:$F$62)-ROW(ASCOPE_PMESII!$F$3)+1)/(ASCOPE_PMESII!$F$3:$F$62="PCS"),22-(COUNTIF(ASCOPE_PMESII!$B$3:$B$62,"PCS")+COUNTIF(ASCOPE_PMESII!$D$3:$D$62,"PCS")))),""),IF(22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22-(COUNTIF(ASCOPE_PMESII!$B$3:$B$62,"PCS")+COUNTIF(ASCOPE_PMESII!$D$3:$D$62,"PCS")+COUNTIF(ASCOPE_PMESII!$F$3:$F$62,"PCS")))),""),IF(22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22-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22-(COUNTIF(ASCOPE_PMESII!$B$3:$B$62,"PCS")+COUNTIF(ASCOPE_PMESII!$D$3:$D$62,"PCS")+COUNTIF(ASCOPE_PMESII!$F$3:$F$62,"PCS")+COUNTIF(ASCOPE_PMESII!$H$3:$H$62,"PCS")+COUNTIF(ASCOPE_PMESII!$J$3:$J$62,"PCS")))),"")))))),"")</f>
        <v/>
      </c>
    </row>
    <row r="26" spans="1:18" ht="34.5" customHeight="1">
      <c r="A26" s="21" t="str">
        <f t="array" ref="A26">IFERROR(IF(23&lt;=COUNTIF(ASCOPE_PMESII!$B$3:$B$62,"OE"),IFERROR(INDEX(ASCOPE_PMESII!$C$3:$C$62,_xlfn.AGGREGATE(15,6,(ROW(ASCOPE_PMESII!$B$3:$B$62)-ROW(ASCOPE_PMESII!$B$3)+1)/(ASCOPE_PMESII!$B$3:$B$62="OE"),23)),""),IF(23&lt;=(COUNTIF(ASCOPE_PMESII!$B$3:$B$62,"OE")+COUNTIF(ASCOPE_PMESII!$D$3:$D$62,"OE")),IFERROR(INDEX(ASCOPE_PMESII!$E$3:$E$62,_xlfn.AGGREGATE(15,6,(ROW(ASCOPE_PMESII!$D$3:$D$62)-ROW(ASCOPE_PMESII!$D$3)+1)/(ASCOPE_PMESII!$D$3:$D$62="OE"),23-(COUNTIF(ASCOPE_PMESII!$B$3:$B$62,"OE")))),""),IF(23&lt;=(COUNTIF(ASCOPE_PMESII!$B$3:$B$62,"OE")+COUNTIF(ASCOPE_PMESII!$D$3:$D$62,"OE")+COUNTIF(ASCOPE_PMESII!$F$3:$F$62,"OE")),IFERROR(INDEX(ASCOPE_PMESII!$G$3:$G$62,_xlfn.AGGREGATE(15,6,(ROW(ASCOPE_PMESII!$F$3:$F$62)-ROW(ASCOPE_PMESII!$F$3)+1)/(ASCOPE_PMESII!$F$3:$F$62="OE"),23-(COUNTIF(ASCOPE_PMESII!$B$3:$B$62,"OE")+COUNTIF(ASCOPE_PMESII!$D$3:$D$62,"OE")))),""),IF(23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23-(COUNTIF(ASCOPE_PMESII!$B$3:$B$62,"OE")+COUNTIF(ASCOPE_PMESII!$D$3:$D$62,"OE")+COUNTIF(ASCOPE_PMESII!$F$3:$F$62,"OE")))),""),IF(23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23-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23-(COUNTIF(ASCOPE_PMESII!$B$3:$B$62,"OE")+COUNTIF(ASCOPE_PMESII!$D$3:$D$62,"OE")+COUNTIF(ASCOPE_PMESII!$F$3:$F$62,"OE")+COUNTIF(ASCOPE_PMESII!$H$3:$H$62,"OE")+COUNTIF(ASCOPE_PMESII!$J$3:$J$62,"OE")))),"")))))),"")</f>
        <v/>
      </c>
      <c r="B26" s="21" t="str">
        <f t="array" ref="B26">IFERROR(IF(23&lt;=COUNTIF(ASCOPE_PMESII!$B$3:$B$62,"OA"),IFERROR(INDEX(ASCOPE_PMESII!$C$3:$C$62,_xlfn.AGGREGATE(15,6,(ROW(ASCOPE_PMESII!$B$3:$B$62)-ROW(ASCOPE_PMESII!$B$3)+1)/(ASCOPE_PMESII!$B$3:$B$62="OA"),23)),""),IF(23&lt;=(COUNTIF(ASCOPE_PMESII!$B$3:$B$62,"OA")+COUNTIF(ASCOPE_PMESII!$D$3:$D$62,"OA")),IFERROR(INDEX(ASCOPE_PMESII!$E$3:$E$62,_xlfn.AGGREGATE(15,6,(ROW(ASCOPE_PMESII!$D$3:$D$62)-ROW(ASCOPE_PMESII!$D$3)+1)/(ASCOPE_PMESII!$D$3:$D$62="OA"),23-(COUNTIF(ASCOPE_PMESII!$B$3:$B$62,"OA")))),""),IF(23&lt;=(COUNTIF(ASCOPE_PMESII!$B$3:$B$62,"OA")+COUNTIF(ASCOPE_PMESII!$D$3:$D$62,"OA")+COUNTIF(ASCOPE_PMESII!$F$3:$F$62,"OA")),IFERROR(INDEX(ASCOPE_PMESII!$G$3:$G$62,_xlfn.AGGREGATE(15,6,(ROW(ASCOPE_PMESII!$F$3:$F$62)-ROW(ASCOPE_PMESII!$F$3)+1)/(ASCOPE_PMESII!$F$3:$F$62="OA"),23-(COUNTIF(ASCOPE_PMESII!$B$3:$B$62,"OA")+COUNTIF(ASCOPE_PMESII!$D$3:$D$62,"OA")))),""),IF(23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23-(COUNTIF(ASCOPE_PMESII!$B$3:$B$62,"OA")+COUNTIF(ASCOPE_PMESII!$D$3:$D$62,"OA")+COUNTIF(ASCOPE_PMESII!$F$3:$F$62,"OA")))),""),IF(23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23-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23-(COUNTIF(ASCOPE_PMESII!$B$3:$B$62,"OA")+COUNTIF(ASCOPE_PMESII!$D$3:$D$62,"OA")+COUNTIF(ASCOPE_PMESII!$F$3:$F$62,"OA")+COUNTIF(ASCOPE_PMESII!$H$3:$H$62,"OA")+COUNTIF(ASCOPE_PMESII!$J$3:$J$62,"OA")))),"")))))),"")</f>
        <v/>
      </c>
      <c r="C26" s="21" t="str">
        <f t="array" ref="C26">IFERROR(IF(23&lt;=COUNTIF(ASCOPE_PMESII!$B$3:$B$62,"RISK"),IFERROR(INDEX(ASCOPE_PMESII!$C$3:$C$62,_xlfn.AGGREGATE(15,6,(ROW(ASCOPE_PMESII!$B$3:$B$62)-ROW(ASCOPE_PMESII!$B$3)+1)/(ASCOPE_PMESII!$B$3:$B$62="RISK"),23)),""),IF(23&lt;=(COUNTIF(ASCOPE_PMESII!$B$3:$B$62,"RISK")+COUNTIF(ASCOPE_PMESII!$D$3:$D$62,"RISK")),IFERROR(INDEX(ASCOPE_PMESII!$E$3:$E$62,_xlfn.AGGREGATE(15,6,(ROW(ASCOPE_PMESII!$D$3:$D$62)-ROW(ASCOPE_PMESII!$D$3)+1)/(ASCOPE_PMESII!$D$3:$D$62="RISK"),23-(COUNTIF(ASCOPE_PMESII!$B$3:$B$62,"RISK")))),""),IF(23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23-(COUNTIF(ASCOPE_PMESII!$B$3:$B$62,"RISK")+COUNTIF(ASCOPE_PMESII!$D$3:$D$62,"RISK")))),""),IF(23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23-(COUNTIF(ASCOPE_PMESII!$B$3:$B$62,"RISK")+COUNTIF(ASCOPE_PMESII!$D$3:$D$62,"RISK")+COUNTIF(ASCOPE_PMESII!$F$3:$F$62,"RISK")))),""),IF(23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23-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23-(COUNTIF(ASCOPE_PMESII!$B$3:$B$62,"RISK")+COUNTIF(ASCOPE_PMESII!$D$3:$D$62,"RISK")+COUNTIF(ASCOPE_PMESII!$F$3:$F$62,"RISK")+COUNTIF(ASCOPE_PMESII!$H$3:$H$62,"RISK")+COUNTIF(ASCOPE_PMESII!$J$3:$J$62,"RISK")))),"")))))),"")</f>
        <v>Uncoordinated partners jam access routes</v>
      </c>
      <c r="D26" s="21" t="str">
        <f t="array" ref="D26">IFERROR(IF(23&lt;=COUNTIF(ASCOPE_PMESII!$B$3:$B$62,"CV"),IFERROR(INDEX(ASCOPE_PMESII!$C$3:$C$62,_xlfn.AGGREGATE(15,6,(ROW(ASCOPE_PMESII!$B$3:$B$62)-ROW(ASCOPE_PMESII!$B$3)+1)/(ASCOPE_PMESII!$B$3:$B$62="CV"),23)),""),IF(23&lt;=(COUNTIF(ASCOPE_PMESII!$B$3:$B$62,"CV")+COUNTIF(ASCOPE_PMESII!$D$3:$D$62,"CV")),IFERROR(INDEX(ASCOPE_PMESII!$E$3:$E$62,_xlfn.AGGREGATE(15,6,(ROW(ASCOPE_PMESII!$D$3:$D$62)-ROW(ASCOPE_PMESII!$D$3)+1)/(ASCOPE_PMESII!$D$3:$D$62="CV"),23-(COUNTIF(ASCOPE_PMESII!$B$3:$B$62,"CV")))),""),IF(23&lt;=(COUNTIF(ASCOPE_PMESII!$B$3:$B$62,"CV")+COUNTIF(ASCOPE_PMESII!$D$3:$D$62,"CV")+COUNTIF(ASCOPE_PMESII!$F$3:$F$62,"CV")),IFERROR(INDEX(ASCOPE_PMESII!$G$3:$G$62,_xlfn.AGGREGATE(15,6,(ROW(ASCOPE_PMESII!$F$3:$F$62)-ROW(ASCOPE_PMESII!$F$3)+1)/(ASCOPE_PMESII!$F$3:$F$62="CV"),23-(COUNTIF(ASCOPE_PMESII!$B$3:$B$62,"CV")+COUNTIF(ASCOPE_PMESII!$D$3:$D$62,"CV")))),""),IF(23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23-(COUNTIF(ASCOPE_PMESII!$B$3:$B$62,"CV")+COUNTIF(ASCOPE_PMESII!$D$3:$D$62,"CV")+COUNTIF(ASCOPE_PMESII!$F$3:$F$62,"CV")))),""),IF(23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23-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23-(COUNTIF(ASCOPE_PMESII!$B$3:$B$62,"CV")+COUNTIF(ASCOPE_PMESII!$D$3:$D$62,"CV")+COUNTIF(ASCOPE_PMESII!$F$3:$F$62,"CV")+COUNTIF(ASCOPE_PMESII!$H$3:$H$62,"CV")+COUNTIF(ASCOPE_PMESII!$J$3:$J$62,"CV")))),"")))))),"")</f>
        <v>Export economy vulnerable to tracking and interdiction</v>
      </c>
      <c r="E26" s="21" t="str">
        <f t="array" ref="E26">IFERROR(IF(23&lt;=COUNTIF(ASCOPE_PMESII!$B$3:$B$62,"COR"),IFERROR(INDEX(ASCOPE_PMESII!$C$3:$C$62,_xlfn.AGGREGATE(15,6,(ROW(ASCOPE_PMESII!$B$3:$B$62)-ROW(ASCOPE_PMESII!$B$3)+1)/(ASCOPE_PMESII!$B$3:$B$62="COR"),23)),""),IF(23&lt;=(COUNTIF(ASCOPE_PMESII!$B$3:$B$62,"COR")+COUNTIF(ASCOPE_PMESII!$D$3:$D$62,"COR")),IFERROR(INDEX(ASCOPE_PMESII!$E$3:$E$62,_xlfn.AGGREGATE(15,6,(ROW(ASCOPE_PMESII!$D$3:$D$62)-ROW(ASCOPE_PMESII!$D$3)+1)/(ASCOPE_PMESII!$D$3:$D$62="COR"),23-(COUNTIF(ASCOPE_PMESII!$B$3:$B$62,"COR")))),""),IF(23&lt;=(COUNTIF(ASCOPE_PMESII!$B$3:$B$62,"COR")+COUNTIF(ASCOPE_PMESII!$D$3:$D$62,"COR")+COUNTIF(ASCOPE_PMESII!$F$3:$F$62,"COR")),IFERROR(INDEX(ASCOPE_PMESII!$G$3:$G$62,_xlfn.AGGREGATE(15,6,(ROW(ASCOPE_PMESII!$F$3:$F$62)-ROW(ASCOPE_PMESII!$F$3)+1)/(ASCOPE_PMESII!$F$3:$F$62="COR"),23-(COUNTIF(ASCOPE_PMESII!$B$3:$B$62,"COR")+COUNTIF(ASCOPE_PMESII!$D$3:$D$62,"COR")))),""),IF(23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23-(COUNTIF(ASCOPE_PMESII!$B$3:$B$62,"COR")+COUNTIF(ASCOPE_PMESII!$D$3:$D$62,"COR")+COUNTIF(ASCOPE_PMESII!$F$3:$F$62,"COR")))),""),IF(23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23-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23-(COUNTIF(ASCOPE_PMESII!$B$3:$B$62,"COR")+COUNTIF(ASCOPE_PMESII!$D$3:$D$62,"COR")+COUNTIF(ASCOPE_PMESII!$F$3:$F$62,"COR")+COUNTIF(ASCOPE_PMESII!$H$3:$H$62,"COR")+COUNTIF(ASCOPE_PMESII!$J$3:$J$62,"COR")))),"")))))),"")</f>
        <v>Establish combined maritime coordination cell</v>
      </c>
      <c r="F26" s="21" t="str">
        <f t="array" ref="F26">IFERROR(IF(23&lt;=COUNTIF(ASCOPE_PMESII!$B$3:$B$62,"REQT"),IFERROR(INDEX(ASCOPE_PMESII!$C$3:$C$62,_xlfn.AGGREGATE(15,6,(ROW(ASCOPE_PMESII!$B$3:$B$62)-ROW(ASCOPE_PMESII!$B$3)+1)/(ASCOPE_PMESII!$B$3:$B$62="REQT"),23)),""),IF(23&lt;=(COUNTIF(ASCOPE_PMESII!$B$3:$B$62,"REQT")+COUNTIF(ASCOPE_PMESII!$D$3:$D$62,"REQT")),IFERROR(INDEX(ASCOPE_PMESII!$E$3:$E$62,_xlfn.AGGREGATE(15,6,(ROW(ASCOPE_PMESII!$D$3:$D$62)-ROW(ASCOPE_PMESII!$D$3)+1)/(ASCOPE_PMESII!$D$3:$D$62="REQT"),23-(COUNTIF(ASCOPE_PMESII!$B$3:$B$62,"REQT")))),""),IF(23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23-(COUNTIF(ASCOPE_PMESII!$B$3:$B$62,"REQT")+COUNTIF(ASCOPE_PMESII!$D$3:$D$62,"REQT")))),""),IF(23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23-(COUNTIF(ASCOPE_PMESII!$B$3:$B$62,"REQT")+COUNTIF(ASCOPE_PMESII!$D$3:$D$62,"REQT")+COUNTIF(ASCOPE_PMESII!$F$3:$F$62,"REQT")))),""),IF(23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23-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23-(COUNTIF(ASCOPE_PMESII!$B$3:$B$62,"REQT")+COUNTIF(ASCOPE_PMESII!$D$3:$D$62,"REQT")+COUNTIF(ASCOPE_PMESII!$F$3:$F$62,"REQT")+COUNTIF(ASCOPE_PMESII!$H$3:$H$62,"REQT")+COUNTIF(ASCOPE_PMESII!$J$3:$J$62,"REQT")))),"")))))),"")</f>
        <v/>
      </c>
      <c r="G26" s="21" t="str">
        <f t="array" ref="G26">IFERROR(IF(23&lt;=COUNTIF(ASCOPE_PMESII!$B$3:$B$62,"REST"),IFERROR(INDEX(ASCOPE_PMESII!$C$3:$C$62,_xlfn.AGGREGATE(15,6,(ROW(ASCOPE_PMESII!$B$3:$B$62)-ROW(ASCOPE_PMESII!$B$3)+1)/(ASCOPE_PMESII!$B$3:$B$62="REST"),23)),""),IF(23&lt;=(COUNTIF(ASCOPE_PMESII!$B$3:$B$62,"REST")+COUNTIF(ASCOPE_PMESII!$D$3:$D$62,"REST")),IFERROR(INDEX(ASCOPE_PMESII!$E$3:$E$62,_xlfn.AGGREGATE(15,6,(ROW(ASCOPE_PMESII!$D$3:$D$62)-ROW(ASCOPE_PMESII!$D$3)+1)/(ASCOPE_PMESII!$D$3:$D$62="REST"),23-(COUNTIF(ASCOPE_PMESII!$B$3:$B$62,"REST")))),""),IF(23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23-(COUNTIF(ASCOPE_PMESII!$B$3:$B$62,"REST")+COUNTIF(ASCOPE_PMESII!$D$3:$D$62,"REST")))),""),IF(23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23-(COUNTIF(ASCOPE_PMESII!$B$3:$B$62,"REST")+COUNTIF(ASCOPE_PMESII!$D$3:$D$62,"REST")+COUNTIF(ASCOPE_PMESII!$F$3:$F$62,"REST")))),""),IF(23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23-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23-(COUNTIF(ASCOPE_PMESII!$B$3:$B$62,"REST")+COUNTIF(ASCOPE_PMESII!$D$3:$D$62,"REST")+COUNTIF(ASCOPE_PMESII!$F$3:$F$62,"REST")+COUNTIF(ASCOPE_PMESII!$H$3:$H$62,"REST")+COUNTIF(ASCOPE_PMESII!$J$3:$J$62,"REST")))),"")))))),"")</f>
        <v/>
      </c>
      <c r="H26" s="21" t="str">
        <f t="array" ref="H26">IFERROR(IF(23&lt;=COUNTIF(ASCOPE_PMESII!$B$3:$B$62,"KCD-MUST"),IFERROR(INDEX(ASCOPE_PMESII!$C$3:$C$62,_xlfn.AGGREGATE(15,6,(ROW(ASCOPE_PMESII!$B$3:$B$62)-ROW(ASCOPE_PMESII!$B$3)+1)/(ASCOPE_PMESII!$B$3:$B$62="KCD-MUST"),23)),""),IF(23&lt;=(COUNTIF(ASCOPE_PMESII!$B$3:$B$62,"KCD-MUST")+COUNTIF(ASCOPE_PMESII!$D$3:$D$62,"KCD-MUST")),IFERROR(INDEX(ASCOPE_PMESII!$E$3:$E$62,_xlfn.AGGREGATE(15,6,(ROW(ASCOPE_PMESII!$D$3:$D$62)-ROW(ASCOPE_PMESII!$D$3)+1)/(ASCOPE_PMESII!$D$3:$D$62="KCD-MUST"),23-(COUNTIF(ASCOPE_PMESII!$B$3:$B$62,"KCD-MUST")))),""),IF(23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23-(COUNTIF(ASCOPE_PMESII!$B$3:$B$62,"KCD-MUST")+COUNTIF(ASCOPE_PMESII!$D$3:$D$62,"KCD-MUST")))),""),IF(23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23-(COUNTIF(ASCOPE_PMESII!$B$3:$B$62,"KCD-MUST")+COUNTIF(ASCOPE_PMESII!$D$3:$D$62,"KCD-MUST")+COUNTIF(ASCOPE_PMESII!$F$3:$F$62,"KCD-MUST")))),""),IF(23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23-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23-(COUNTIF(ASCOPE_PMESII!$B$3:$B$62,"KCD-MUST")+COUNTIF(ASCOPE_PMESII!$D$3:$D$62,"KCD-MUST")+COUNTIF(ASCOPE_PMESII!$F$3:$F$62,"KCD-MUST")+COUNTIF(ASCOPE_PMESII!$H$3:$H$62,"KCD-MUST")+COUNTIF(ASCOPE_PMESII!$J$3:$J$62,"KCD-MUST")))),"")))))),"")</f>
        <v>Secure HNS and access before force closure</v>
      </c>
      <c r="I26" s="21" t="str">
        <f t="array" ref="I26">IFERROR(IF(23&lt;=COUNTIF(ASCOPE_PMESII!$B$3:$B$62,"KCD-SHOULD"),IFERROR(INDEX(ASCOPE_PMESII!$C$3:$C$62,_xlfn.AGGREGATE(15,6,(ROW(ASCOPE_PMESII!$B$3:$B$62)-ROW(ASCOPE_PMESII!$B$3)+1)/(ASCOPE_PMESII!$B$3:$B$62="KCD-SHOULD"),23)),""),IF(23&lt;=(COUNTIF(ASCOPE_PMESII!$B$3:$B$62,"KCD-SHOULD")+COUNTIF(ASCOPE_PMESII!$D$3:$D$62,"KCD-SHOULD")),IFERROR(INDEX(ASCOPE_PMESII!$E$3:$E$62,_xlfn.AGGREGATE(15,6,(ROW(ASCOPE_PMESII!$D$3:$D$62)-ROW(ASCOPE_PMESII!$D$3)+1)/(ASCOPE_PMESII!$D$3:$D$62="KCD-SHOULD"),23-(COUNTIF(ASCOPE_PMESII!$B$3:$B$62,"KCD-SHOULD")))),""),IF(23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23-(COUNTIF(ASCOPE_PMESII!$B$3:$B$62,"KCD-SHOULD")+COUNTIF(ASCOPE_PMESII!$D$3:$D$62,"KCD-SHOULD")))),""),IF(23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23-(COUNTIF(ASCOPE_PMESII!$B$3:$B$62,"KCD-SHOULD")+COUNTIF(ASCOPE_PMESII!$D$3:$D$62,"KCD-SHOULD")+COUNTIF(ASCOPE_PMESII!$F$3:$F$62,"KCD-SHOULD")))),""),IF(23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23-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23-(COUNTIF(ASCOPE_PMESII!$B$3:$B$62,"KCD-SHOULD")+COUNTIF(ASCOPE_PMESII!$D$3:$D$62,"KCD-SHOULD")+COUNTIF(ASCOPE_PMESII!$F$3:$F$62,"KCD-SHOULD")+COUNTIF(ASCOPE_PMESII!$H$3:$H$62,"KCD-SHOULD")+COUNTIF(ASCOPE_PMESII!$J$3:$J$62,"KCD-SHOULD")))),"")))))),"")</f>
        <v>Embed liaison into ports and airports</v>
      </c>
      <c r="J26" s="21" t="str">
        <f t="array" ref="J26">IFERROR(IF(23&lt;=COUNTIF(ASCOPE_PMESII!$B$3:$B$62,"KCD-SHOULD NOT"),IFERROR(INDEX(ASCOPE_PMESII!$C$3:$C$62,_xlfn.AGGREGATE(15,6,(ROW(ASCOPE_PMESII!$B$3:$B$62)-ROW(ASCOPE_PMESII!$B$3)+1)/(ASCOPE_PMESII!$B$3:$B$62="KCD-SHOULD NOT"),23)),""),IF(23&lt;=(COUNTIF(ASCOPE_PMESII!$B$3:$B$62,"KCD-SHOULD NOT")+COUNTIF(ASCOPE_PMESII!$D$3:$D$62,"KCD-SHOULD NOT")),IFERROR(INDEX(ASCOPE_PMESII!$E$3:$E$62,_xlfn.AGGREGATE(15,6,(ROW(ASCOPE_PMESII!$D$3:$D$62)-ROW(ASCOPE_PMESII!$D$3)+1)/(ASCOPE_PMESII!$D$3:$D$62="KCD-SHOULD NOT"),23-(COUNTIF(ASCOPE_PMESII!$B$3:$B$62,"KCD-SHOULD NOT")))),""),IF(23&lt;=(COUNTIF(ASCOPE_PMESII!$B$3:$B$62,"KCD-SHOULD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NOT"),23-(COUNTIF(ASCOPE_PMESII!$B$3:$B$62,"KCD-SHOULD NOT")+COUNTIF(ASCOPE_PMESII!$D$3:$D$62,"KCD-SHOULD NOT")))),""),IF(23&lt;=(COUNTIF(ASCOPE_PMESII!$B$3:$B$62,"KCD-SHOULD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NOT"),23-(COUNTIF(ASCOPE_PMESII!$B$3:$B$62,"KCD-SHOULD NOT")+COUNTIF(ASCOPE_PMESII!$D$3:$D$62,"KCD-SHOULD NOT")+COUNTIF(ASCOPE_PMESII!$F$3:$F$62,"KCD-SHOULD NOT")))),""),IF(23&lt;=(COUNTIF(ASCOPE_PMESII!$B$3:$B$62,"KCD-SHOULD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NOT"),23-(COUNTIF(ASCOPE_PMESII!$B$3:$B$62,"KCD-SHOULD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NOT"),23-(COUNTIF(ASCOPE_PMESII!$B$3:$B$62,"KCD-SHOULD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26" s="21" t="str">
        <f t="array" ref="K26">IFERROR(IF(23&lt;=COUNTIF(ASCOPE_PMESII!$B$3:$B$62,"KCD-CANNOT"),IFERROR(INDEX(ASCOPE_PMESII!$C$3:$C$62,_xlfn.AGGREGATE(15,6,(ROW(ASCOPE_PMESII!$B$3:$B$62)-ROW(ASCOPE_PMESII!$B$3)+1)/(ASCOPE_PMESII!$B$3:$B$62="KCD-CANNOT"),23)),""),IF(23&lt;=(COUNTIF(ASCOPE_PMESII!$B$3:$B$62,"KCD-CANNOT")+COUNTIF(ASCOPE_PMESII!$D$3:$D$62,"KCD-CANNOT")),IFERROR(INDEX(ASCOPE_PMESII!$E$3:$E$62,_xlfn.AGGREGATE(15,6,(ROW(ASCOPE_PMESII!$D$3:$D$62)-ROW(ASCOPE_PMESII!$D$3)+1)/(ASCOPE_PMESII!$D$3:$D$62="KCD-CANNOT"),23-(COUNTIF(ASCOPE_PMESII!$B$3:$B$62,"KCD-CANNOT")))),""),IF(23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23-(COUNTIF(ASCOPE_PMESII!$B$3:$B$62,"KCD-CANNOT")+COUNTIF(ASCOPE_PMESII!$D$3:$D$62,"KCD-CANNOT")))),""),IF(23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23-(COUNTIF(ASCOPE_PMESII!$B$3:$B$62,"KCD-CANNOT")+COUNTIF(ASCOPE_PMESII!$D$3:$D$62,"KCD-CANNOT")+COUNTIF(ASCOPE_PMESII!$F$3:$F$62,"KCD-CANNOT")))),""),IF(23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23-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23-(COUNTIF(ASCOPE_PMESII!$B$3:$B$62,"KCD-CANNOT")+COUNTIF(ASCOPE_PMESII!$D$3:$D$62,"KCD-CANNOT")+COUNTIF(ASCOPE_PMESII!$F$3:$F$62,"KCD-CANNOT")+COUNTIF(ASCOPE_PMESII!$H$3:$H$62,"KCD-CANNOT")+COUNTIF(ASCOPE_PMESII!$J$3:$J$62,"KCD-CANNOT")))),"")))))),"")</f>
        <v>Cannot assume HNS equals capacity</v>
      </c>
      <c r="L26" s="21" t="str">
        <f t="array" ref="L26">IFERROR(IF(23&lt;=COUNTIF(ASCOPE_PMESII!$B$3:$B$62,"DECISION"),IFERROR(INDEX(ASCOPE_PMESII!$C$3:$C$62,_xlfn.AGGREGATE(15,6,(ROW(ASCOPE_PMESII!$B$3:$B$62)-ROW(ASCOPE_PMESII!$B$3)+1)/(ASCOPE_PMESII!$B$3:$B$62="DECISION"),23)),""),IF(23&lt;=(COUNTIF(ASCOPE_PMESII!$B$3:$B$62,"DECISION")+COUNTIF(ASCOPE_PMESII!$D$3:$D$62,"DECISION")),IFERROR(INDEX(ASCOPE_PMESII!$E$3:$E$62,_xlfn.AGGREGATE(15,6,(ROW(ASCOPE_PMESII!$D$3:$D$62)-ROW(ASCOPE_PMESII!$D$3)+1)/(ASCOPE_PMESII!$D$3:$D$62="DECISION"),23-(COUNTIF(ASCOPE_PMESII!$B$3:$B$62,"DECISION")))),""),IF(23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23-(COUNTIF(ASCOPE_PMESII!$B$3:$B$62,"DECISION")+COUNTIF(ASCOPE_PMESII!$D$3:$D$62,"DECISION")))),""),IF(23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23-(COUNTIF(ASCOPE_PMESII!$B$3:$B$62,"DECISION")+COUNTIF(ASCOPE_PMESII!$D$3:$D$62,"DECISION")+COUNTIF(ASCOPE_PMESII!$F$3:$F$62,"DECISION")))),""),IF(23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23-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23-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26" s="21" t="str">
        <f t="array" ref="M26">IFERROR(IF(23&lt;=COUNTIF(ASCOPE_PMESII!$B$3:$B$62,"ASSUMPTION"),IFERROR(INDEX(ASCOPE_PMESII!$C$3:$C$62,_xlfn.AGGREGATE(15,6,(ROW(ASCOPE_PMESII!$B$3:$B$62)-ROW(ASCOPE_PMESII!$B$3)+1)/(ASCOPE_PMESII!$B$3:$B$62="ASSUMPTION"),23)),""),IF(23&lt;=(COUNTIF(ASCOPE_PMESII!$B$3:$B$62,"ASSUMPTION")+COUNTIF(ASCOPE_PMESII!$D$3:$D$62,"ASSUMPTION")),IFERROR(INDEX(ASCOPE_PMESII!$E$3:$E$62,_xlfn.AGGREGATE(15,6,(ROW(ASCOPE_PMESII!$D$3:$D$62)-ROW(ASCOPE_PMESII!$D$3)+1)/(ASCOPE_PMESII!$D$3:$D$62="ASSUMPTION"),23-(COUNTIF(ASCOPE_PMESII!$B$3:$B$62,"ASSUMPTION")))),""),IF(23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23-(COUNTIF(ASCOPE_PMESII!$B$3:$B$62,"ASSUMPTION")+COUNTIF(ASCOPE_PMESII!$D$3:$D$62,"ASSUMPTION")))),""),IF(23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23-(COUNTIF(ASCOPE_PMESII!$B$3:$B$62,"ASSUMPTION")+COUNTIF(ASCOPE_PMESII!$D$3:$D$62,"ASSUMPTION")+COUNTIF(ASCOPE_PMESII!$F$3:$F$62,"ASSUMPTION")))),""),IF(23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23-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23-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26" s="21" t="str">
        <f t="array" ref="N26">IFERROR(IF(23&lt;=COUNTIF(ASCOPE_PMESII!$B$3:$B$62,"CONSTRAINT"),IFERROR(INDEX(ASCOPE_PMESII!$C$3:$C$62,_xlfn.AGGREGATE(15,6,(ROW(ASCOPE_PMESII!$B$3:$B$62)-ROW(ASCOPE_PMESII!$B$3)+1)/(ASCOPE_PMESII!$B$3:$B$62="CONSTRAINT"),23)),""),IF(23&lt;=(COUNTIF(ASCOPE_PMESII!$B$3:$B$62,"CONSTRAINT")+COUNTIF(ASCOPE_PMESII!$D$3:$D$62,"CONSTRAINT")),IFERROR(INDEX(ASCOPE_PMESII!$E$3:$E$62,_xlfn.AGGREGATE(15,6,(ROW(ASCOPE_PMESII!$D$3:$D$62)-ROW(ASCOPE_PMESII!$D$3)+1)/(ASCOPE_PMESII!$D$3:$D$62="CONSTRAINT"),23-(COUNTIF(ASCOPE_PMESII!$B$3:$B$62,"CONSTRAINT")))),""),IF(23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23-(COUNTIF(ASCOPE_PMESII!$B$3:$B$62,"CONSTRAINT")+COUNTIF(ASCOPE_PMESII!$D$3:$D$62,"CONSTRAINT")))),""),IF(23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23-(COUNTIF(ASCOPE_PMESII!$B$3:$B$62,"CONSTRAINT")+COUNTIF(ASCOPE_PMESII!$D$3:$D$62,"CONSTRAINT")+COUNTIF(ASCOPE_PMESII!$F$3:$F$62,"CONSTRAINT")))),""),IF(23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23-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23-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26" s="21" t="str">
        <f t="array" ref="O26">IFERROR(IF(23&lt;=COUNTIF(ASCOPE_PMESII!$B$3:$B$62,"LIMITATION"),IFERROR(INDEX(ASCOPE_PMESII!$C$3:$C$62,_xlfn.AGGREGATE(15,6,(ROW(ASCOPE_PMESII!$B$3:$B$62)-ROW(ASCOPE_PMESII!$B$3)+1)/(ASCOPE_PMESII!$B$3:$B$62="LIMITATION"),23)),""),IF(23&lt;=(COUNTIF(ASCOPE_PMESII!$B$3:$B$62,"LIMITATION")+COUNTIF(ASCOPE_PMESII!$D$3:$D$62,"LIMITATION")),IFERROR(INDEX(ASCOPE_PMESII!$E$3:$E$62,_xlfn.AGGREGATE(15,6,(ROW(ASCOPE_PMESII!$D$3:$D$62)-ROW(ASCOPE_PMESII!$D$3)+1)/(ASCOPE_PMESII!$D$3:$D$62="LIMITATION"),23-(COUNTIF(ASCOPE_PMESII!$B$3:$B$62,"LIMITATION")))),""),IF(23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23-(COUNTIF(ASCOPE_PMESII!$B$3:$B$62,"LIMITATION")+COUNTIF(ASCOPE_PMESII!$D$3:$D$62,"LIMITATION")))),""),IF(23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23-(COUNTIF(ASCOPE_PMESII!$B$3:$B$62,"LIMITATION")+COUNTIF(ASCOPE_PMESII!$D$3:$D$62,"LIMITATION")+COUNTIF(ASCOPE_PMESII!$F$3:$F$62,"LIMITATION")))),""),IF(23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23-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23-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26" s="21" t="str">
        <f t="array" ref="P26">IFERROR(IF(23&lt;=COUNTIF(ASCOPE_PMESII!$B$3:$B$62,"CC"),IFERROR(INDEX(ASCOPE_PMESII!$C$3:$C$62,_xlfn.AGGREGATE(15,6,(ROW(ASCOPE_PMESII!$B$3:$B$62)-ROW(ASCOPE_PMESII!$B$3)+1)/(ASCOPE_PMESII!$B$3:$B$62="CC"),23)),""),IF(23&lt;=(COUNTIF(ASCOPE_PMESII!$B$3:$B$62,"CC")+COUNTIF(ASCOPE_PMESII!$D$3:$D$62,"CC")),IFERROR(INDEX(ASCOPE_PMESII!$E$3:$E$62,_xlfn.AGGREGATE(15,6,(ROW(ASCOPE_PMESII!$D$3:$D$62)-ROW(ASCOPE_PMESII!$D$3)+1)/(ASCOPE_PMESII!$D$3:$D$62="CC"),23-(COUNTIF(ASCOPE_PMESII!$B$3:$B$62,"CC")))),""),IF(23&lt;=(COUNTIF(ASCOPE_PMESII!$B$3:$B$62,"CC")+COUNTIF(ASCOPE_PMESII!$D$3:$D$62,"CC")+COUNTIF(ASCOPE_PMESII!$F$3:$F$62,"CC")),IFERROR(INDEX(ASCOPE_PMESII!$G$3:$G$62,_xlfn.AGGREGATE(15,6,(ROW(ASCOPE_PMESII!$F$3:$F$62)-ROW(ASCOPE_PMESII!$F$3)+1)/(ASCOPE_PMESII!$F$3:$F$62="CC"),23-(COUNTIF(ASCOPE_PMESII!$B$3:$B$62,"CC")+COUNTIF(ASCOPE_PMESII!$D$3:$D$62,"CC")))),""),IF(23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23-(COUNTIF(ASCOPE_PMESII!$B$3:$B$62,"CC")+COUNTIF(ASCOPE_PMESII!$D$3:$D$62,"CC")+COUNTIF(ASCOPE_PMESII!$F$3:$F$62,"CC")))),""),IF(23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23-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23-(COUNTIF(ASCOPE_PMESII!$B$3:$B$62,"CC")+COUNTIF(ASCOPE_PMESII!$D$3:$D$62,"CC")+COUNTIF(ASCOPE_PMESII!$F$3:$F$62,"CC")+COUNTIF(ASCOPE_PMESII!$H$3:$H$62,"CC")+COUNTIF(ASCOPE_PMESII!$J$3:$J$62,"CC")))),"")))))),"")</f>
        <v>APOD/SPOD throughput shapes tempo</v>
      </c>
      <c r="Q26" s="21" t="str">
        <f t="array" ref="Q26">IFERROR(IF(23&lt;=COUNTIF(ASCOPE_PMESII!$B$3:$B$62,"CR"),IFERROR(INDEX(ASCOPE_PMESII!$C$3:$C$62,_xlfn.AGGREGATE(15,6,(ROW(ASCOPE_PMESII!$B$3:$B$62)-ROW(ASCOPE_PMESII!$B$3)+1)/(ASCOPE_PMESII!$B$3:$B$62="CR"),23)),""),IF(23&lt;=(COUNTIF(ASCOPE_PMESII!$B$3:$B$62,"CR")+COUNTIF(ASCOPE_PMESII!$D$3:$D$62,"CR")),IFERROR(INDEX(ASCOPE_PMESII!$E$3:$E$62,_xlfn.AGGREGATE(15,6,(ROW(ASCOPE_PMESII!$D$3:$D$62)-ROW(ASCOPE_PMESII!$D$3)+1)/(ASCOPE_PMESII!$D$3:$D$62="CR"),23-(COUNTIF(ASCOPE_PMESII!$B$3:$B$62,"CR")))),""),IF(23&lt;=(COUNTIF(ASCOPE_PMESII!$B$3:$B$62,"CR")+COUNTIF(ASCOPE_PMESII!$D$3:$D$62,"CR")+COUNTIF(ASCOPE_PMESII!$F$3:$F$62,"CR")),IFERROR(INDEX(ASCOPE_PMESII!$G$3:$G$62,_xlfn.AGGREGATE(15,6,(ROW(ASCOPE_PMESII!$F$3:$F$62)-ROW(ASCOPE_PMESII!$F$3)+1)/(ASCOPE_PMESII!$F$3:$F$62="CR"),23-(COUNTIF(ASCOPE_PMESII!$B$3:$B$62,"CR")+COUNTIF(ASCOPE_PMESII!$D$3:$D$62,"CR")))),""),IF(23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23-(COUNTIF(ASCOPE_PMESII!$B$3:$B$62,"CR")+COUNTIF(ASCOPE_PMESII!$D$3:$D$62,"CR")+COUNTIF(ASCOPE_PMESII!$F$3:$F$62,"CR")))),""),IF(23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23-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23-(COUNTIF(ASCOPE_PMESII!$B$3:$B$62,"CR")+COUNTIF(ASCOPE_PMESII!$D$3:$D$62,"CR")+COUNTIF(ASCOPE_PMESII!$F$3:$F$62,"CR")+COUNTIF(ASCOPE_PMESII!$H$3:$H$62,"CR")+COUNTIF(ASCOPE_PMESII!$J$3:$J$62,"CR")))),"")))))),"")</f>
        <v>HNS, port, customs and shipping liaison required</v>
      </c>
      <c r="R26" s="94" t="str">
        <f t="array" ref="R26">IFERROR(IF(23&lt;=COUNTIF(ASCOPE_PMESII!$B$3:$B$62,"PCS"),IFERROR(INDEX(ASCOPE_PMESII!$C$3:$C$62,_xlfn.AGGREGATE(15,6,(ROW(ASCOPE_PMESII!$B$3:$B$62)-ROW(ASCOPE_PMESII!$B$3)+1)/(ASCOPE_PMESII!$B$3:$B$62="PCS"),23)),""),IF(23&lt;=(COUNTIF(ASCOPE_PMESII!$B$3:$B$62,"PCS")+COUNTIF(ASCOPE_PMESII!$D$3:$D$62,"PCS")),IFERROR(INDEX(ASCOPE_PMESII!$E$3:$E$62,_xlfn.AGGREGATE(15,6,(ROW(ASCOPE_PMESII!$D$3:$D$62)-ROW(ASCOPE_PMESII!$D$3)+1)/(ASCOPE_PMESII!$D$3:$D$62="PCS"),23-(COUNTIF(ASCOPE_PMESII!$B$3:$B$62,"PCS")))),""),IF(23&lt;=(COUNTIF(ASCOPE_PMESII!$B$3:$B$62,"PCS")+COUNTIF(ASCOPE_PMESII!$D$3:$D$62,"PCS")+COUNTIF(ASCOPE_PMESII!$F$3:$F$62,"PCS")),IFERROR(INDEX(ASCOPE_PMESII!$G$3:$G$62,_xlfn.AGGREGATE(15,6,(ROW(ASCOPE_PMESII!$F$3:$F$62)-ROW(ASCOPE_PMESII!$F$3)+1)/(ASCOPE_PMESII!$F$3:$F$62="PCS"),23-(COUNTIF(ASCOPE_PMESII!$B$3:$B$62,"PCS")+COUNTIF(ASCOPE_PMESII!$D$3:$D$62,"PCS")))),""),IF(23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23-(COUNTIF(ASCOPE_PMESII!$B$3:$B$62,"PCS")+COUNTIF(ASCOPE_PMESII!$D$3:$D$62,"PCS")+COUNTIF(ASCOPE_PMESII!$F$3:$F$62,"PCS")))),""),IF(23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23-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23-(COUNTIF(ASCOPE_PMESII!$B$3:$B$62,"PCS")+COUNTIF(ASCOPE_PMESII!$D$3:$D$62,"PCS")+COUNTIF(ASCOPE_PMESII!$F$3:$F$62,"PCS")+COUNTIF(ASCOPE_PMESII!$H$3:$H$62,"PCS")+COUNTIF(ASCOPE_PMESII!$J$3:$J$62,"PCS")))),"")))))),"")</f>
        <v/>
      </c>
    </row>
    <row r="27" spans="1:18" ht="34.5" customHeight="1">
      <c r="A27" s="22" t="str">
        <f t="array" ref="A27">IFERROR(IF(24&lt;=COUNTIF(ASCOPE_PMESII!$B$3:$B$62,"OE"),IFERROR(INDEX(ASCOPE_PMESII!$C$3:$C$62,_xlfn.AGGREGATE(15,6,(ROW(ASCOPE_PMESII!$B$3:$B$62)-ROW(ASCOPE_PMESII!$B$3)+1)/(ASCOPE_PMESII!$B$3:$B$62="OE"),24)),""),IF(24&lt;=(COUNTIF(ASCOPE_PMESII!$B$3:$B$62,"OE")+COUNTIF(ASCOPE_PMESII!$D$3:$D$62,"OE")),IFERROR(INDEX(ASCOPE_PMESII!$E$3:$E$62,_xlfn.AGGREGATE(15,6,(ROW(ASCOPE_PMESII!$D$3:$D$62)-ROW(ASCOPE_PMESII!$D$3)+1)/(ASCOPE_PMESII!$D$3:$D$62="OE"),24-(COUNTIF(ASCOPE_PMESII!$B$3:$B$62,"OE")))),""),IF(24&lt;=(COUNTIF(ASCOPE_PMESII!$B$3:$B$62,"OE")+COUNTIF(ASCOPE_PMESII!$D$3:$D$62,"OE")+COUNTIF(ASCOPE_PMESII!$F$3:$F$62,"OE")),IFERROR(INDEX(ASCOPE_PMESII!$G$3:$G$62,_xlfn.AGGREGATE(15,6,(ROW(ASCOPE_PMESII!$F$3:$F$62)-ROW(ASCOPE_PMESII!$F$3)+1)/(ASCOPE_PMESII!$F$3:$F$62="OE"),24-(COUNTIF(ASCOPE_PMESII!$B$3:$B$62,"OE")+COUNTIF(ASCOPE_PMESII!$D$3:$D$62,"OE")))),""),IF(24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24-(COUNTIF(ASCOPE_PMESII!$B$3:$B$62,"OE")+COUNTIF(ASCOPE_PMESII!$D$3:$D$62,"OE")+COUNTIF(ASCOPE_PMESII!$F$3:$F$62,"OE")))),""),IF(24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24-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24-(COUNTIF(ASCOPE_PMESII!$B$3:$B$62,"OE")+COUNTIF(ASCOPE_PMESII!$D$3:$D$62,"OE")+COUNTIF(ASCOPE_PMESII!$F$3:$F$62,"OE")+COUNTIF(ASCOPE_PMESII!$H$3:$H$62,"OE")+COUNTIF(ASCOPE_PMESII!$J$3:$J$62,"OE")))),"")))))),"")</f>
        <v/>
      </c>
      <c r="B27" s="22" t="str">
        <f t="array" ref="B27">IFERROR(IF(24&lt;=COUNTIF(ASCOPE_PMESII!$B$3:$B$62,"OA"),IFERROR(INDEX(ASCOPE_PMESII!$C$3:$C$62,_xlfn.AGGREGATE(15,6,(ROW(ASCOPE_PMESII!$B$3:$B$62)-ROW(ASCOPE_PMESII!$B$3)+1)/(ASCOPE_PMESII!$B$3:$B$62="OA"),24)),""),IF(24&lt;=(COUNTIF(ASCOPE_PMESII!$B$3:$B$62,"OA")+COUNTIF(ASCOPE_PMESII!$D$3:$D$62,"OA")),IFERROR(INDEX(ASCOPE_PMESII!$E$3:$E$62,_xlfn.AGGREGATE(15,6,(ROW(ASCOPE_PMESII!$D$3:$D$62)-ROW(ASCOPE_PMESII!$D$3)+1)/(ASCOPE_PMESII!$D$3:$D$62="OA"),24-(COUNTIF(ASCOPE_PMESII!$B$3:$B$62,"OA")))),""),IF(24&lt;=(COUNTIF(ASCOPE_PMESII!$B$3:$B$62,"OA")+COUNTIF(ASCOPE_PMESII!$D$3:$D$62,"OA")+COUNTIF(ASCOPE_PMESII!$F$3:$F$62,"OA")),IFERROR(INDEX(ASCOPE_PMESII!$G$3:$G$62,_xlfn.AGGREGATE(15,6,(ROW(ASCOPE_PMESII!$F$3:$F$62)-ROW(ASCOPE_PMESII!$F$3)+1)/(ASCOPE_PMESII!$F$3:$F$62="OA"),24-(COUNTIF(ASCOPE_PMESII!$B$3:$B$62,"OA")+COUNTIF(ASCOPE_PMESII!$D$3:$D$62,"OA")))),""),IF(24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24-(COUNTIF(ASCOPE_PMESII!$B$3:$B$62,"OA")+COUNTIF(ASCOPE_PMESII!$D$3:$D$62,"OA")+COUNTIF(ASCOPE_PMESII!$F$3:$F$62,"OA")))),""),IF(24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24-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24-(COUNTIF(ASCOPE_PMESII!$B$3:$B$62,"OA")+COUNTIF(ASCOPE_PMESII!$D$3:$D$62,"OA")+COUNTIF(ASCOPE_PMESII!$F$3:$F$62,"OA")+COUNTIF(ASCOPE_PMESII!$H$3:$H$62,"OA")+COUNTIF(ASCOPE_PMESII!$J$3:$J$62,"OA")))),"")))))),"")</f>
        <v/>
      </c>
      <c r="C27" s="22" t="str">
        <f t="array" ref="C27">IFERROR(IF(24&lt;=COUNTIF(ASCOPE_PMESII!$B$3:$B$62,"RISK"),IFERROR(INDEX(ASCOPE_PMESII!$C$3:$C$62,_xlfn.AGGREGATE(15,6,(ROW(ASCOPE_PMESII!$B$3:$B$62)-ROW(ASCOPE_PMESII!$B$3)+1)/(ASCOPE_PMESII!$B$3:$B$62="RISK"),24)),""),IF(24&lt;=(COUNTIF(ASCOPE_PMESII!$B$3:$B$62,"RISK")+COUNTIF(ASCOPE_PMESII!$D$3:$D$62,"RISK")),IFERROR(INDEX(ASCOPE_PMESII!$E$3:$E$62,_xlfn.AGGREGATE(15,6,(ROW(ASCOPE_PMESII!$D$3:$D$62)-ROW(ASCOPE_PMESII!$D$3)+1)/(ASCOPE_PMESII!$D$3:$D$62="RISK"),24-(COUNTIF(ASCOPE_PMESII!$B$3:$B$62,"RISK")))),""),IF(24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24-(COUNTIF(ASCOPE_PMESII!$B$3:$B$62,"RISK")+COUNTIF(ASCOPE_PMESII!$D$3:$D$62,"RISK")))),""),IF(24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24-(COUNTIF(ASCOPE_PMESII!$B$3:$B$62,"RISK")+COUNTIF(ASCOPE_PMESII!$D$3:$D$62,"RISK")+COUNTIF(ASCOPE_PMESII!$F$3:$F$62,"RISK")))),""),IF(24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24-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24-(COUNTIF(ASCOPE_PMESII!$B$3:$B$62,"RISK")+COUNTIF(ASCOPE_PMESII!$D$3:$D$62,"RISK")+COUNTIF(ASCOPE_PMESII!$F$3:$F$62,"RISK")+COUNTIF(ASCOPE_PMESII!$H$3:$H$62,"RISK")+COUNTIF(ASCOPE_PMESII!$J$3:$J$62,"RISK")))),"")))))),"")</f>
        <v>Message mismatch creates coalition contradictions</v>
      </c>
      <c r="D27" s="22" t="str">
        <f t="array" ref="D27">IFERROR(IF(24&lt;=COUNTIF(ASCOPE_PMESII!$B$3:$B$62,"CV"),IFERROR(INDEX(ASCOPE_PMESII!$C$3:$C$62,_xlfn.AGGREGATE(15,6,(ROW(ASCOPE_PMESII!$B$3:$B$62)-ROW(ASCOPE_PMESII!$B$3)+1)/(ASCOPE_PMESII!$B$3:$B$62="CV"),24)),""),IF(24&lt;=(COUNTIF(ASCOPE_PMESII!$B$3:$B$62,"CV")+COUNTIF(ASCOPE_PMESII!$D$3:$D$62,"CV")),IFERROR(INDEX(ASCOPE_PMESII!$E$3:$E$62,_xlfn.AGGREGATE(15,6,(ROW(ASCOPE_PMESII!$D$3:$D$62)-ROW(ASCOPE_PMESII!$D$3)+1)/(ASCOPE_PMESII!$D$3:$D$62="CV"),24-(COUNTIF(ASCOPE_PMESII!$B$3:$B$62,"CV")))),""),IF(24&lt;=(COUNTIF(ASCOPE_PMESII!$B$3:$B$62,"CV")+COUNTIF(ASCOPE_PMESII!$D$3:$D$62,"CV")+COUNTIF(ASCOPE_PMESII!$F$3:$F$62,"CV")),IFERROR(INDEX(ASCOPE_PMESII!$G$3:$G$62,_xlfn.AGGREGATE(15,6,(ROW(ASCOPE_PMESII!$F$3:$F$62)-ROW(ASCOPE_PMESII!$F$3)+1)/(ASCOPE_PMESII!$F$3:$F$62="CV"),24-(COUNTIF(ASCOPE_PMESII!$B$3:$B$62,"CV")+COUNTIF(ASCOPE_PMESII!$D$3:$D$62,"CV")))),""),IF(24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24-(COUNTIF(ASCOPE_PMESII!$B$3:$B$62,"CV")+COUNTIF(ASCOPE_PMESII!$D$3:$D$62,"CV")+COUNTIF(ASCOPE_PMESII!$F$3:$F$62,"CV")))),""),IF(24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24-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24-(COUNTIF(ASCOPE_PMESII!$B$3:$B$62,"CV")+COUNTIF(ASCOPE_PMESII!$D$3:$D$62,"CV")+COUNTIF(ASCOPE_PMESII!$F$3:$F$62,"CV")+COUNTIF(ASCOPE_PMESII!$H$3:$H$62,"CV")+COUNTIF(ASCOPE_PMESII!$J$3:$J$62,"CV")))),"")))))),"")</f>
        <v>Money networks link criminal and external sponsors</v>
      </c>
      <c r="E27" s="22" t="str">
        <f t="array" ref="E27">IFERROR(IF(24&lt;=COUNTIF(ASCOPE_PMESII!$B$3:$B$62,"COR"),IFERROR(INDEX(ASCOPE_PMESII!$C$3:$C$62,_xlfn.AGGREGATE(15,6,(ROW(ASCOPE_PMESII!$B$3:$B$62)-ROW(ASCOPE_PMESII!$B$3)+1)/(ASCOPE_PMESII!$B$3:$B$62="COR"),24)),""),IF(24&lt;=(COUNTIF(ASCOPE_PMESII!$B$3:$B$62,"COR")+COUNTIF(ASCOPE_PMESII!$D$3:$D$62,"COR")),IFERROR(INDEX(ASCOPE_PMESII!$E$3:$E$62,_xlfn.AGGREGATE(15,6,(ROW(ASCOPE_PMESII!$D$3:$D$62)-ROW(ASCOPE_PMESII!$D$3)+1)/(ASCOPE_PMESII!$D$3:$D$62="COR"),24-(COUNTIF(ASCOPE_PMESII!$B$3:$B$62,"COR")))),""),IF(24&lt;=(COUNTIF(ASCOPE_PMESII!$B$3:$B$62,"COR")+COUNTIF(ASCOPE_PMESII!$D$3:$D$62,"COR")+COUNTIF(ASCOPE_PMESII!$F$3:$F$62,"COR")),IFERROR(INDEX(ASCOPE_PMESII!$G$3:$G$62,_xlfn.AGGREGATE(15,6,(ROW(ASCOPE_PMESII!$F$3:$F$62)-ROW(ASCOPE_PMESII!$F$3)+1)/(ASCOPE_PMESII!$F$3:$F$62="COR"),24-(COUNTIF(ASCOPE_PMESII!$B$3:$B$62,"COR")+COUNTIF(ASCOPE_PMESII!$D$3:$D$62,"COR")))),""),IF(24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24-(COUNTIF(ASCOPE_PMESII!$B$3:$B$62,"COR")+COUNTIF(ASCOPE_PMESII!$D$3:$D$62,"COR")+COUNTIF(ASCOPE_PMESII!$F$3:$F$62,"COR")))),""),IF(24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24-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24-(COUNTIF(ASCOPE_PMESII!$B$3:$B$62,"COR")+COUNTIF(ASCOPE_PMESII!$D$3:$D$62,"COR")+COUNTIF(ASCOPE_PMESII!$F$3:$F$62,"COR")+COUNTIF(ASCOPE_PMESII!$H$3:$H$62,"COR")+COUNTIF(ASCOPE_PMESII!$J$3:$J$62,"COR")))),"")))))),"")</f>
        <v>Build audience-specific effect plan</v>
      </c>
      <c r="F27" s="22" t="str">
        <f t="array" ref="F27">IFERROR(IF(24&lt;=COUNTIF(ASCOPE_PMESII!$B$3:$B$62,"REQT"),IFERROR(INDEX(ASCOPE_PMESII!$C$3:$C$62,_xlfn.AGGREGATE(15,6,(ROW(ASCOPE_PMESII!$B$3:$B$62)-ROW(ASCOPE_PMESII!$B$3)+1)/(ASCOPE_PMESII!$B$3:$B$62="REQT"),24)),""),IF(24&lt;=(COUNTIF(ASCOPE_PMESII!$B$3:$B$62,"REQT")+COUNTIF(ASCOPE_PMESII!$D$3:$D$62,"REQT")),IFERROR(INDEX(ASCOPE_PMESII!$E$3:$E$62,_xlfn.AGGREGATE(15,6,(ROW(ASCOPE_PMESII!$D$3:$D$62)-ROW(ASCOPE_PMESII!$D$3)+1)/(ASCOPE_PMESII!$D$3:$D$62="REQT"),24-(COUNTIF(ASCOPE_PMESII!$B$3:$B$62,"REQT")))),""),IF(24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24-(COUNTIF(ASCOPE_PMESII!$B$3:$B$62,"REQT")+COUNTIF(ASCOPE_PMESII!$D$3:$D$62,"REQT")))),""),IF(24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24-(COUNTIF(ASCOPE_PMESII!$B$3:$B$62,"REQT")+COUNTIF(ASCOPE_PMESII!$D$3:$D$62,"REQT")+COUNTIF(ASCOPE_PMESII!$F$3:$F$62,"REQT")))),""),IF(24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24-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24-(COUNTIF(ASCOPE_PMESII!$B$3:$B$62,"REQT")+COUNTIF(ASCOPE_PMESII!$D$3:$D$62,"REQT")+COUNTIF(ASCOPE_PMESII!$F$3:$F$62,"REQT")+COUNTIF(ASCOPE_PMESII!$H$3:$H$62,"REQT")+COUNTIF(ASCOPE_PMESII!$J$3:$J$62,"REQT")))),"")))))),"")</f>
        <v/>
      </c>
      <c r="G27" s="22" t="str">
        <f t="array" ref="G27">IFERROR(IF(24&lt;=COUNTIF(ASCOPE_PMESII!$B$3:$B$62,"REST"),IFERROR(INDEX(ASCOPE_PMESII!$C$3:$C$62,_xlfn.AGGREGATE(15,6,(ROW(ASCOPE_PMESII!$B$3:$B$62)-ROW(ASCOPE_PMESII!$B$3)+1)/(ASCOPE_PMESII!$B$3:$B$62="REST"),24)),""),IF(24&lt;=(COUNTIF(ASCOPE_PMESII!$B$3:$B$62,"REST")+COUNTIF(ASCOPE_PMESII!$D$3:$D$62,"REST")),IFERROR(INDEX(ASCOPE_PMESII!$E$3:$E$62,_xlfn.AGGREGATE(15,6,(ROW(ASCOPE_PMESII!$D$3:$D$62)-ROW(ASCOPE_PMESII!$D$3)+1)/(ASCOPE_PMESII!$D$3:$D$62="REST"),24-(COUNTIF(ASCOPE_PMESII!$B$3:$B$62,"REST")))),""),IF(24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24-(COUNTIF(ASCOPE_PMESII!$B$3:$B$62,"REST")+COUNTIF(ASCOPE_PMESII!$D$3:$D$62,"REST")))),""),IF(24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24-(COUNTIF(ASCOPE_PMESII!$B$3:$B$62,"REST")+COUNTIF(ASCOPE_PMESII!$D$3:$D$62,"REST")+COUNTIF(ASCOPE_PMESII!$F$3:$F$62,"REST")))),""),IF(24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24-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24-(COUNTIF(ASCOPE_PMESII!$B$3:$B$62,"REST")+COUNTIF(ASCOPE_PMESII!$D$3:$D$62,"REST")+COUNTIF(ASCOPE_PMESII!$F$3:$F$62,"REST")+COUNTIF(ASCOPE_PMESII!$H$3:$H$62,"REST")+COUNTIF(ASCOPE_PMESII!$J$3:$J$62,"REST")))),"")))))),"")</f>
        <v/>
      </c>
      <c r="H27" s="22" t="str">
        <f t="array" ref="H27">IFERROR(IF(24&lt;=COUNTIF(ASCOPE_PMESII!$B$3:$B$62,"KCD-MUST"),IFERROR(INDEX(ASCOPE_PMESII!$C$3:$C$62,_xlfn.AGGREGATE(15,6,(ROW(ASCOPE_PMESII!$B$3:$B$62)-ROW(ASCOPE_PMESII!$B$3)+1)/(ASCOPE_PMESII!$B$3:$B$62="KCD-MUST"),24)),""),IF(24&lt;=(COUNTIF(ASCOPE_PMESII!$B$3:$B$62,"KCD-MUST")+COUNTIF(ASCOPE_PMESII!$D$3:$D$62,"KCD-MUST")),IFERROR(INDEX(ASCOPE_PMESII!$E$3:$E$62,_xlfn.AGGREGATE(15,6,(ROW(ASCOPE_PMESII!$D$3:$D$62)-ROW(ASCOPE_PMESII!$D$3)+1)/(ASCOPE_PMESII!$D$3:$D$62="KCD-MUST"),24-(COUNTIF(ASCOPE_PMESII!$B$3:$B$62,"KCD-MUST")))),""),IF(24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24-(COUNTIF(ASCOPE_PMESII!$B$3:$B$62,"KCD-MUST")+COUNTIF(ASCOPE_PMESII!$D$3:$D$62,"KCD-MUST")))),""),IF(24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24-(COUNTIF(ASCOPE_PMESII!$B$3:$B$62,"KCD-MUST")+COUNTIF(ASCOPE_PMESII!$D$3:$D$62,"KCD-MUST")+COUNTIF(ASCOPE_PMESII!$F$3:$F$62,"KCD-MUST")))),""),IF(24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24-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24-(COUNTIF(ASCOPE_PMESII!$B$3:$B$62,"KCD-MUST")+COUNTIF(ASCOPE_PMESII!$D$3:$D$62,"KCD-MUST")+COUNTIF(ASCOPE_PMESII!$F$3:$F$62,"KCD-MUST")+COUNTIF(ASCOPE_PMESII!$H$3:$H$62,"KCD-MUST")+COUNTIF(ASCOPE_PMESII!$J$3:$J$62,"KCD-MUST")))),"")))))),"")</f>
        <v>Disaggregate audiences before assigning effects</v>
      </c>
      <c r="I27" s="22" t="str">
        <f t="array" ref="I27">IFERROR(IF(24&lt;=COUNTIF(ASCOPE_PMESII!$B$3:$B$62,"KCD-SHOULD"),IFERROR(INDEX(ASCOPE_PMESII!$C$3:$C$62,_xlfn.AGGREGATE(15,6,(ROW(ASCOPE_PMESII!$B$3:$B$62)-ROW(ASCOPE_PMESII!$B$3)+1)/(ASCOPE_PMESII!$B$3:$B$62="KCD-SHOULD"),24)),""),IF(24&lt;=(COUNTIF(ASCOPE_PMESII!$B$3:$B$62,"KCD-SHOULD")+COUNTIF(ASCOPE_PMESII!$D$3:$D$62,"KCD-SHOULD")),IFERROR(INDEX(ASCOPE_PMESII!$E$3:$E$62,_xlfn.AGGREGATE(15,6,(ROW(ASCOPE_PMESII!$D$3:$D$62)-ROW(ASCOPE_PMESII!$D$3)+1)/(ASCOPE_PMESII!$D$3:$D$62="KCD-SHOULD"),24-(COUNTIF(ASCOPE_PMESII!$B$3:$B$62,"KCD-SHOULD")))),""),IF(24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24-(COUNTIF(ASCOPE_PMESII!$B$3:$B$62,"KCD-SHOULD")+COUNTIF(ASCOPE_PMESII!$D$3:$D$62,"KCD-SHOULD")))),""),IF(24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24-(COUNTIF(ASCOPE_PMESII!$B$3:$B$62,"KCD-SHOULD")+COUNTIF(ASCOPE_PMESII!$D$3:$D$62,"KCD-SHOULD")+COUNTIF(ASCOPE_PMESII!$F$3:$F$62,"KCD-SHOULD")))),""),IF(24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24-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24-(COUNTIF(ASCOPE_PMESII!$B$3:$B$62,"KCD-SHOULD")+COUNTIF(ASCOPE_PMESII!$D$3:$D$62,"KCD-SHOULD")+COUNTIF(ASCOPE_PMESII!$F$3:$F$62,"KCD-SHOULD")+COUNTIF(ASCOPE_PMESII!$H$3:$H$62,"KCD-SHOULD")+COUNTIF(ASCOPE_PMESII!$J$3:$J$62,"KCD-SHOULD")))),"")))))),"")</f>
        <v>Use ASEAN legitimacy, not NATO self-praise</v>
      </c>
      <c r="J27" s="22" t="str">
        <f t="array" ref="J27">IFERROR(IF(24&lt;=COUNTIF(ASCOPE_PMESII!$B$3:$B$62,"KCD-SHOULD NOT"),IFERROR(INDEX(ASCOPE_PMESII!$C$3:$C$62,_xlfn.AGGREGATE(15,6,(ROW(ASCOPE_PMESII!$B$3:$B$62)-ROW(ASCOPE_PMESII!$B$3)+1)/(ASCOPE_PMESII!$B$3:$B$62="KCD-SHOULD NOT"),24)),""),IF(24&lt;=(COUNTIF(ASCOPE_PMESII!$B$3:$B$62,"KCD-SHOULD NOT")+COUNTIF(ASCOPE_PMESII!$D$3:$D$62,"KCD-SHOULD NOT")),IFERROR(INDEX(ASCOPE_PMESII!$E$3:$E$62,_xlfn.AGGREGATE(15,6,(ROW(ASCOPE_PMESII!$D$3:$D$62)-ROW(ASCOPE_PMESII!$D$3)+1)/(ASCOPE_PMESII!$D$3:$D$62="KCD-SHOULD NOT"),24-(COUNTIF(ASCOPE_PMESII!$B$3:$B$62,"KCD-SHOULD NOT")))),""),IF(24&lt;=(COUNTIF(ASCOPE_PMESII!$B$3:$B$62,"KCD-SHOULD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NOT"),24-(COUNTIF(ASCOPE_PMESII!$B$3:$B$62,"KCD-SHOULD NOT")+COUNTIF(ASCOPE_PMESII!$D$3:$D$62,"KCD-SHOULD NOT")))),""),IF(24&lt;=(COUNTIF(ASCOPE_PMESII!$B$3:$B$62,"KCD-SHOULD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NOT"),24-(COUNTIF(ASCOPE_PMESII!$B$3:$B$62,"KCD-SHOULD NOT")+COUNTIF(ASCOPE_PMESII!$D$3:$D$62,"KCD-SHOULD NOT")+COUNTIF(ASCOPE_PMESII!$F$3:$F$62,"KCD-SHOULD NOT")))),""),IF(24&lt;=(COUNTIF(ASCOPE_PMESII!$B$3:$B$62,"KCD-SHOULD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NOT"),24-(COUNTIF(ASCOPE_PMESII!$B$3:$B$62,"KCD-SHOULD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NOT"),24-(COUNTIF(ASCOPE_PMESII!$B$3:$B$62,"KCD-SHOULD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27" s="22" t="str">
        <f t="array" ref="K27">IFERROR(IF(24&lt;=COUNTIF(ASCOPE_PMESII!$B$3:$B$62,"KCD-CANNOT"),IFERROR(INDEX(ASCOPE_PMESII!$C$3:$C$62,_xlfn.AGGREGATE(15,6,(ROW(ASCOPE_PMESII!$B$3:$B$62)-ROW(ASCOPE_PMESII!$B$3)+1)/(ASCOPE_PMESII!$B$3:$B$62="KCD-CANNOT"),24)),""),IF(24&lt;=(COUNTIF(ASCOPE_PMESII!$B$3:$B$62,"KCD-CANNOT")+COUNTIF(ASCOPE_PMESII!$D$3:$D$62,"KCD-CANNOT")),IFERROR(INDEX(ASCOPE_PMESII!$E$3:$E$62,_xlfn.AGGREGATE(15,6,(ROW(ASCOPE_PMESII!$D$3:$D$62)-ROW(ASCOPE_PMESII!$D$3)+1)/(ASCOPE_PMESII!$D$3:$D$62="KCD-CANNOT"),24-(COUNTIF(ASCOPE_PMESII!$B$3:$B$62,"KCD-CANNOT")))),""),IF(24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24-(COUNTIF(ASCOPE_PMESII!$B$3:$B$62,"KCD-CANNOT")+COUNTIF(ASCOPE_PMESII!$D$3:$D$62,"KCD-CANNOT")))),""),IF(24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24-(COUNTIF(ASCOPE_PMESII!$B$3:$B$62,"KCD-CANNOT")+COUNTIF(ASCOPE_PMESII!$D$3:$D$62,"KCD-CANNOT")+COUNTIF(ASCOPE_PMESII!$F$3:$F$62,"KCD-CANNOT")))),""),IF(24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24-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24-(COUNTIF(ASCOPE_PMESII!$B$3:$B$62,"KCD-CANNOT")+COUNTIF(ASCOPE_PMESII!$D$3:$D$62,"KCD-CANNOT")+COUNTIF(ASCOPE_PMESII!$F$3:$F$62,"KCD-CANNOT")+COUNTIF(ASCOPE_PMESII!$H$3:$H$62,"KCD-CANNOT")+COUNTIF(ASCOPE_PMESII!$J$3:$J$62,"KCD-CANNOT")))),"")))))),"")</f>
        <v>Cannot brief public line after actions start</v>
      </c>
      <c r="L27" s="22" t="str">
        <f t="array" ref="L27">IFERROR(IF(24&lt;=COUNTIF(ASCOPE_PMESII!$B$3:$B$62,"DECISION"),IFERROR(INDEX(ASCOPE_PMESII!$C$3:$C$62,_xlfn.AGGREGATE(15,6,(ROW(ASCOPE_PMESII!$B$3:$B$62)-ROW(ASCOPE_PMESII!$B$3)+1)/(ASCOPE_PMESII!$B$3:$B$62="DECISION"),24)),""),IF(24&lt;=(COUNTIF(ASCOPE_PMESII!$B$3:$B$62,"DECISION")+COUNTIF(ASCOPE_PMESII!$D$3:$D$62,"DECISION")),IFERROR(INDEX(ASCOPE_PMESII!$E$3:$E$62,_xlfn.AGGREGATE(15,6,(ROW(ASCOPE_PMESII!$D$3:$D$62)-ROW(ASCOPE_PMESII!$D$3)+1)/(ASCOPE_PMESII!$D$3:$D$62="DECISION"),24-(COUNTIF(ASCOPE_PMESII!$B$3:$B$62,"DECISION")))),""),IF(24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24-(COUNTIF(ASCOPE_PMESII!$B$3:$B$62,"DECISION")+COUNTIF(ASCOPE_PMESII!$D$3:$D$62,"DECISION")))),""),IF(24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24-(COUNTIF(ASCOPE_PMESII!$B$3:$B$62,"DECISION")+COUNTIF(ASCOPE_PMESII!$D$3:$D$62,"DECISION")+COUNTIF(ASCOPE_PMESII!$F$3:$F$62,"DECISION")))),""),IF(24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24-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24-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27" s="22" t="str">
        <f t="array" ref="M27">IFERROR(IF(24&lt;=COUNTIF(ASCOPE_PMESII!$B$3:$B$62,"ASSUMPTION"),IFERROR(INDEX(ASCOPE_PMESII!$C$3:$C$62,_xlfn.AGGREGATE(15,6,(ROW(ASCOPE_PMESII!$B$3:$B$62)-ROW(ASCOPE_PMESII!$B$3)+1)/(ASCOPE_PMESII!$B$3:$B$62="ASSUMPTION"),24)),""),IF(24&lt;=(COUNTIF(ASCOPE_PMESII!$B$3:$B$62,"ASSUMPTION")+COUNTIF(ASCOPE_PMESII!$D$3:$D$62,"ASSUMPTION")),IFERROR(INDEX(ASCOPE_PMESII!$E$3:$E$62,_xlfn.AGGREGATE(15,6,(ROW(ASCOPE_PMESII!$D$3:$D$62)-ROW(ASCOPE_PMESII!$D$3)+1)/(ASCOPE_PMESII!$D$3:$D$62="ASSUMPTION"),24-(COUNTIF(ASCOPE_PMESII!$B$3:$B$62,"ASSUMPTION")))),""),IF(24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24-(COUNTIF(ASCOPE_PMESII!$B$3:$B$62,"ASSUMPTION")+COUNTIF(ASCOPE_PMESII!$D$3:$D$62,"ASSUMPTION")))),""),IF(24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24-(COUNTIF(ASCOPE_PMESII!$B$3:$B$62,"ASSUMPTION")+COUNTIF(ASCOPE_PMESII!$D$3:$D$62,"ASSUMPTION")+COUNTIF(ASCOPE_PMESII!$F$3:$F$62,"ASSUMPTION")))),""),IF(24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24-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24-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27" s="22" t="str">
        <f t="array" ref="N27">IFERROR(IF(24&lt;=COUNTIF(ASCOPE_PMESII!$B$3:$B$62,"CONSTRAINT"),IFERROR(INDEX(ASCOPE_PMESII!$C$3:$C$62,_xlfn.AGGREGATE(15,6,(ROW(ASCOPE_PMESII!$B$3:$B$62)-ROW(ASCOPE_PMESII!$B$3)+1)/(ASCOPE_PMESII!$B$3:$B$62="CONSTRAINT"),24)),""),IF(24&lt;=(COUNTIF(ASCOPE_PMESII!$B$3:$B$62,"CONSTRAINT")+COUNTIF(ASCOPE_PMESII!$D$3:$D$62,"CONSTRAINT")),IFERROR(INDEX(ASCOPE_PMESII!$E$3:$E$62,_xlfn.AGGREGATE(15,6,(ROW(ASCOPE_PMESII!$D$3:$D$62)-ROW(ASCOPE_PMESII!$D$3)+1)/(ASCOPE_PMESII!$D$3:$D$62="CONSTRAINT"),24-(COUNTIF(ASCOPE_PMESII!$B$3:$B$62,"CONSTRAINT")))),""),IF(24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24-(COUNTIF(ASCOPE_PMESII!$B$3:$B$62,"CONSTRAINT")+COUNTIF(ASCOPE_PMESII!$D$3:$D$62,"CONSTRAINT")))),""),IF(24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24-(COUNTIF(ASCOPE_PMESII!$B$3:$B$62,"CONSTRAINT")+COUNTIF(ASCOPE_PMESII!$D$3:$D$62,"CONSTRAINT")+COUNTIF(ASCOPE_PMESII!$F$3:$F$62,"CONSTRAINT")))),""),IF(24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24-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24-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27" s="22" t="str">
        <f t="array" ref="O27">IFERROR(IF(24&lt;=COUNTIF(ASCOPE_PMESII!$B$3:$B$62,"LIMITATION"),IFERROR(INDEX(ASCOPE_PMESII!$C$3:$C$62,_xlfn.AGGREGATE(15,6,(ROW(ASCOPE_PMESII!$B$3:$B$62)-ROW(ASCOPE_PMESII!$B$3)+1)/(ASCOPE_PMESII!$B$3:$B$62="LIMITATION"),24)),""),IF(24&lt;=(COUNTIF(ASCOPE_PMESII!$B$3:$B$62,"LIMITATION")+COUNTIF(ASCOPE_PMESII!$D$3:$D$62,"LIMITATION")),IFERROR(INDEX(ASCOPE_PMESII!$E$3:$E$62,_xlfn.AGGREGATE(15,6,(ROW(ASCOPE_PMESII!$D$3:$D$62)-ROW(ASCOPE_PMESII!$D$3)+1)/(ASCOPE_PMESII!$D$3:$D$62="LIMITATION"),24-(COUNTIF(ASCOPE_PMESII!$B$3:$B$62,"LIMITATION")))),""),IF(24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24-(COUNTIF(ASCOPE_PMESII!$B$3:$B$62,"LIMITATION")+COUNTIF(ASCOPE_PMESII!$D$3:$D$62,"LIMITATION")))),""),IF(24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24-(COUNTIF(ASCOPE_PMESII!$B$3:$B$62,"LIMITATION")+COUNTIF(ASCOPE_PMESII!$D$3:$D$62,"LIMITATION")+COUNTIF(ASCOPE_PMESII!$F$3:$F$62,"LIMITATION")))),""),IF(24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24-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24-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27" s="22" t="str">
        <f t="array" ref="P27">IFERROR(IF(24&lt;=COUNTIF(ASCOPE_PMESII!$B$3:$B$62,"CC"),IFERROR(INDEX(ASCOPE_PMESII!$C$3:$C$62,_xlfn.AGGREGATE(15,6,(ROW(ASCOPE_PMESII!$B$3:$B$62)-ROW(ASCOPE_PMESII!$B$3)+1)/(ASCOPE_PMESII!$B$3:$B$62="CC"),24)),""),IF(24&lt;=(COUNTIF(ASCOPE_PMESII!$B$3:$B$62,"CC")+COUNTIF(ASCOPE_PMESII!$D$3:$D$62,"CC")),IFERROR(INDEX(ASCOPE_PMESII!$E$3:$E$62,_xlfn.AGGREGATE(15,6,(ROW(ASCOPE_PMESII!$D$3:$D$62)-ROW(ASCOPE_PMESII!$D$3)+1)/(ASCOPE_PMESII!$D$3:$D$62="CC"),24-(COUNTIF(ASCOPE_PMESII!$B$3:$B$62,"CC")))),""),IF(24&lt;=(COUNTIF(ASCOPE_PMESII!$B$3:$B$62,"CC")+COUNTIF(ASCOPE_PMESII!$D$3:$D$62,"CC")+COUNTIF(ASCOPE_PMESII!$F$3:$F$62,"CC")),IFERROR(INDEX(ASCOPE_PMESII!$G$3:$G$62,_xlfn.AGGREGATE(15,6,(ROW(ASCOPE_PMESII!$F$3:$F$62)-ROW(ASCOPE_PMESII!$F$3)+1)/(ASCOPE_PMESII!$F$3:$F$62="CC"),24-(COUNTIF(ASCOPE_PMESII!$B$3:$B$62,"CC")+COUNTIF(ASCOPE_PMESII!$D$3:$D$62,"CC")))),""),IF(24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24-(COUNTIF(ASCOPE_PMESII!$B$3:$B$62,"CC")+COUNTIF(ASCOPE_PMESII!$D$3:$D$62,"CC")+COUNTIF(ASCOPE_PMESII!$F$3:$F$62,"CC")))),""),IF(24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24-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24-(COUNTIF(ASCOPE_PMESII!$B$3:$B$62,"CC")+COUNTIF(ASCOPE_PMESII!$D$3:$D$62,"CC")+COUNTIF(ASCOPE_PMESII!$F$3:$F$62,"CC")+COUNTIF(ASCOPE_PMESII!$H$3:$H$62,"CC")+COUNTIF(ASCOPE_PMESII!$J$3:$J$62,"CC")))),"")))))),"")</f>
        <v>NATO ISR can expose IRS coercion</v>
      </c>
      <c r="Q27" s="22" t="str">
        <f t="array" ref="Q27">IFERROR(IF(24&lt;=COUNTIF(ASCOPE_PMESII!$B$3:$B$62,"CR"),IFERROR(INDEX(ASCOPE_PMESII!$C$3:$C$62,_xlfn.AGGREGATE(15,6,(ROW(ASCOPE_PMESII!$B$3:$B$62)-ROW(ASCOPE_PMESII!$B$3)+1)/(ASCOPE_PMESII!$B$3:$B$62="CR"),24)),""),IF(24&lt;=(COUNTIF(ASCOPE_PMESII!$B$3:$B$62,"CR")+COUNTIF(ASCOPE_PMESII!$D$3:$D$62,"CR")),IFERROR(INDEX(ASCOPE_PMESII!$E$3:$E$62,_xlfn.AGGREGATE(15,6,(ROW(ASCOPE_PMESII!$D$3:$D$62)-ROW(ASCOPE_PMESII!$D$3)+1)/(ASCOPE_PMESII!$D$3:$D$62="CR"),24-(COUNTIF(ASCOPE_PMESII!$B$3:$B$62,"CR")))),""),IF(24&lt;=(COUNTIF(ASCOPE_PMESII!$B$3:$B$62,"CR")+COUNTIF(ASCOPE_PMESII!$D$3:$D$62,"CR")+COUNTIF(ASCOPE_PMESII!$F$3:$F$62,"CR")),IFERROR(INDEX(ASCOPE_PMESII!$G$3:$G$62,_xlfn.AGGREGATE(15,6,(ROW(ASCOPE_PMESII!$F$3:$F$62)-ROW(ASCOPE_PMESII!$F$3)+1)/(ASCOPE_PMESII!$F$3:$F$62="CR"),24-(COUNTIF(ASCOPE_PMESII!$B$3:$B$62,"CR")+COUNTIF(ASCOPE_PMESII!$D$3:$D$62,"CR")))),""),IF(24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24-(COUNTIF(ASCOPE_PMESII!$B$3:$B$62,"CR")+COUNTIF(ASCOPE_PMESII!$D$3:$D$62,"CR")+COUNTIF(ASCOPE_PMESII!$F$3:$F$62,"CR")))),""),IF(24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24-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24-(COUNTIF(ASCOPE_PMESII!$B$3:$B$62,"CR")+COUNTIF(ASCOPE_PMESII!$D$3:$D$62,"CR")+COUNTIF(ASCOPE_PMESII!$F$3:$F$62,"CR")+COUNTIF(ASCOPE_PMESII!$H$3:$H$62,"CR")+COUNTIF(ASCOPE_PMESII!$J$3:$J$62,"CR")))),"")))))),"")</f>
        <v>Audience analysis and measures of effectiveness required</v>
      </c>
      <c r="R27" s="95" t="str">
        <f t="array" ref="R27">IFERROR(IF(24&lt;=COUNTIF(ASCOPE_PMESII!$B$3:$B$62,"PCS"),IFERROR(INDEX(ASCOPE_PMESII!$C$3:$C$62,_xlfn.AGGREGATE(15,6,(ROW(ASCOPE_PMESII!$B$3:$B$62)-ROW(ASCOPE_PMESII!$B$3)+1)/(ASCOPE_PMESII!$B$3:$B$62="PCS"),24)),""),IF(24&lt;=(COUNTIF(ASCOPE_PMESII!$B$3:$B$62,"PCS")+COUNTIF(ASCOPE_PMESII!$D$3:$D$62,"PCS")),IFERROR(INDEX(ASCOPE_PMESII!$E$3:$E$62,_xlfn.AGGREGATE(15,6,(ROW(ASCOPE_PMESII!$D$3:$D$62)-ROW(ASCOPE_PMESII!$D$3)+1)/(ASCOPE_PMESII!$D$3:$D$62="PCS"),24-(COUNTIF(ASCOPE_PMESII!$B$3:$B$62,"PCS")))),""),IF(24&lt;=(COUNTIF(ASCOPE_PMESII!$B$3:$B$62,"PCS")+COUNTIF(ASCOPE_PMESII!$D$3:$D$62,"PCS")+COUNTIF(ASCOPE_PMESII!$F$3:$F$62,"PCS")),IFERROR(INDEX(ASCOPE_PMESII!$G$3:$G$62,_xlfn.AGGREGATE(15,6,(ROW(ASCOPE_PMESII!$F$3:$F$62)-ROW(ASCOPE_PMESII!$F$3)+1)/(ASCOPE_PMESII!$F$3:$F$62="PCS"),24-(COUNTIF(ASCOPE_PMESII!$B$3:$B$62,"PCS")+COUNTIF(ASCOPE_PMESII!$D$3:$D$62,"PCS")))),""),IF(24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24-(COUNTIF(ASCOPE_PMESII!$B$3:$B$62,"PCS")+COUNTIF(ASCOPE_PMESII!$D$3:$D$62,"PCS")+COUNTIF(ASCOPE_PMESII!$F$3:$F$62,"PCS")))),""),IF(24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24-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24-(COUNTIF(ASCOPE_PMESII!$B$3:$B$62,"PCS")+COUNTIF(ASCOPE_PMESII!$D$3:$D$62,"PCS")+COUNTIF(ASCOPE_PMESII!$F$3:$F$62,"PCS")+COUNTIF(ASCOPE_PMESII!$H$3:$H$62,"PCS")+COUNTIF(ASCOPE_PMESII!$J$3:$J$62,"PCS")))),"")))))),"")</f>
        <v/>
      </c>
    </row>
    <row r="28" spans="1:18" ht="34.5" customHeight="1">
      <c r="A28" s="21" t="str">
        <f t="array" ref="A28">IFERROR(IF(25&lt;=COUNTIF(ASCOPE_PMESII!$B$3:$B$62,"OE"),IFERROR(INDEX(ASCOPE_PMESII!$C$3:$C$62,_xlfn.AGGREGATE(15,6,(ROW(ASCOPE_PMESII!$B$3:$B$62)-ROW(ASCOPE_PMESII!$B$3)+1)/(ASCOPE_PMESII!$B$3:$B$62="OE"),25)),""),IF(25&lt;=(COUNTIF(ASCOPE_PMESII!$B$3:$B$62,"OE")+COUNTIF(ASCOPE_PMESII!$D$3:$D$62,"OE")),IFERROR(INDEX(ASCOPE_PMESII!$E$3:$E$62,_xlfn.AGGREGATE(15,6,(ROW(ASCOPE_PMESII!$D$3:$D$62)-ROW(ASCOPE_PMESII!$D$3)+1)/(ASCOPE_PMESII!$D$3:$D$62="OE"),25-(COUNTIF(ASCOPE_PMESII!$B$3:$B$62,"OE")))),""),IF(25&lt;=(COUNTIF(ASCOPE_PMESII!$B$3:$B$62,"OE")+COUNTIF(ASCOPE_PMESII!$D$3:$D$62,"OE")+COUNTIF(ASCOPE_PMESII!$F$3:$F$62,"OE")),IFERROR(INDEX(ASCOPE_PMESII!$G$3:$G$62,_xlfn.AGGREGATE(15,6,(ROW(ASCOPE_PMESII!$F$3:$F$62)-ROW(ASCOPE_PMESII!$F$3)+1)/(ASCOPE_PMESII!$F$3:$F$62="OE"),25-(COUNTIF(ASCOPE_PMESII!$B$3:$B$62,"OE")+COUNTIF(ASCOPE_PMESII!$D$3:$D$62,"OE")))),""),IF(25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25-(COUNTIF(ASCOPE_PMESII!$B$3:$B$62,"OE")+COUNTIF(ASCOPE_PMESII!$D$3:$D$62,"OE")+COUNTIF(ASCOPE_PMESII!$F$3:$F$62,"OE")))),""),IF(25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25-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25-(COUNTIF(ASCOPE_PMESII!$B$3:$B$62,"OE")+COUNTIF(ASCOPE_PMESII!$D$3:$D$62,"OE")+COUNTIF(ASCOPE_PMESII!$F$3:$F$62,"OE")+COUNTIF(ASCOPE_PMESII!$H$3:$H$62,"OE")+COUNTIF(ASCOPE_PMESII!$J$3:$J$62,"OE")))),"")))))),"")</f>
        <v/>
      </c>
      <c r="B28" s="21" t="str">
        <f t="array" ref="B28">IFERROR(IF(25&lt;=COUNTIF(ASCOPE_PMESII!$B$3:$B$62,"OA"),IFERROR(INDEX(ASCOPE_PMESII!$C$3:$C$62,_xlfn.AGGREGATE(15,6,(ROW(ASCOPE_PMESII!$B$3:$B$62)-ROW(ASCOPE_PMESII!$B$3)+1)/(ASCOPE_PMESII!$B$3:$B$62="OA"),25)),""),IF(25&lt;=(COUNTIF(ASCOPE_PMESII!$B$3:$B$62,"OA")+COUNTIF(ASCOPE_PMESII!$D$3:$D$62,"OA")),IFERROR(INDEX(ASCOPE_PMESII!$E$3:$E$62,_xlfn.AGGREGATE(15,6,(ROW(ASCOPE_PMESII!$D$3:$D$62)-ROW(ASCOPE_PMESII!$D$3)+1)/(ASCOPE_PMESII!$D$3:$D$62="OA"),25-(COUNTIF(ASCOPE_PMESII!$B$3:$B$62,"OA")))),""),IF(25&lt;=(COUNTIF(ASCOPE_PMESII!$B$3:$B$62,"OA")+COUNTIF(ASCOPE_PMESII!$D$3:$D$62,"OA")+COUNTIF(ASCOPE_PMESII!$F$3:$F$62,"OA")),IFERROR(INDEX(ASCOPE_PMESII!$G$3:$G$62,_xlfn.AGGREGATE(15,6,(ROW(ASCOPE_PMESII!$F$3:$F$62)-ROW(ASCOPE_PMESII!$F$3)+1)/(ASCOPE_PMESII!$F$3:$F$62="OA"),25-(COUNTIF(ASCOPE_PMESII!$B$3:$B$62,"OA")+COUNTIF(ASCOPE_PMESII!$D$3:$D$62,"OA")))),""),IF(25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25-(COUNTIF(ASCOPE_PMESII!$B$3:$B$62,"OA")+COUNTIF(ASCOPE_PMESII!$D$3:$D$62,"OA")+COUNTIF(ASCOPE_PMESII!$F$3:$F$62,"OA")))),""),IF(25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25-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25-(COUNTIF(ASCOPE_PMESII!$B$3:$B$62,"OA")+COUNTIF(ASCOPE_PMESII!$D$3:$D$62,"OA")+COUNTIF(ASCOPE_PMESII!$F$3:$F$62,"OA")+COUNTIF(ASCOPE_PMESII!$H$3:$H$62,"OA")+COUNTIF(ASCOPE_PMESII!$J$3:$J$62,"OA")))),"")))))),"")</f>
        <v/>
      </c>
      <c r="C28" s="21" t="str">
        <f t="array" ref="C28">IFERROR(IF(25&lt;=COUNTIF(ASCOPE_PMESII!$B$3:$B$62,"RISK"),IFERROR(INDEX(ASCOPE_PMESII!$C$3:$C$62,_xlfn.AGGREGATE(15,6,(ROW(ASCOPE_PMESII!$B$3:$B$62)-ROW(ASCOPE_PMESII!$B$3)+1)/(ASCOPE_PMESII!$B$3:$B$62="RISK"),25)),""),IF(25&lt;=(COUNTIF(ASCOPE_PMESII!$B$3:$B$62,"RISK")+COUNTIF(ASCOPE_PMESII!$D$3:$D$62,"RISK")),IFERROR(INDEX(ASCOPE_PMESII!$E$3:$E$62,_xlfn.AGGREGATE(15,6,(ROW(ASCOPE_PMESII!$D$3:$D$62)-ROW(ASCOPE_PMESII!$D$3)+1)/(ASCOPE_PMESII!$D$3:$D$62="RISK"),25-(COUNTIF(ASCOPE_PMESII!$B$3:$B$62,"RISK")))),""),IF(25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25-(COUNTIF(ASCOPE_PMESII!$B$3:$B$62,"RISK")+COUNTIF(ASCOPE_PMESII!$D$3:$D$62,"RISK")))),""),IF(25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25-(COUNTIF(ASCOPE_PMESII!$B$3:$B$62,"RISK")+COUNTIF(ASCOPE_PMESII!$D$3:$D$62,"RISK")+COUNTIF(ASCOPE_PMESII!$F$3:$F$62,"RISK")))),""),IF(25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25-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25-(COUNTIF(ASCOPE_PMESII!$B$3:$B$62,"RISK")+COUNTIF(ASCOPE_PMESII!$D$3:$D$62,"RISK")+COUNTIF(ASCOPE_PMESII!$F$3:$F$62,"RISK")+COUNTIF(ASCOPE_PMESII!$H$3:$H$62,"RISK")+COUNTIF(ASCOPE_PMESII!$J$3:$J$62,"RISK")))),"")))))),"")</f>
        <v>Civilian harm restores Hasan authority</v>
      </c>
      <c r="D28" s="21" t="str">
        <f t="array" ref="D28">IFERROR(IF(25&lt;=COUNTIF(ASCOPE_PMESII!$B$3:$B$62,"CV"),IFERROR(INDEX(ASCOPE_PMESII!$C$3:$C$62,_xlfn.AGGREGATE(15,6,(ROW(ASCOPE_PMESII!$B$3:$B$62)-ROW(ASCOPE_PMESII!$B$3)+1)/(ASCOPE_PMESII!$B$3:$B$62="CV"),25)),""),IF(25&lt;=(COUNTIF(ASCOPE_PMESII!$B$3:$B$62,"CV")+COUNTIF(ASCOPE_PMESII!$D$3:$D$62,"CV")),IFERROR(INDEX(ASCOPE_PMESII!$E$3:$E$62,_xlfn.AGGREGATE(15,6,(ROW(ASCOPE_PMESII!$D$3:$D$62)-ROW(ASCOPE_PMESII!$D$3)+1)/(ASCOPE_PMESII!$D$3:$D$62="CV"),25-(COUNTIF(ASCOPE_PMESII!$B$3:$B$62,"CV")))),""),IF(25&lt;=(COUNTIF(ASCOPE_PMESII!$B$3:$B$62,"CV")+COUNTIF(ASCOPE_PMESII!$D$3:$D$62,"CV")+COUNTIF(ASCOPE_PMESII!$F$3:$F$62,"CV")),IFERROR(INDEX(ASCOPE_PMESII!$G$3:$G$62,_xlfn.AGGREGATE(15,6,(ROW(ASCOPE_PMESII!$F$3:$F$62)-ROW(ASCOPE_PMESII!$F$3)+1)/(ASCOPE_PMESII!$F$3:$F$62="CV"),25-(COUNTIF(ASCOPE_PMESII!$B$3:$B$62,"CV")+COUNTIF(ASCOPE_PMESII!$D$3:$D$62,"CV")))),""),IF(25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25-(COUNTIF(ASCOPE_PMESII!$B$3:$B$62,"CV")+COUNTIF(ASCOPE_PMESII!$D$3:$D$62,"CV")+COUNTIF(ASCOPE_PMESII!$F$3:$F$62,"CV")))),""),IF(25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25-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25-(COUNTIF(ASCOPE_PMESII!$B$3:$B$62,"CV")+COUNTIF(ASCOPE_PMESII!$D$3:$D$62,"CV")+COUNTIF(ASCOPE_PMESII!$F$3:$F$62,"CV")+COUNTIF(ASCOPE_PMESII!$H$3:$H$62,"CV")+COUNTIF(ASCOPE_PMESII!$J$3:$J$62,"CV")))),"")))))),"")</f>
        <v>Foreign nationals create hostage leverage</v>
      </c>
      <c r="E28" s="21" t="str">
        <f t="array" ref="E28">IFERROR(IF(25&lt;=COUNTIF(ASCOPE_PMESII!$B$3:$B$62,"COR"),IFERROR(INDEX(ASCOPE_PMESII!$C$3:$C$62,_xlfn.AGGREGATE(15,6,(ROW(ASCOPE_PMESII!$B$3:$B$62)-ROW(ASCOPE_PMESII!$B$3)+1)/(ASCOPE_PMESII!$B$3:$B$62="COR"),25)),""),IF(25&lt;=(COUNTIF(ASCOPE_PMESII!$B$3:$B$62,"COR")+COUNTIF(ASCOPE_PMESII!$D$3:$D$62,"COR")),IFERROR(INDEX(ASCOPE_PMESII!$E$3:$E$62,_xlfn.AGGREGATE(15,6,(ROW(ASCOPE_PMESII!$D$3:$D$62)-ROW(ASCOPE_PMESII!$D$3)+1)/(ASCOPE_PMESII!$D$3:$D$62="COR"),25-(COUNTIF(ASCOPE_PMESII!$B$3:$B$62,"COR")))),""),IF(25&lt;=(COUNTIF(ASCOPE_PMESII!$B$3:$B$62,"COR")+COUNTIF(ASCOPE_PMESII!$D$3:$D$62,"COR")+COUNTIF(ASCOPE_PMESII!$F$3:$F$62,"COR")),IFERROR(INDEX(ASCOPE_PMESII!$G$3:$G$62,_xlfn.AGGREGATE(15,6,(ROW(ASCOPE_PMESII!$F$3:$F$62)-ROW(ASCOPE_PMESII!$F$3)+1)/(ASCOPE_PMESII!$F$3:$F$62="COR"),25-(COUNTIF(ASCOPE_PMESII!$B$3:$B$62,"COR")+COUNTIF(ASCOPE_PMESII!$D$3:$D$62,"COR")))),""),IF(25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25-(COUNTIF(ASCOPE_PMESII!$B$3:$B$62,"COR")+COUNTIF(ASCOPE_PMESII!$D$3:$D$62,"COR")+COUNTIF(ASCOPE_PMESII!$F$3:$F$62,"COR")))),""),IF(25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25-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25-(COUNTIF(ASCOPE_PMESII!$B$3:$B$62,"COR")+COUNTIF(ASCOPE_PMESII!$D$3:$D$62,"COR")+COUNTIF(ASCOPE_PMESII!$F$3:$F$62,"COR")+COUNTIF(ASCOPE_PMESII!$H$3:$H$62,"COR")+COUNTIF(ASCOPE_PMESII!$J$3:$J$62,"COR")))),"")))))),"")</f>
        <v>Acknowledge grievance while rejecting secession</v>
      </c>
      <c r="F28" s="21" t="str">
        <f t="array" ref="F28">IFERROR(IF(25&lt;=COUNTIF(ASCOPE_PMESII!$B$3:$B$62,"REQT"),IFERROR(INDEX(ASCOPE_PMESII!$C$3:$C$62,_xlfn.AGGREGATE(15,6,(ROW(ASCOPE_PMESII!$B$3:$B$62)-ROW(ASCOPE_PMESII!$B$3)+1)/(ASCOPE_PMESII!$B$3:$B$62="REQT"),25)),""),IF(25&lt;=(COUNTIF(ASCOPE_PMESII!$B$3:$B$62,"REQT")+COUNTIF(ASCOPE_PMESII!$D$3:$D$62,"REQT")),IFERROR(INDEX(ASCOPE_PMESII!$E$3:$E$62,_xlfn.AGGREGATE(15,6,(ROW(ASCOPE_PMESII!$D$3:$D$62)-ROW(ASCOPE_PMESII!$D$3)+1)/(ASCOPE_PMESII!$D$3:$D$62="REQT"),25-(COUNTIF(ASCOPE_PMESII!$B$3:$B$62,"REQT")))),""),IF(25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25-(COUNTIF(ASCOPE_PMESII!$B$3:$B$62,"REQT")+COUNTIF(ASCOPE_PMESII!$D$3:$D$62,"REQT")))),""),IF(25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25-(COUNTIF(ASCOPE_PMESII!$B$3:$B$62,"REQT")+COUNTIF(ASCOPE_PMESII!$D$3:$D$62,"REQT")+COUNTIF(ASCOPE_PMESII!$F$3:$F$62,"REQT")))),""),IF(25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25-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25-(COUNTIF(ASCOPE_PMESII!$B$3:$B$62,"REQT")+COUNTIF(ASCOPE_PMESII!$D$3:$D$62,"REQT")+COUNTIF(ASCOPE_PMESII!$F$3:$F$62,"REQT")+COUNTIF(ASCOPE_PMESII!$H$3:$H$62,"REQT")+COUNTIF(ASCOPE_PMESII!$J$3:$J$62,"REQT")))),"")))))),"")</f>
        <v/>
      </c>
      <c r="G28" s="21" t="str">
        <f t="array" ref="G28">IFERROR(IF(25&lt;=COUNTIF(ASCOPE_PMESII!$B$3:$B$62,"REST"),IFERROR(INDEX(ASCOPE_PMESII!$C$3:$C$62,_xlfn.AGGREGATE(15,6,(ROW(ASCOPE_PMESII!$B$3:$B$62)-ROW(ASCOPE_PMESII!$B$3)+1)/(ASCOPE_PMESII!$B$3:$B$62="REST"),25)),""),IF(25&lt;=(COUNTIF(ASCOPE_PMESII!$B$3:$B$62,"REST")+COUNTIF(ASCOPE_PMESII!$D$3:$D$62,"REST")),IFERROR(INDEX(ASCOPE_PMESII!$E$3:$E$62,_xlfn.AGGREGATE(15,6,(ROW(ASCOPE_PMESII!$D$3:$D$62)-ROW(ASCOPE_PMESII!$D$3)+1)/(ASCOPE_PMESII!$D$3:$D$62="REST"),25-(COUNTIF(ASCOPE_PMESII!$B$3:$B$62,"REST")))),""),IF(25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25-(COUNTIF(ASCOPE_PMESII!$B$3:$B$62,"REST")+COUNTIF(ASCOPE_PMESII!$D$3:$D$62,"REST")))),""),IF(25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25-(COUNTIF(ASCOPE_PMESII!$B$3:$B$62,"REST")+COUNTIF(ASCOPE_PMESII!$D$3:$D$62,"REST")+COUNTIF(ASCOPE_PMESII!$F$3:$F$62,"REST")))),""),IF(25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25-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25-(COUNTIF(ASCOPE_PMESII!$B$3:$B$62,"REST")+COUNTIF(ASCOPE_PMESII!$D$3:$D$62,"REST")+COUNTIF(ASCOPE_PMESII!$F$3:$F$62,"REST")+COUNTIF(ASCOPE_PMESII!$H$3:$H$62,"REST")+COUNTIF(ASCOPE_PMESII!$J$3:$J$62,"REST")))),"")))))),"")</f>
        <v/>
      </c>
      <c r="H28" s="21" t="str">
        <f t="array" ref="H28">IFERROR(IF(25&lt;=COUNTIF(ASCOPE_PMESII!$B$3:$B$62,"KCD-MUST"),IFERROR(INDEX(ASCOPE_PMESII!$C$3:$C$62,_xlfn.AGGREGATE(15,6,(ROW(ASCOPE_PMESII!$B$3:$B$62)-ROW(ASCOPE_PMESII!$B$3)+1)/(ASCOPE_PMESII!$B$3:$B$62="KCD-MUST"),25)),""),IF(25&lt;=(COUNTIF(ASCOPE_PMESII!$B$3:$B$62,"KCD-MUST")+COUNTIF(ASCOPE_PMESII!$D$3:$D$62,"KCD-MUST")),IFERROR(INDEX(ASCOPE_PMESII!$E$3:$E$62,_xlfn.AGGREGATE(15,6,(ROW(ASCOPE_PMESII!$D$3:$D$62)-ROW(ASCOPE_PMESII!$D$3)+1)/(ASCOPE_PMESII!$D$3:$D$62="KCD-MUST"),25-(COUNTIF(ASCOPE_PMESII!$B$3:$B$62,"KCD-MUST")))),""),IF(25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25-(COUNTIF(ASCOPE_PMESII!$B$3:$B$62,"KCD-MUST")+COUNTIF(ASCOPE_PMESII!$D$3:$D$62,"KCD-MUST")))),""),IF(25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25-(COUNTIF(ASCOPE_PMESII!$B$3:$B$62,"KCD-MUST")+COUNTIF(ASCOPE_PMESII!$D$3:$D$62,"KCD-MUST")+COUNTIF(ASCOPE_PMESII!$F$3:$F$62,"KCD-MUST")))),""),IF(25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25-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25-(COUNTIF(ASCOPE_PMESII!$B$3:$B$62,"KCD-MUST")+COUNTIF(ASCOPE_PMESII!$D$3:$D$62,"KCD-MUST")+COUNTIF(ASCOPE_PMESII!$F$3:$F$62,"KCD-MUST")+COUNTIF(ASCOPE_PMESII!$H$3:$H$62,"KCD-MUST")+COUNTIF(ASCOPE_PMESII!$J$3:$J$62,"KCD-MUST")))),"")))))),"")</f>
        <v>Discredit Hasan without insulting Sumatrans</v>
      </c>
      <c r="I28" s="21" t="str">
        <f t="array" ref="I28">IFERROR(IF(25&lt;=COUNTIF(ASCOPE_PMESII!$B$3:$B$62,"KCD-SHOULD"),IFERROR(INDEX(ASCOPE_PMESII!$C$3:$C$62,_xlfn.AGGREGATE(15,6,(ROW(ASCOPE_PMESII!$B$3:$B$62)-ROW(ASCOPE_PMESII!$B$3)+1)/(ASCOPE_PMESII!$B$3:$B$62="KCD-SHOULD"),25)),""),IF(25&lt;=(COUNTIF(ASCOPE_PMESII!$B$3:$B$62,"KCD-SHOULD")+COUNTIF(ASCOPE_PMESII!$D$3:$D$62,"KCD-SHOULD")),IFERROR(INDEX(ASCOPE_PMESII!$E$3:$E$62,_xlfn.AGGREGATE(15,6,(ROW(ASCOPE_PMESII!$D$3:$D$62)-ROW(ASCOPE_PMESII!$D$3)+1)/(ASCOPE_PMESII!$D$3:$D$62="KCD-SHOULD"),25-(COUNTIF(ASCOPE_PMESII!$B$3:$B$62,"KCD-SHOULD")))),""),IF(25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25-(COUNTIF(ASCOPE_PMESII!$B$3:$B$62,"KCD-SHOULD")+COUNTIF(ASCOPE_PMESII!$D$3:$D$62,"KCD-SHOULD")))),""),IF(25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25-(COUNTIF(ASCOPE_PMESII!$B$3:$B$62,"KCD-SHOULD")+COUNTIF(ASCOPE_PMESII!$D$3:$D$62,"KCD-SHOULD")+COUNTIF(ASCOPE_PMESII!$F$3:$F$62,"KCD-SHOULD")))),""),IF(25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25-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25-(COUNTIF(ASCOPE_PMESII!$B$3:$B$62,"KCD-SHOULD")+COUNTIF(ASCOPE_PMESII!$D$3:$D$62,"KCD-SHOULD")+COUNTIF(ASCOPE_PMESII!$F$3:$F$62,"KCD-SHOULD")+COUNTIF(ASCOPE_PMESII!$H$3:$H$62,"KCD-SHOULD")+COUNTIF(ASCOPE_PMESII!$J$3:$J$62,"KCD-SHOULD")))),"")))))),"")</f>
        <v>Expose Razil corruption and criminal patronage</v>
      </c>
      <c r="J28" s="21" t="str">
        <f t="array" ref="J28">IFERROR(IF(25&lt;=COUNTIF(ASCOPE_PMESII!$B$3:$B$62,"KCD-SHOULD NOT"),IFERROR(INDEX(ASCOPE_PMESII!$C$3:$C$62,_xlfn.AGGREGATE(15,6,(ROW(ASCOPE_PMESII!$B$3:$B$62)-ROW(ASCOPE_PMESII!$B$3)+1)/(ASCOPE_PMESII!$B$3:$B$62="KCD-SHOULD NOT"),25)),""),IF(25&lt;=(COUNTIF(ASCOPE_PMESII!$B$3:$B$62,"KCD-SHOULD NOT")+COUNTIF(ASCOPE_PMESII!$D$3:$D$62,"KCD-SHOULD NOT")),IFERROR(INDEX(ASCOPE_PMESII!$E$3:$E$62,_xlfn.AGGREGATE(15,6,(ROW(ASCOPE_PMESII!$D$3:$D$62)-ROW(ASCOPE_PMESII!$D$3)+1)/(ASCOPE_PMESII!$D$3:$D$62="KCD-SHOULD NOT"),25-(COUNTIF(ASCOPE_PMESII!$B$3:$B$62,"KCD-SHOULD NOT")))),""),IF(25&lt;=(COUNTIF(ASCOPE_PMESII!$B$3:$B$62,"KCD-SHOULD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NOT"),25-(COUNTIF(ASCOPE_PMESII!$B$3:$B$62,"KCD-SHOULD NOT")+COUNTIF(ASCOPE_PMESII!$D$3:$D$62,"KCD-SHOULD NOT")))),""),IF(25&lt;=(COUNTIF(ASCOPE_PMESII!$B$3:$B$62,"KCD-SHOULD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NOT"),25-(COUNTIF(ASCOPE_PMESII!$B$3:$B$62,"KCD-SHOULD NOT")+COUNTIF(ASCOPE_PMESII!$D$3:$D$62,"KCD-SHOULD NOT")+COUNTIF(ASCOPE_PMESII!$F$3:$F$62,"KCD-SHOULD NOT")))),""),IF(25&lt;=(COUNTIF(ASCOPE_PMESII!$B$3:$B$62,"KCD-SHOULD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NOT"),25-(COUNTIF(ASCOPE_PMESII!$B$3:$B$62,"KCD-SHOULD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NOT"),25-(COUNTIF(ASCOPE_PMESII!$B$3:$B$62,"KCD-SHOULD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28" s="21" t="str">
        <f t="array" ref="K28">IFERROR(IF(25&lt;=COUNTIF(ASCOPE_PMESII!$B$3:$B$62,"KCD-CANNOT"),IFERROR(INDEX(ASCOPE_PMESII!$C$3:$C$62,_xlfn.AGGREGATE(15,6,(ROW(ASCOPE_PMESII!$B$3:$B$62)-ROW(ASCOPE_PMESII!$B$3)+1)/(ASCOPE_PMESII!$B$3:$B$62="KCD-CANNOT"),25)),""),IF(25&lt;=(COUNTIF(ASCOPE_PMESII!$B$3:$B$62,"KCD-CANNOT")+COUNTIF(ASCOPE_PMESII!$D$3:$D$62,"KCD-CANNOT")),IFERROR(INDEX(ASCOPE_PMESII!$E$3:$E$62,_xlfn.AGGREGATE(15,6,(ROW(ASCOPE_PMESII!$D$3:$D$62)-ROW(ASCOPE_PMESII!$D$3)+1)/(ASCOPE_PMESII!$D$3:$D$62="KCD-CANNOT"),25-(COUNTIF(ASCOPE_PMESII!$B$3:$B$62,"KCD-CANNOT")))),""),IF(25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25-(COUNTIF(ASCOPE_PMESII!$B$3:$B$62,"KCD-CANNOT")+COUNTIF(ASCOPE_PMESII!$D$3:$D$62,"KCD-CANNOT")))),""),IF(25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25-(COUNTIF(ASCOPE_PMESII!$B$3:$B$62,"KCD-CANNOT")+COUNTIF(ASCOPE_PMESII!$D$3:$D$62,"KCD-CANNOT")+COUNTIF(ASCOPE_PMESII!$F$3:$F$62,"KCD-CANNOT")))),""),IF(25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25-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25-(COUNTIF(ASCOPE_PMESII!$B$3:$B$62,"KCD-CANNOT")+COUNTIF(ASCOPE_PMESII!$D$3:$D$62,"KCD-CANNOT")+COUNTIF(ASCOPE_PMESII!$F$3:$F$62,"KCD-CANNOT")+COUNTIF(ASCOPE_PMESII!$H$3:$H$62,"KCD-CANNOT")+COUNTIF(ASCOPE_PMESII!$J$3:$J$62,"KCD-CANNOT")))),"")))))),"")</f>
        <v>Cannot conflate civilians with IRS supporters</v>
      </c>
      <c r="L28" s="21" t="str">
        <f t="array" ref="L28">IFERROR(IF(25&lt;=COUNTIF(ASCOPE_PMESII!$B$3:$B$62,"DECISION"),IFERROR(INDEX(ASCOPE_PMESII!$C$3:$C$62,_xlfn.AGGREGATE(15,6,(ROW(ASCOPE_PMESII!$B$3:$B$62)-ROW(ASCOPE_PMESII!$B$3)+1)/(ASCOPE_PMESII!$B$3:$B$62="DECISION"),25)),""),IF(25&lt;=(COUNTIF(ASCOPE_PMESII!$B$3:$B$62,"DECISION")+COUNTIF(ASCOPE_PMESII!$D$3:$D$62,"DECISION")),IFERROR(INDEX(ASCOPE_PMESII!$E$3:$E$62,_xlfn.AGGREGATE(15,6,(ROW(ASCOPE_PMESII!$D$3:$D$62)-ROW(ASCOPE_PMESII!$D$3)+1)/(ASCOPE_PMESII!$D$3:$D$62="DECISION"),25-(COUNTIF(ASCOPE_PMESII!$B$3:$B$62,"DECISION")))),""),IF(25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25-(COUNTIF(ASCOPE_PMESII!$B$3:$B$62,"DECISION")+COUNTIF(ASCOPE_PMESII!$D$3:$D$62,"DECISION")))),""),IF(25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25-(COUNTIF(ASCOPE_PMESII!$B$3:$B$62,"DECISION")+COUNTIF(ASCOPE_PMESII!$D$3:$D$62,"DECISION")+COUNTIF(ASCOPE_PMESII!$F$3:$F$62,"DECISION")))),""),IF(25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25-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25-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28" s="21" t="str">
        <f t="array" ref="M28">IFERROR(IF(25&lt;=COUNTIF(ASCOPE_PMESII!$B$3:$B$62,"ASSUMPTION"),IFERROR(INDEX(ASCOPE_PMESII!$C$3:$C$62,_xlfn.AGGREGATE(15,6,(ROW(ASCOPE_PMESII!$B$3:$B$62)-ROW(ASCOPE_PMESII!$B$3)+1)/(ASCOPE_PMESII!$B$3:$B$62="ASSUMPTION"),25)),""),IF(25&lt;=(COUNTIF(ASCOPE_PMESII!$B$3:$B$62,"ASSUMPTION")+COUNTIF(ASCOPE_PMESII!$D$3:$D$62,"ASSUMPTION")),IFERROR(INDEX(ASCOPE_PMESII!$E$3:$E$62,_xlfn.AGGREGATE(15,6,(ROW(ASCOPE_PMESII!$D$3:$D$62)-ROW(ASCOPE_PMESII!$D$3)+1)/(ASCOPE_PMESII!$D$3:$D$62="ASSUMPTION"),25-(COUNTIF(ASCOPE_PMESII!$B$3:$B$62,"ASSUMPTION")))),""),IF(25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25-(COUNTIF(ASCOPE_PMESII!$B$3:$B$62,"ASSUMPTION")+COUNTIF(ASCOPE_PMESII!$D$3:$D$62,"ASSUMPTION")))),""),IF(25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25-(COUNTIF(ASCOPE_PMESII!$B$3:$B$62,"ASSUMPTION")+COUNTIF(ASCOPE_PMESII!$D$3:$D$62,"ASSUMPTION")+COUNTIF(ASCOPE_PMESII!$F$3:$F$62,"ASSUMPTION")))),""),IF(25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25-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25-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28" s="21" t="str">
        <f t="array" ref="N28">IFERROR(IF(25&lt;=COUNTIF(ASCOPE_PMESII!$B$3:$B$62,"CONSTRAINT"),IFERROR(INDEX(ASCOPE_PMESII!$C$3:$C$62,_xlfn.AGGREGATE(15,6,(ROW(ASCOPE_PMESII!$B$3:$B$62)-ROW(ASCOPE_PMESII!$B$3)+1)/(ASCOPE_PMESII!$B$3:$B$62="CONSTRAINT"),25)),""),IF(25&lt;=(COUNTIF(ASCOPE_PMESII!$B$3:$B$62,"CONSTRAINT")+COUNTIF(ASCOPE_PMESII!$D$3:$D$62,"CONSTRAINT")),IFERROR(INDEX(ASCOPE_PMESII!$E$3:$E$62,_xlfn.AGGREGATE(15,6,(ROW(ASCOPE_PMESII!$D$3:$D$62)-ROW(ASCOPE_PMESII!$D$3)+1)/(ASCOPE_PMESII!$D$3:$D$62="CONSTRAINT"),25-(COUNTIF(ASCOPE_PMESII!$B$3:$B$62,"CONSTRAINT")))),""),IF(25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25-(COUNTIF(ASCOPE_PMESII!$B$3:$B$62,"CONSTRAINT")+COUNTIF(ASCOPE_PMESII!$D$3:$D$62,"CONSTRAINT")))),""),IF(25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25-(COUNTIF(ASCOPE_PMESII!$B$3:$B$62,"CONSTRAINT")+COUNTIF(ASCOPE_PMESII!$D$3:$D$62,"CONSTRAINT")+COUNTIF(ASCOPE_PMESII!$F$3:$F$62,"CONSTRAINT")))),""),IF(25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25-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25-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28" s="21" t="str">
        <f t="array" ref="O28">IFERROR(IF(25&lt;=COUNTIF(ASCOPE_PMESII!$B$3:$B$62,"LIMITATION"),IFERROR(INDEX(ASCOPE_PMESII!$C$3:$C$62,_xlfn.AGGREGATE(15,6,(ROW(ASCOPE_PMESII!$B$3:$B$62)-ROW(ASCOPE_PMESII!$B$3)+1)/(ASCOPE_PMESII!$B$3:$B$62="LIMITATION"),25)),""),IF(25&lt;=(COUNTIF(ASCOPE_PMESII!$B$3:$B$62,"LIMITATION")+COUNTIF(ASCOPE_PMESII!$D$3:$D$62,"LIMITATION")),IFERROR(INDEX(ASCOPE_PMESII!$E$3:$E$62,_xlfn.AGGREGATE(15,6,(ROW(ASCOPE_PMESII!$D$3:$D$62)-ROW(ASCOPE_PMESII!$D$3)+1)/(ASCOPE_PMESII!$D$3:$D$62="LIMITATION"),25-(COUNTIF(ASCOPE_PMESII!$B$3:$B$62,"LIMITATION")))),""),IF(25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25-(COUNTIF(ASCOPE_PMESII!$B$3:$B$62,"LIMITATION")+COUNTIF(ASCOPE_PMESII!$D$3:$D$62,"LIMITATION")))),""),IF(25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25-(COUNTIF(ASCOPE_PMESII!$B$3:$B$62,"LIMITATION")+COUNTIF(ASCOPE_PMESII!$D$3:$D$62,"LIMITATION")+COUNTIF(ASCOPE_PMESII!$F$3:$F$62,"LIMITATION")))),""),IF(25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25-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25-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28" s="21" t="str">
        <f t="array" ref="P28">IFERROR(IF(25&lt;=COUNTIF(ASCOPE_PMESII!$B$3:$B$62,"CC"),IFERROR(INDEX(ASCOPE_PMESII!$C$3:$C$62,_xlfn.AGGREGATE(15,6,(ROW(ASCOPE_PMESII!$B$3:$B$62)-ROW(ASCOPE_PMESII!$B$3)+1)/(ASCOPE_PMESII!$B$3:$B$62="CC"),25)),""),IF(25&lt;=(COUNTIF(ASCOPE_PMESII!$B$3:$B$62,"CC")+COUNTIF(ASCOPE_PMESII!$D$3:$D$62,"CC")),IFERROR(INDEX(ASCOPE_PMESII!$E$3:$E$62,_xlfn.AGGREGATE(15,6,(ROW(ASCOPE_PMESII!$D$3:$D$62)-ROW(ASCOPE_PMESII!$D$3)+1)/(ASCOPE_PMESII!$D$3:$D$62="CC"),25-(COUNTIF(ASCOPE_PMESII!$B$3:$B$62,"CC")))),""),IF(25&lt;=(COUNTIF(ASCOPE_PMESII!$B$3:$B$62,"CC")+COUNTIF(ASCOPE_PMESII!$D$3:$D$62,"CC")+COUNTIF(ASCOPE_PMESII!$F$3:$F$62,"CC")),IFERROR(INDEX(ASCOPE_PMESII!$G$3:$G$62,_xlfn.AGGREGATE(15,6,(ROW(ASCOPE_PMESII!$F$3:$F$62)-ROW(ASCOPE_PMESII!$F$3)+1)/(ASCOPE_PMESII!$F$3:$F$62="CC"),25-(COUNTIF(ASCOPE_PMESII!$B$3:$B$62,"CC")+COUNTIF(ASCOPE_PMESII!$D$3:$D$62,"CC")))),""),IF(25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25-(COUNTIF(ASCOPE_PMESII!$B$3:$B$62,"CC")+COUNTIF(ASCOPE_PMESII!$D$3:$D$62,"CC")+COUNTIF(ASCOPE_PMESII!$F$3:$F$62,"CC")))),""),IF(25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25-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25-(COUNTIF(ASCOPE_PMESII!$B$3:$B$62,"CC")+COUNTIF(ASCOPE_PMESII!$D$3:$D$62,"CC")+COUNTIF(ASCOPE_PMESII!$F$3:$F$62,"CC")+COUNTIF(ASCOPE_PMESII!$H$3:$H$62,"CC")+COUNTIF(ASCOPE_PMESII!$J$3:$J$62,"CC")))),"")))))),"")</f>
        <v>ASEAN states shape consent and perception</v>
      </c>
      <c r="Q28" s="21" t="str">
        <f t="array" ref="Q28">IFERROR(IF(25&lt;=COUNTIF(ASCOPE_PMESII!$B$3:$B$62,"CR"),IFERROR(INDEX(ASCOPE_PMESII!$C$3:$C$62,_xlfn.AGGREGATE(15,6,(ROW(ASCOPE_PMESII!$B$3:$B$62)-ROW(ASCOPE_PMESII!$B$3)+1)/(ASCOPE_PMESII!$B$3:$B$62="CR"),25)),""),IF(25&lt;=(COUNTIF(ASCOPE_PMESII!$B$3:$B$62,"CR")+COUNTIF(ASCOPE_PMESII!$D$3:$D$62,"CR")),IFERROR(INDEX(ASCOPE_PMESII!$E$3:$E$62,_xlfn.AGGREGATE(15,6,(ROW(ASCOPE_PMESII!$D$3:$D$62)-ROW(ASCOPE_PMESII!$D$3)+1)/(ASCOPE_PMESII!$D$3:$D$62="CR"),25-(COUNTIF(ASCOPE_PMESII!$B$3:$B$62,"CR")))),""),IF(25&lt;=(COUNTIF(ASCOPE_PMESII!$B$3:$B$62,"CR")+COUNTIF(ASCOPE_PMESII!$D$3:$D$62,"CR")+COUNTIF(ASCOPE_PMESII!$F$3:$F$62,"CR")),IFERROR(INDEX(ASCOPE_PMESII!$G$3:$G$62,_xlfn.AGGREGATE(15,6,(ROW(ASCOPE_PMESII!$F$3:$F$62)-ROW(ASCOPE_PMESII!$F$3)+1)/(ASCOPE_PMESII!$F$3:$F$62="CR"),25-(COUNTIF(ASCOPE_PMESII!$B$3:$B$62,"CR")+COUNTIF(ASCOPE_PMESII!$D$3:$D$62,"CR")))),""),IF(25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25-(COUNTIF(ASCOPE_PMESII!$B$3:$B$62,"CR")+COUNTIF(ASCOPE_PMESII!$D$3:$D$62,"CR")+COUNTIF(ASCOPE_PMESII!$F$3:$F$62,"CR")))),""),IF(25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25-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25-(COUNTIF(ASCOPE_PMESII!$B$3:$B$62,"CR")+COUNTIF(ASCOPE_PMESII!$D$3:$D$62,"CR")+COUNTIF(ASCOPE_PMESII!$F$3:$F$62,"CR")+COUNTIF(ASCOPE_PMESII!$H$3:$H$62,"CR")+COUNTIF(ASCOPE_PMESII!$J$3:$J$62,"CR")))),"")))))),"")</f>
        <v>Trusted local voices more credible than NATO</v>
      </c>
      <c r="R28" s="94" t="str">
        <f t="array" ref="R28">IFERROR(IF(25&lt;=COUNTIF(ASCOPE_PMESII!$B$3:$B$62,"PCS"),IFERROR(INDEX(ASCOPE_PMESII!$C$3:$C$62,_xlfn.AGGREGATE(15,6,(ROW(ASCOPE_PMESII!$B$3:$B$62)-ROW(ASCOPE_PMESII!$B$3)+1)/(ASCOPE_PMESII!$B$3:$B$62="PCS"),25)),""),IF(25&lt;=(COUNTIF(ASCOPE_PMESII!$B$3:$B$62,"PCS")+COUNTIF(ASCOPE_PMESII!$D$3:$D$62,"PCS")),IFERROR(INDEX(ASCOPE_PMESII!$E$3:$E$62,_xlfn.AGGREGATE(15,6,(ROW(ASCOPE_PMESII!$D$3:$D$62)-ROW(ASCOPE_PMESII!$D$3)+1)/(ASCOPE_PMESII!$D$3:$D$62="PCS"),25-(COUNTIF(ASCOPE_PMESII!$B$3:$B$62,"PCS")))),""),IF(25&lt;=(COUNTIF(ASCOPE_PMESII!$B$3:$B$62,"PCS")+COUNTIF(ASCOPE_PMESII!$D$3:$D$62,"PCS")+COUNTIF(ASCOPE_PMESII!$F$3:$F$62,"PCS")),IFERROR(INDEX(ASCOPE_PMESII!$G$3:$G$62,_xlfn.AGGREGATE(15,6,(ROW(ASCOPE_PMESII!$F$3:$F$62)-ROW(ASCOPE_PMESII!$F$3)+1)/(ASCOPE_PMESII!$F$3:$F$62="PCS"),25-(COUNTIF(ASCOPE_PMESII!$B$3:$B$62,"PCS")+COUNTIF(ASCOPE_PMESII!$D$3:$D$62,"PCS")))),""),IF(25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25-(COUNTIF(ASCOPE_PMESII!$B$3:$B$62,"PCS")+COUNTIF(ASCOPE_PMESII!$D$3:$D$62,"PCS")+COUNTIF(ASCOPE_PMESII!$F$3:$F$62,"PCS")))),""),IF(25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25-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25-(COUNTIF(ASCOPE_PMESII!$B$3:$B$62,"PCS")+COUNTIF(ASCOPE_PMESII!$D$3:$D$62,"PCS")+COUNTIF(ASCOPE_PMESII!$F$3:$F$62,"PCS")+COUNTIF(ASCOPE_PMESII!$H$3:$H$62,"PCS")+COUNTIF(ASCOPE_PMESII!$J$3:$J$62,"PCS")))),"")))))),"")</f>
        <v/>
      </c>
    </row>
    <row r="29" spans="1:18" ht="34.5" customHeight="1">
      <c r="A29" s="22" t="str">
        <f t="array" ref="A29">IFERROR(IF(26&lt;=COUNTIF(ASCOPE_PMESII!$B$3:$B$62,"OE"),IFERROR(INDEX(ASCOPE_PMESII!$C$3:$C$62,_xlfn.AGGREGATE(15,6,(ROW(ASCOPE_PMESII!$B$3:$B$62)-ROW(ASCOPE_PMESII!$B$3)+1)/(ASCOPE_PMESII!$B$3:$B$62="OE"),26)),""),IF(26&lt;=(COUNTIF(ASCOPE_PMESII!$B$3:$B$62,"OE")+COUNTIF(ASCOPE_PMESII!$D$3:$D$62,"OE")),IFERROR(INDEX(ASCOPE_PMESII!$E$3:$E$62,_xlfn.AGGREGATE(15,6,(ROW(ASCOPE_PMESII!$D$3:$D$62)-ROW(ASCOPE_PMESII!$D$3)+1)/(ASCOPE_PMESII!$D$3:$D$62="OE"),26-(COUNTIF(ASCOPE_PMESII!$B$3:$B$62,"OE")))),""),IF(26&lt;=(COUNTIF(ASCOPE_PMESII!$B$3:$B$62,"OE")+COUNTIF(ASCOPE_PMESII!$D$3:$D$62,"OE")+COUNTIF(ASCOPE_PMESII!$F$3:$F$62,"OE")),IFERROR(INDEX(ASCOPE_PMESII!$G$3:$G$62,_xlfn.AGGREGATE(15,6,(ROW(ASCOPE_PMESII!$F$3:$F$62)-ROW(ASCOPE_PMESII!$F$3)+1)/(ASCOPE_PMESII!$F$3:$F$62="OE"),26-(COUNTIF(ASCOPE_PMESII!$B$3:$B$62,"OE")+COUNTIF(ASCOPE_PMESII!$D$3:$D$62,"OE")))),""),IF(26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26-(COUNTIF(ASCOPE_PMESII!$B$3:$B$62,"OE")+COUNTIF(ASCOPE_PMESII!$D$3:$D$62,"OE")+COUNTIF(ASCOPE_PMESII!$F$3:$F$62,"OE")))),""),IF(26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26-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26-(COUNTIF(ASCOPE_PMESII!$B$3:$B$62,"OE")+COUNTIF(ASCOPE_PMESII!$D$3:$D$62,"OE")+COUNTIF(ASCOPE_PMESII!$F$3:$F$62,"OE")+COUNTIF(ASCOPE_PMESII!$H$3:$H$62,"OE")+COUNTIF(ASCOPE_PMESII!$J$3:$J$62,"OE")))),"")))))),"")</f>
        <v/>
      </c>
      <c r="B29" s="22" t="str">
        <f t="array" ref="B29">IFERROR(IF(26&lt;=COUNTIF(ASCOPE_PMESII!$B$3:$B$62,"OA"),IFERROR(INDEX(ASCOPE_PMESII!$C$3:$C$62,_xlfn.AGGREGATE(15,6,(ROW(ASCOPE_PMESII!$B$3:$B$62)-ROW(ASCOPE_PMESII!$B$3)+1)/(ASCOPE_PMESII!$B$3:$B$62="OA"),26)),""),IF(26&lt;=(COUNTIF(ASCOPE_PMESII!$B$3:$B$62,"OA")+COUNTIF(ASCOPE_PMESII!$D$3:$D$62,"OA")),IFERROR(INDEX(ASCOPE_PMESII!$E$3:$E$62,_xlfn.AGGREGATE(15,6,(ROW(ASCOPE_PMESII!$D$3:$D$62)-ROW(ASCOPE_PMESII!$D$3)+1)/(ASCOPE_PMESII!$D$3:$D$62="OA"),26-(COUNTIF(ASCOPE_PMESII!$B$3:$B$62,"OA")))),""),IF(26&lt;=(COUNTIF(ASCOPE_PMESII!$B$3:$B$62,"OA")+COUNTIF(ASCOPE_PMESII!$D$3:$D$62,"OA")+COUNTIF(ASCOPE_PMESII!$F$3:$F$62,"OA")),IFERROR(INDEX(ASCOPE_PMESII!$G$3:$G$62,_xlfn.AGGREGATE(15,6,(ROW(ASCOPE_PMESII!$F$3:$F$62)-ROW(ASCOPE_PMESII!$F$3)+1)/(ASCOPE_PMESII!$F$3:$F$62="OA"),26-(COUNTIF(ASCOPE_PMESII!$B$3:$B$62,"OA")+COUNTIF(ASCOPE_PMESII!$D$3:$D$62,"OA")))),""),IF(26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26-(COUNTIF(ASCOPE_PMESII!$B$3:$B$62,"OA")+COUNTIF(ASCOPE_PMESII!$D$3:$D$62,"OA")+COUNTIF(ASCOPE_PMESII!$F$3:$F$62,"OA")))),""),IF(26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26-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26-(COUNTIF(ASCOPE_PMESII!$B$3:$B$62,"OA")+COUNTIF(ASCOPE_PMESII!$D$3:$D$62,"OA")+COUNTIF(ASCOPE_PMESII!$F$3:$F$62,"OA")+COUNTIF(ASCOPE_PMESII!$H$3:$H$62,"OA")+COUNTIF(ASCOPE_PMESII!$J$3:$J$62,"OA")))),"")))))),"")</f>
        <v/>
      </c>
      <c r="C29" s="22" t="str">
        <f t="array" ref="C29">IFERROR(IF(26&lt;=COUNTIF(ASCOPE_PMESII!$B$3:$B$62,"RISK"),IFERROR(INDEX(ASCOPE_PMESII!$C$3:$C$62,_xlfn.AGGREGATE(15,6,(ROW(ASCOPE_PMESII!$B$3:$B$62)-ROW(ASCOPE_PMESII!$B$3)+1)/(ASCOPE_PMESII!$B$3:$B$62="RISK"),26)),""),IF(26&lt;=(COUNTIF(ASCOPE_PMESII!$B$3:$B$62,"RISK")+COUNTIF(ASCOPE_PMESII!$D$3:$D$62,"RISK")),IFERROR(INDEX(ASCOPE_PMESII!$E$3:$E$62,_xlfn.AGGREGATE(15,6,(ROW(ASCOPE_PMESII!$D$3:$D$62)-ROW(ASCOPE_PMESII!$D$3)+1)/(ASCOPE_PMESII!$D$3:$D$62="RISK"),26-(COUNTIF(ASCOPE_PMESII!$B$3:$B$62,"RISK")))),""),IF(26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26-(COUNTIF(ASCOPE_PMESII!$B$3:$B$62,"RISK")+COUNTIF(ASCOPE_PMESII!$D$3:$D$62,"RISK")))),""),IF(26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26-(COUNTIF(ASCOPE_PMESII!$B$3:$B$62,"RISK")+COUNTIF(ASCOPE_PMESII!$D$3:$D$62,"RISK")+COUNTIF(ASCOPE_PMESII!$F$3:$F$62,"RISK")))),""),IF(26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26-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26-(COUNTIF(ASCOPE_PMESII!$B$3:$B$62,"RISK")+COUNTIF(ASCOPE_PMESII!$D$3:$D$62,"RISK")+COUNTIF(ASCOPE_PMESII!$F$3:$F$62,"RISK")+COUNTIF(ASCOPE_PMESII!$H$3:$H$62,"RISK")+COUNTIF(ASCOPE_PMESII!$J$3:$J$62,"RISK")))),"")))))),"")</f>
        <v>Collective punishment strengthens military cohesion</v>
      </c>
      <c r="D29" s="22" t="str">
        <f t="array" ref="D29">IFERROR(IF(26&lt;=COUNTIF(ASCOPE_PMESII!$B$3:$B$62,"CV"),IFERROR(INDEX(ASCOPE_PMESII!$C$3:$C$62,_xlfn.AGGREGATE(15,6,(ROW(ASCOPE_PMESII!$B$3:$B$62)-ROW(ASCOPE_PMESII!$B$3)+1)/(ASCOPE_PMESII!$B$3:$B$62="CV"),26)),""),IF(26&lt;=(COUNTIF(ASCOPE_PMESII!$B$3:$B$62,"CV")+COUNTIF(ASCOPE_PMESII!$D$3:$D$62,"CV")),IFERROR(INDEX(ASCOPE_PMESII!$E$3:$E$62,_xlfn.AGGREGATE(15,6,(ROW(ASCOPE_PMESII!$D$3:$D$62)-ROW(ASCOPE_PMESII!$D$3)+1)/(ASCOPE_PMESII!$D$3:$D$62="CV"),26-(COUNTIF(ASCOPE_PMESII!$B$3:$B$62,"CV")))),""),IF(26&lt;=(COUNTIF(ASCOPE_PMESII!$B$3:$B$62,"CV")+COUNTIF(ASCOPE_PMESII!$D$3:$D$62,"CV")+COUNTIF(ASCOPE_PMESII!$F$3:$F$62,"CV")),IFERROR(INDEX(ASCOPE_PMESII!$G$3:$G$62,_xlfn.AGGREGATE(15,6,(ROW(ASCOPE_PMESII!$F$3:$F$62)-ROW(ASCOPE_PMESII!$F$3)+1)/(ASCOPE_PMESII!$F$3:$F$62="CV"),26-(COUNTIF(ASCOPE_PMESII!$B$3:$B$62,"CV")+COUNTIF(ASCOPE_PMESII!$D$3:$D$62,"CV")))),""),IF(26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26-(COUNTIF(ASCOPE_PMESII!$B$3:$B$62,"CV")+COUNTIF(ASCOPE_PMESII!$D$3:$D$62,"CV")+COUNTIF(ASCOPE_PMESII!$F$3:$F$62,"CV")))),""),IF(26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26-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26-(COUNTIF(ASCOPE_PMESII!$B$3:$B$62,"CV")+COUNTIF(ASCOPE_PMESII!$D$3:$D$62,"CV")+COUNTIF(ASCOPE_PMESII!$F$3:$F$62,"CV")+COUNTIF(ASCOPE_PMESII!$H$3:$H$62,"CV")+COUNTIF(ASCOPE_PMESII!$J$3:$J$62,"CV")))),"")))))),"")</f>
        <v>Civil services degraded under rebel control</v>
      </c>
      <c r="E29" s="22" t="str">
        <f t="array" ref="E29">IFERROR(IF(26&lt;=COUNTIF(ASCOPE_PMESII!$B$3:$B$62,"COR"),IFERROR(INDEX(ASCOPE_PMESII!$C$3:$C$62,_xlfn.AGGREGATE(15,6,(ROW(ASCOPE_PMESII!$B$3:$B$62)-ROW(ASCOPE_PMESII!$B$3)+1)/(ASCOPE_PMESII!$B$3:$B$62="COR"),26)),""),IF(26&lt;=(COUNTIF(ASCOPE_PMESII!$B$3:$B$62,"COR")+COUNTIF(ASCOPE_PMESII!$D$3:$D$62,"COR")),IFERROR(INDEX(ASCOPE_PMESII!$E$3:$E$62,_xlfn.AGGREGATE(15,6,(ROW(ASCOPE_PMESII!$D$3:$D$62)-ROW(ASCOPE_PMESII!$D$3)+1)/(ASCOPE_PMESII!$D$3:$D$62="COR"),26-(COUNTIF(ASCOPE_PMESII!$B$3:$B$62,"COR")))),""),IF(26&lt;=(COUNTIF(ASCOPE_PMESII!$B$3:$B$62,"COR")+COUNTIF(ASCOPE_PMESII!$D$3:$D$62,"COR")+COUNTIF(ASCOPE_PMESII!$F$3:$F$62,"COR")),IFERROR(INDEX(ASCOPE_PMESII!$G$3:$G$62,_xlfn.AGGREGATE(15,6,(ROW(ASCOPE_PMESII!$F$3:$F$62)-ROW(ASCOPE_PMESII!$F$3)+1)/(ASCOPE_PMESII!$F$3:$F$62="COR"),26-(COUNTIF(ASCOPE_PMESII!$B$3:$B$62,"COR")+COUNTIF(ASCOPE_PMESII!$D$3:$D$62,"COR")))),""),IF(26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26-(COUNTIF(ASCOPE_PMESII!$B$3:$B$62,"COR")+COUNTIF(ASCOPE_PMESII!$D$3:$D$62,"COR")+COUNTIF(ASCOPE_PMESII!$F$3:$F$62,"COR")))),""),IF(26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26-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26-(COUNTIF(ASCOPE_PMESII!$B$3:$B$62,"COR")+COUNTIF(ASCOPE_PMESII!$D$3:$D$62,"COR")+COUNTIF(ASCOPE_PMESII!$F$3:$F$62,"COR")+COUNTIF(ASCOPE_PMESII!$H$3:$H$62,"COR")+COUNTIF(ASCOPE_PMESII!$J$3:$J$62,"COR")))),"")))))),"")</f>
        <v>Offer protected off-ramps below senior leadership</v>
      </c>
      <c r="F29" s="22" t="str">
        <f t="array" ref="F29">IFERROR(IF(26&lt;=COUNTIF(ASCOPE_PMESII!$B$3:$B$62,"REQT"),IFERROR(INDEX(ASCOPE_PMESII!$C$3:$C$62,_xlfn.AGGREGATE(15,6,(ROW(ASCOPE_PMESII!$B$3:$B$62)-ROW(ASCOPE_PMESII!$B$3)+1)/(ASCOPE_PMESII!$B$3:$B$62="REQT"),26)),""),IF(26&lt;=(COUNTIF(ASCOPE_PMESII!$B$3:$B$62,"REQT")+COUNTIF(ASCOPE_PMESII!$D$3:$D$62,"REQT")),IFERROR(INDEX(ASCOPE_PMESII!$E$3:$E$62,_xlfn.AGGREGATE(15,6,(ROW(ASCOPE_PMESII!$D$3:$D$62)-ROW(ASCOPE_PMESII!$D$3)+1)/(ASCOPE_PMESII!$D$3:$D$62="REQT"),26-(COUNTIF(ASCOPE_PMESII!$B$3:$B$62,"REQT")))),""),IF(26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26-(COUNTIF(ASCOPE_PMESII!$B$3:$B$62,"REQT")+COUNTIF(ASCOPE_PMESII!$D$3:$D$62,"REQT")))),""),IF(26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26-(COUNTIF(ASCOPE_PMESII!$B$3:$B$62,"REQT")+COUNTIF(ASCOPE_PMESII!$D$3:$D$62,"REQT")+COUNTIF(ASCOPE_PMESII!$F$3:$F$62,"REQT")))),""),IF(26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26-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26-(COUNTIF(ASCOPE_PMESII!$B$3:$B$62,"REQT")+COUNTIF(ASCOPE_PMESII!$D$3:$D$62,"REQT")+COUNTIF(ASCOPE_PMESII!$F$3:$F$62,"REQT")+COUNTIF(ASCOPE_PMESII!$H$3:$H$62,"REQT")+COUNTIF(ASCOPE_PMESII!$J$3:$J$62,"REQT")))),"")))))),"")</f>
        <v/>
      </c>
      <c r="G29" s="22" t="str">
        <f t="array" ref="G29">IFERROR(IF(26&lt;=COUNTIF(ASCOPE_PMESII!$B$3:$B$62,"REST"),IFERROR(INDEX(ASCOPE_PMESII!$C$3:$C$62,_xlfn.AGGREGATE(15,6,(ROW(ASCOPE_PMESII!$B$3:$B$62)-ROW(ASCOPE_PMESII!$B$3)+1)/(ASCOPE_PMESII!$B$3:$B$62="REST"),26)),""),IF(26&lt;=(COUNTIF(ASCOPE_PMESII!$B$3:$B$62,"REST")+COUNTIF(ASCOPE_PMESII!$D$3:$D$62,"REST")),IFERROR(INDEX(ASCOPE_PMESII!$E$3:$E$62,_xlfn.AGGREGATE(15,6,(ROW(ASCOPE_PMESII!$D$3:$D$62)-ROW(ASCOPE_PMESII!$D$3)+1)/(ASCOPE_PMESII!$D$3:$D$62="REST"),26-(COUNTIF(ASCOPE_PMESII!$B$3:$B$62,"REST")))),""),IF(26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26-(COUNTIF(ASCOPE_PMESII!$B$3:$B$62,"REST")+COUNTIF(ASCOPE_PMESII!$D$3:$D$62,"REST")))),""),IF(26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26-(COUNTIF(ASCOPE_PMESII!$B$3:$B$62,"REST")+COUNTIF(ASCOPE_PMESII!$D$3:$D$62,"REST")+COUNTIF(ASCOPE_PMESII!$F$3:$F$62,"REST")))),""),IF(26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26-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26-(COUNTIF(ASCOPE_PMESII!$B$3:$B$62,"REST")+COUNTIF(ASCOPE_PMESII!$D$3:$D$62,"REST")+COUNTIF(ASCOPE_PMESII!$F$3:$F$62,"REST")+COUNTIF(ASCOPE_PMESII!$H$3:$H$62,"REST")+COUNTIF(ASCOPE_PMESII!$J$3:$J$62,"REST")))),"")))))),"")</f>
        <v/>
      </c>
      <c r="H29" s="22" t="str">
        <f t="array" ref="H29">IFERROR(IF(26&lt;=COUNTIF(ASCOPE_PMESII!$B$3:$B$62,"KCD-MUST"),IFERROR(INDEX(ASCOPE_PMESII!$C$3:$C$62,_xlfn.AGGREGATE(15,6,(ROW(ASCOPE_PMESII!$B$3:$B$62)-ROW(ASCOPE_PMESII!$B$3)+1)/(ASCOPE_PMESII!$B$3:$B$62="KCD-MUST"),26)),""),IF(26&lt;=(COUNTIF(ASCOPE_PMESII!$B$3:$B$62,"KCD-MUST")+COUNTIF(ASCOPE_PMESII!$D$3:$D$62,"KCD-MUST")),IFERROR(INDEX(ASCOPE_PMESII!$E$3:$E$62,_xlfn.AGGREGATE(15,6,(ROW(ASCOPE_PMESII!$D$3:$D$62)-ROW(ASCOPE_PMESII!$D$3)+1)/(ASCOPE_PMESII!$D$3:$D$62="KCD-MUST"),26-(COUNTIF(ASCOPE_PMESII!$B$3:$B$62,"KCD-MUST")))),""),IF(26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26-(COUNTIF(ASCOPE_PMESII!$B$3:$B$62,"KCD-MUST")+COUNTIF(ASCOPE_PMESII!$D$3:$D$62,"KCD-MUST")))),""),IF(26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26-(COUNTIF(ASCOPE_PMESII!$B$3:$B$62,"KCD-MUST")+COUNTIF(ASCOPE_PMESII!$D$3:$D$62,"KCD-MUST")+COUNTIF(ASCOPE_PMESII!$F$3:$F$62,"KCD-MUST")))),""),IF(26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26-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26-(COUNTIF(ASCOPE_PMESII!$B$3:$B$62,"KCD-MUST")+COUNTIF(ASCOPE_PMESII!$D$3:$D$62,"KCD-MUST")+COUNTIF(ASCOPE_PMESII!$F$3:$F$62,"KCD-MUST")+COUNTIF(ASCOPE_PMESII!$H$3:$H$62,"KCD-MUST")+COUNTIF(ASCOPE_PMESII!$J$3:$J$62,"KCD-MUST")))),"")))))),"")</f>
        <v>Separate regular cadre from local militia</v>
      </c>
      <c r="I29" s="22" t="str">
        <f t="array" ref="I29">IFERROR(IF(26&lt;=COUNTIF(ASCOPE_PMESII!$B$3:$B$62,"KCD-SHOULD"),IFERROR(INDEX(ASCOPE_PMESII!$C$3:$C$62,_xlfn.AGGREGATE(15,6,(ROW(ASCOPE_PMESII!$B$3:$B$62)-ROW(ASCOPE_PMESII!$B$3)+1)/(ASCOPE_PMESII!$B$3:$B$62="KCD-SHOULD"),26)),""),IF(26&lt;=(COUNTIF(ASCOPE_PMESII!$B$3:$B$62,"KCD-SHOULD")+COUNTIF(ASCOPE_PMESII!$D$3:$D$62,"KCD-SHOULD")),IFERROR(INDEX(ASCOPE_PMESII!$E$3:$E$62,_xlfn.AGGREGATE(15,6,(ROW(ASCOPE_PMESII!$D$3:$D$62)-ROW(ASCOPE_PMESII!$D$3)+1)/(ASCOPE_PMESII!$D$3:$D$62="KCD-SHOULD"),26-(COUNTIF(ASCOPE_PMESII!$B$3:$B$62,"KCD-SHOULD")))),""),IF(26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26-(COUNTIF(ASCOPE_PMESII!$B$3:$B$62,"KCD-SHOULD")+COUNTIF(ASCOPE_PMESII!$D$3:$D$62,"KCD-SHOULD")))),""),IF(26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26-(COUNTIF(ASCOPE_PMESII!$B$3:$B$62,"KCD-SHOULD")+COUNTIF(ASCOPE_PMESII!$D$3:$D$62,"KCD-SHOULD")+COUNTIF(ASCOPE_PMESII!$F$3:$F$62,"KCD-SHOULD")))),""),IF(26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26-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26-(COUNTIF(ASCOPE_PMESII!$B$3:$B$62,"KCD-SHOULD")+COUNTIF(ASCOPE_PMESII!$D$3:$D$62,"KCD-SHOULD")+COUNTIF(ASCOPE_PMESII!$F$3:$F$62,"KCD-SHOULD")+COUNTIF(ASCOPE_PMESII!$H$3:$H$62,"KCD-SHOULD")+COUNTIF(ASCOPE_PMESII!$J$3:$J$62,"KCD-SHOULD")))),"")))))),"")</f>
        <v>Target orders, pay, family and amnesty channels</v>
      </c>
      <c r="J29" s="22" t="str">
        <f t="array" ref="J29">IFERROR(IF(26&lt;=COUNTIF(ASCOPE_PMESII!$B$3:$B$62,"KCD-SHOULD NOT"),IFERROR(INDEX(ASCOPE_PMESII!$C$3:$C$62,_xlfn.AGGREGATE(15,6,(ROW(ASCOPE_PMESII!$B$3:$B$62)-ROW(ASCOPE_PMESII!$B$3)+1)/(ASCOPE_PMESII!$B$3:$B$62="KCD-SHOULD NOT"),26)),""),IF(26&lt;=(COUNTIF(ASCOPE_PMESII!$B$3:$B$62,"KCD-SHOULD NOT")+COUNTIF(ASCOPE_PMESII!$D$3:$D$62,"KCD-SHOULD NOT")),IFERROR(INDEX(ASCOPE_PMESII!$E$3:$E$62,_xlfn.AGGREGATE(15,6,(ROW(ASCOPE_PMESII!$D$3:$D$62)-ROW(ASCOPE_PMESII!$D$3)+1)/(ASCOPE_PMESII!$D$3:$D$62="KCD-SHOULD NOT"),26-(COUNTIF(ASCOPE_PMESII!$B$3:$B$62,"KCD-SHOULD NOT")))),""),IF(26&lt;=(COUNTIF(ASCOPE_PMESII!$B$3:$B$62,"KCD-SHOULD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NOT"),26-(COUNTIF(ASCOPE_PMESII!$B$3:$B$62,"KCD-SHOULD NOT")+COUNTIF(ASCOPE_PMESII!$D$3:$D$62,"KCD-SHOULD NOT")))),""),IF(26&lt;=(COUNTIF(ASCOPE_PMESII!$B$3:$B$62,"KCD-SHOULD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NOT"),26-(COUNTIF(ASCOPE_PMESII!$B$3:$B$62,"KCD-SHOULD NOT")+COUNTIF(ASCOPE_PMESII!$D$3:$D$62,"KCD-SHOULD NOT")+COUNTIF(ASCOPE_PMESII!$F$3:$F$62,"KCD-SHOULD NOT")))),""),IF(26&lt;=(COUNTIF(ASCOPE_PMESII!$B$3:$B$62,"KCD-SHOULD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NOT"),26-(COUNTIF(ASCOPE_PMESII!$B$3:$B$62,"KCD-SHOULD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NOT"),26-(COUNTIF(ASCOPE_PMESII!$B$3:$B$62,"KCD-SHOULD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29" s="22" t="str">
        <f t="array" ref="K29">IFERROR(IF(26&lt;=COUNTIF(ASCOPE_PMESII!$B$3:$B$62,"KCD-CANNOT"),IFERROR(INDEX(ASCOPE_PMESII!$C$3:$C$62,_xlfn.AGGREGATE(15,6,(ROW(ASCOPE_PMESII!$B$3:$B$62)-ROW(ASCOPE_PMESII!$B$3)+1)/(ASCOPE_PMESII!$B$3:$B$62="KCD-CANNOT"),26)),""),IF(26&lt;=(COUNTIF(ASCOPE_PMESII!$B$3:$B$62,"KCD-CANNOT")+COUNTIF(ASCOPE_PMESII!$D$3:$D$62,"KCD-CANNOT")),IFERROR(INDEX(ASCOPE_PMESII!$E$3:$E$62,_xlfn.AGGREGATE(15,6,(ROW(ASCOPE_PMESII!$D$3:$D$62)-ROW(ASCOPE_PMESII!$D$3)+1)/(ASCOPE_PMESII!$D$3:$D$62="KCD-CANNOT"),26-(COUNTIF(ASCOPE_PMESII!$B$3:$B$62,"KCD-CANNOT")))),""),IF(26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26-(COUNTIF(ASCOPE_PMESII!$B$3:$B$62,"KCD-CANNOT")+COUNTIF(ASCOPE_PMESII!$D$3:$D$62,"KCD-CANNOT")))),""),IF(26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26-(COUNTIF(ASCOPE_PMESII!$B$3:$B$62,"KCD-CANNOT")+COUNTIF(ASCOPE_PMESII!$D$3:$D$62,"KCD-CANNOT")+COUNTIF(ASCOPE_PMESII!$F$3:$F$62,"KCD-CANNOT")))),""),IF(26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26-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26-(COUNTIF(ASCOPE_PMESII!$B$3:$B$62,"KCD-CANNOT")+COUNTIF(ASCOPE_PMESII!$D$3:$D$62,"KCD-CANNOT")+COUNTIF(ASCOPE_PMESII!$F$3:$F$62,"KCD-CANNOT")+COUNTIF(ASCOPE_PMESII!$H$3:$H$62,"KCD-CANNOT")+COUNTIF(ASCOPE_PMESII!$J$3:$J$62,"KCD-CANNOT")))),"")))))),"")</f>
        <v>Cannot assume all rebel troops are ideological</v>
      </c>
      <c r="L29" s="22" t="str">
        <f t="array" ref="L29">IFERROR(IF(26&lt;=COUNTIF(ASCOPE_PMESII!$B$3:$B$62,"DECISION"),IFERROR(INDEX(ASCOPE_PMESII!$C$3:$C$62,_xlfn.AGGREGATE(15,6,(ROW(ASCOPE_PMESII!$B$3:$B$62)-ROW(ASCOPE_PMESII!$B$3)+1)/(ASCOPE_PMESII!$B$3:$B$62="DECISION"),26)),""),IF(26&lt;=(COUNTIF(ASCOPE_PMESII!$B$3:$B$62,"DECISION")+COUNTIF(ASCOPE_PMESII!$D$3:$D$62,"DECISION")),IFERROR(INDEX(ASCOPE_PMESII!$E$3:$E$62,_xlfn.AGGREGATE(15,6,(ROW(ASCOPE_PMESII!$D$3:$D$62)-ROW(ASCOPE_PMESII!$D$3)+1)/(ASCOPE_PMESII!$D$3:$D$62="DECISION"),26-(COUNTIF(ASCOPE_PMESII!$B$3:$B$62,"DECISION")))),""),IF(26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26-(COUNTIF(ASCOPE_PMESII!$B$3:$B$62,"DECISION")+COUNTIF(ASCOPE_PMESII!$D$3:$D$62,"DECISION")))),""),IF(26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26-(COUNTIF(ASCOPE_PMESII!$B$3:$B$62,"DECISION")+COUNTIF(ASCOPE_PMESII!$D$3:$D$62,"DECISION")+COUNTIF(ASCOPE_PMESII!$F$3:$F$62,"DECISION")))),""),IF(26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26-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26-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29" s="22" t="str">
        <f t="array" ref="M29">IFERROR(IF(26&lt;=COUNTIF(ASCOPE_PMESII!$B$3:$B$62,"ASSUMPTION"),IFERROR(INDEX(ASCOPE_PMESII!$C$3:$C$62,_xlfn.AGGREGATE(15,6,(ROW(ASCOPE_PMESII!$B$3:$B$62)-ROW(ASCOPE_PMESII!$B$3)+1)/(ASCOPE_PMESII!$B$3:$B$62="ASSUMPTION"),26)),""),IF(26&lt;=(COUNTIF(ASCOPE_PMESII!$B$3:$B$62,"ASSUMPTION")+COUNTIF(ASCOPE_PMESII!$D$3:$D$62,"ASSUMPTION")),IFERROR(INDEX(ASCOPE_PMESII!$E$3:$E$62,_xlfn.AGGREGATE(15,6,(ROW(ASCOPE_PMESII!$D$3:$D$62)-ROW(ASCOPE_PMESII!$D$3)+1)/(ASCOPE_PMESII!$D$3:$D$62="ASSUMPTION"),26-(COUNTIF(ASCOPE_PMESII!$B$3:$B$62,"ASSUMPTION")))),""),IF(26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26-(COUNTIF(ASCOPE_PMESII!$B$3:$B$62,"ASSUMPTION")+COUNTIF(ASCOPE_PMESII!$D$3:$D$62,"ASSUMPTION")))),""),IF(26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26-(COUNTIF(ASCOPE_PMESII!$B$3:$B$62,"ASSUMPTION")+COUNTIF(ASCOPE_PMESII!$D$3:$D$62,"ASSUMPTION")+COUNTIF(ASCOPE_PMESII!$F$3:$F$62,"ASSUMPTION")))),""),IF(26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26-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26-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29" s="22" t="str">
        <f t="array" ref="N29">IFERROR(IF(26&lt;=COUNTIF(ASCOPE_PMESII!$B$3:$B$62,"CONSTRAINT"),IFERROR(INDEX(ASCOPE_PMESII!$C$3:$C$62,_xlfn.AGGREGATE(15,6,(ROW(ASCOPE_PMESII!$B$3:$B$62)-ROW(ASCOPE_PMESII!$B$3)+1)/(ASCOPE_PMESII!$B$3:$B$62="CONSTRAINT"),26)),""),IF(26&lt;=(COUNTIF(ASCOPE_PMESII!$B$3:$B$62,"CONSTRAINT")+COUNTIF(ASCOPE_PMESII!$D$3:$D$62,"CONSTRAINT")),IFERROR(INDEX(ASCOPE_PMESII!$E$3:$E$62,_xlfn.AGGREGATE(15,6,(ROW(ASCOPE_PMESII!$D$3:$D$62)-ROW(ASCOPE_PMESII!$D$3)+1)/(ASCOPE_PMESII!$D$3:$D$62="CONSTRAINT"),26-(COUNTIF(ASCOPE_PMESII!$B$3:$B$62,"CONSTRAINT")))),""),IF(26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26-(COUNTIF(ASCOPE_PMESII!$B$3:$B$62,"CONSTRAINT")+COUNTIF(ASCOPE_PMESII!$D$3:$D$62,"CONSTRAINT")))),""),IF(26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26-(COUNTIF(ASCOPE_PMESII!$B$3:$B$62,"CONSTRAINT")+COUNTIF(ASCOPE_PMESII!$D$3:$D$62,"CONSTRAINT")+COUNTIF(ASCOPE_PMESII!$F$3:$F$62,"CONSTRAINT")))),""),IF(26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26-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26-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29" s="22" t="str">
        <f t="array" ref="O29">IFERROR(IF(26&lt;=COUNTIF(ASCOPE_PMESII!$B$3:$B$62,"LIMITATION"),IFERROR(INDEX(ASCOPE_PMESII!$C$3:$C$62,_xlfn.AGGREGATE(15,6,(ROW(ASCOPE_PMESII!$B$3:$B$62)-ROW(ASCOPE_PMESII!$B$3)+1)/(ASCOPE_PMESII!$B$3:$B$62="LIMITATION"),26)),""),IF(26&lt;=(COUNTIF(ASCOPE_PMESII!$B$3:$B$62,"LIMITATION")+COUNTIF(ASCOPE_PMESII!$D$3:$D$62,"LIMITATION")),IFERROR(INDEX(ASCOPE_PMESII!$E$3:$E$62,_xlfn.AGGREGATE(15,6,(ROW(ASCOPE_PMESII!$D$3:$D$62)-ROW(ASCOPE_PMESII!$D$3)+1)/(ASCOPE_PMESII!$D$3:$D$62="LIMITATION"),26-(COUNTIF(ASCOPE_PMESII!$B$3:$B$62,"LIMITATION")))),""),IF(26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26-(COUNTIF(ASCOPE_PMESII!$B$3:$B$62,"LIMITATION")+COUNTIF(ASCOPE_PMESII!$D$3:$D$62,"LIMITATION")))),""),IF(26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26-(COUNTIF(ASCOPE_PMESII!$B$3:$B$62,"LIMITATION")+COUNTIF(ASCOPE_PMESII!$D$3:$D$62,"LIMITATION")+COUNTIF(ASCOPE_PMESII!$F$3:$F$62,"LIMITATION")))),""),IF(26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26-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26-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29" s="22" t="str">
        <f t="array" ref="P29">IFERROR(IF(26&lt;=COUNTIF(ASCOPE_PMESII!$B$3:$B$62,"CC"),IFERROR(INDEX(ASCOPE_PMESII!$C$3:$C$62,_xlfn.AGGREGATE(15,6,(ROW(ASCOPE_PMESII!$B$3:$B$62)-ROW(ASCOPE_PMESII!$B$3)+1)/(ASCOPE_PMESII!$B$3:$B$62="CC"),26)),""),IF(26&lt;=(COUNTIF(ASCOPE_PMESII!$B$3:$B$62,"CC")+COUNTIF(ASCOPE_PMESII!$D$3:$D$62,"CC")),IFERROR(INDEX(ASCOPE_PMESII!$E$3:$E$62,_xlfn.AGGREGATE(15,6,(ROW(ASCOPE_PMESII!$D$3:$D$62)-ROW(ASCOPE_PMESII!$D$3)+1)/(ASCOPE_PMESII!$D$3:$D$62="CC"),26-(COUNTIF(ASCOPE_PMESII!$B$3:$B$62,"CC")))),""),IF(26&lt;=(COUNTIF(ASCOPE_PMESII!$B$3:$B$62,"CC")+COUNTIF(ASCOPE_PMESII!$D$3:$D$62,"CC")+COUNTIF(ASCOPE_PMESII!$F$3:$F$62,"CC")),IFERROR(INDEX(ASCOPE_PMESII!$G$3:$G$62,_xlfn.AGGREGATE(15,6,(ROW(ASCOPE_PMESII!$F$3:$F$62)-ROW(ASCOPE_PMESII!$F$3)+1)/(ASCOPE_PMESII!$F$3:$F$62="CC"),26-(COUNTIF(ASCOPE_PMESII!$B$3:$B$62,"CC")+COUNTIF(ASCOPE_PMESII!$D$3:$D$62,"CC")))),""),IF(26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26-(COUNTIF(ASCOPE_PMESII!$B$3:$B$62,"CC")+COUNTIF(ASCOPE_PMESII!$D$3:$D$62,"CC")+COUNTIF(ASCOPE_PMESII!$F$3:$F$62,"CC")))),""),IF(26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26-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26-(COUNTIF(ASCOPE_PMESII!$B$3:$B$62,"CC")+COUNTIF(ASCOPE_PMESII!$D$3:$D$62,"CC")+COUNTIF(ASCOPE_PMESII!$F$3:$F$62,"CC")+COUNTIF(ASCOPE_PMESII!$H$3:$H$62,"CC")+COUNTIF(ASCOPE_PMESII!$J$3:$J$62,"CC")))),"")))))),"")</f>
        <v>KODAM 1 integrates land, sea and air operations</v>
      </c>
      <c r="Q29" s="22" t="str">
        <f t="array" ref="Q29">IFERROR(IF(26&lt;=COUNTIF(ASCOPE_PMESII!$B$3:$B$62,"CR"),IFERROR(INDEX(ASCOPE_PMESII!$C$3:$C$62,_xlfn.AGGREGATE(15,6,(ROW(ASCOPE_PMESII!$B$3:$B$62)-ROW(ASCOPE_PMESII!$B$3)+1)/(ASCOPE_PMESII!$B$3:$B$62="CR"),26)),""),IF(26&lt;=(COUNTIF(ASCOPE_PMESII!$B$3:$B$62,"CR")+COUNTIF(ASCOPE_PMESII!$D$3:$D$62,"CR")),IFERROR(INDEX(ASCOPE_PMESII!$E$3:$E$62,_xlfn.AGGREGATE(15,6,(ROW(ASCOPE_PMESII!$D$3:$D$62)-ROW(ASCOPE_PMESII!$D$3)+1)/(ASCOPE_PMESII!$D$3:$D$62="CR"),26-(COUNTIF(ASCOPE_PMESII!$B$3:$B$62,"CR")))),""),IF(26&lt;=(COUNTIF(ASCOPE_PMESII!$B$3:$B$62,"CR")+COUNTIF(ASCOPE_PMESII!$D$3:$D$62,"CR")+COUNTIF(ASCOPE_PMESII!$F$3:$F$62,"CR")),IFERROR(INDEX(ASCOPE_PMESII!$G$3:$G$62,_xlfn.AGGREGATE(15,6,(ROW(ASCOPE_PMESII!$F$3:$F$62)-ROW(ASCOPE_PMESII!$F$3)+1)/(ASCOPE_PMESII!$F$3:$F$62="CR"),26-(COUNTIF(ASCOPE_PMESII!$B$3:$B$62,"CR")+COUNTIF(ASCOPE_PMESII!$D$3:$D$62,"CR")))),""),IF(26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26-(COUNTIF(ASCOPE_PMESII!$B$3:$B$62,"CR")+COUNTIF(ASCOPE_PMESII!$D$3:$D$62,"CR")+COUNTIF(ASCOPE_PMESII!$F$3:$F$62,"CR")))),""),IF(26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26-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26-(COUNTIF(ASCOPE_PMESII!$B$3:$B$62,"CR")+COUNTIF(ASCOPE_PMESII!$D$3:$D$62,"CR")+COUNTIF(ASCOPE_PMESII!$F$3:$F$62,"CR")+COUNTIF(ASCOPE_PMESII!$H$3:$H$62,"CR")+COUNTIF(ASCOPE_PMESII!$J$3:$J$62,"CR")))),"")))))),"")</f>
        <v>HUMINT/SIGINT needed on faction morale</v>
      </c>
      <c r="R29" s="95" t="str">
        <f t="array" ref="R29">IFERROR(IF(26&lt;=COUNTIF(ASCOPE_PMESII!$B$3:$B$62,"PCS"),IFERROR(INDEX(ASCOPE_PMESII!$C$3:$C$62,_xlfn.AGGREGATE(15,6,(ROW(ASCOPE_PMESII!$B$3:$B$62)-ROW(ASCOPE_PMESII!$B$3)+1)/(ASCOPE_PMESII!$B$3:$B$62="PCS"),26)),""),IF(26&lt;=(COUNTIF(ASCOPE_PMESII!$B$3:$B$62,"PCS")+COUNTIF(ASCOPE_PMESII!$D$3:$D$62,"PCS")),IFERROR(INDEX(ASCOPE_PMESII!$E$3:$E$62,_xlfn.AGGREGATE(15,6,(ROW(ASCOPE_PMESII!$D$3:$D$62)-ROW(ASCOPE_PMESII!$D$3)+1)/(ASCOPE_PMESII!$D$3:$D$62="PCS"),26-(COUNTIF(ASCOPE_PMESII!$B$3:$B$62,"PCS")))),""),IF(26&lt;=(COUNTIF(ASCOPE_PMESII!$B$3:$B$62,"PCS")+COUNTIF(ASCOPE_PMESII!$D$3:$D$62,"PCS")+COUNTIF(ASCOPE_PMESII!$F$3:$F$62,"PCS")),IFERROR(INDEX(ASCOPE_PMESII!$G$3:$G$62,_xlfn.AGGREGATE(15,6,(ROW(ASCOPE_PMESII!$F$3:$F$62)-ROW(ASCOPE_PMESII!$F$3)+1)/(ASCOPE_PMESII!$F$3:$F$62="PCS"),26-(COUNTIF(ASCOPE_PMESII!$B$3:$B$62,"PCS")+COUNTIF(ASCOPE_PMESII!$D$3:$D$62,"PCS")))),""),IF(26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26-(COUNTIF(ASCOPE_PMESII!$B$3:$B$62,"PCS")+COUNTIF(ASCOPE_PMESII!$D$3:$D$62,"PCS")+COUNTIF(ASCOPE_PMESII!$F$3:$F$62,"PCS")))),""),IF(26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26-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26-(COUNTIF(ASCOPE_PMESII!$B$3:$B$62,"PCS")+COUNTIF(ASCOPE_PMESII!$D$3:$D$62,"PCS")+COUNTIF(ASCOPE_PMESII!$F$3:$F$62,"PCS")+COUNTIF(ASCOPE_PMESII!$H$3:$H$62,"PCS")+COUNTIF(ASCOPE_PMESII!$J$3:$J$62,"PCS")))),"")))))),"")</f>
        <v/>
      </c>
    </row>
    <row r="30" spans="1:18" ht="34.5" customHeight="1">
      <c r="A30" s="21" t="str">
        <f t="array" ref="A30">IFERROR(IF(27&lt;=COUNTIF(ASCOPE_PMESII!$B$3:$B$62,"OE"),IFERROR(INDEX(ASCOPE_PMESII!$C$3:$C$62,_xlfn.AGGREGATE(15,6,(ROW(ASCOPE_PMESII!$B$3:$B$62)-ROW(ASCOPE_PMESII!$B$3)+1)/(ASCOPE_PMESII!$B$3:$B$62="OE"),27)),""),IF(27&lt;=(COUNTIF(ASCOPE_PMESII!$B$3:$B$62,"OE")+COUNTIF(ASCOPE_PMESII!$D$3:$D$62,"OE")),IFERROR(INDEX(ASCOPE_PMESII!$E$3:$E$62,_xlfn.AGGREGATE(15,6,(ROW(ASCOPE_PMESII!$D$3:$D$62)-ROW(ASCOPE_PMESII!$D$3)+1)/(ASCOPE_PMESII!$D$3:$D$62="OE"),27-(COUNTIF(ASCOPE_PMESII!$B$3:$B$62,"OE")))),""),IF(27&lt;=(COUNTIF(ASCOPE_PMESII!$B$3:$B$62,"OE")+COUNTIF(ASCOPE_PMESII!$D$3:$D$62,"OE")+COUNTIF(ASCOPE_PMESII!$F$3:$F$62,"OE")),IFERROR(INDEX(ASCOPE_PMESII!$G$3:$G$62,_xlfn.AGGREGATE(15,6,(ROW(ASCOPE_PMESII!$F$3:$F$62)-ROW(ASCOPE_PMESII!$F$3)+1)/(ASCOPE_PMESII!$F$3:$F$62="OE"),27-(COUNTIF(ASCOPE_PMESII!$B$3:$B$62,"OE")+COUNTIF(ASCOPE_PMESII!$D$3:$D$62,"OE")))),""),IF(27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27-(COUNTIF(ASCOPE_PMESII!$B$3:$B$62,"OE")+COUNTIF(ASCOPE_PMESII!$D$3:$D$62,"OE")+COUNTIF(ASCOPE_PMESII!$F$3:$F$62,"OE")))),""),IF(27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27-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27-(COUNTIF(ASCOPE_PMESII!$B$3:$B$62,"OE")+COUNTIF(ASCOPE_PMESII!$D$3:$D$62,"OE")+COUNTIF(ASCOPE_PMESII!$F$3:$F$62,"OE")+COUNTIF(ASCOPE_PMESII!$H$3:$H$62,"OE")+COUNTIF(ASCOPE_PMESII!$J$3:$J$62,"OE")))),"")))))),"")</f>
        <v/>
      </c>
      <c r="B30" s="21" t="str">
        <f t="array" ref="B30">IFERROR(IF(27&lt;=COUNTIF(ASCOPE_PMESII!$B$3:$B$62,"OA"),IFERROR(INDEX(ASCOPE_PMESII!$C$3:$C$62,_xlfn.AGGREGATE(15,6,(ROW(ASCOPE_PMESII!$B$3:$B$62)-ROW(ASCOPE_PMESII!$B$3)+1)/(ASCOPE_PMESII!$B$3:$B$62="OA"),27)),""),IF(27&lt;=(COUNTIF(ASCOPE_PMESII!$B$3:$B$62,"OA")+COUNTIF(ASCOPE_PMESII!$D$3:$D$62,"OA")),IFERROR(INDEX(ASCOPE_PMESII!$E$3:$E$62,_xlfn.AGGREGATE(15,6,(ROW(ASCOPE_PMESII!$D$3:$D$62)-ROW(ASCOPE_PMESII!$D$3)+1)/(ASCOPE_PMESII!$D$3:$D$62="OA"),27-(COUNTIF(ASCOPE_PMESII!$B$3:$B$62,"OA")))),""),IF(27&lt;=(COUNTIF(ASCOPE_PMESII!$B$3:$B$62,"OA")+COUNTIF(ASCOPE_PMESII!$D$3:$D$62,"OA")+COUNTIF(ASCOPE_PMESII!$F$3:$F$62,"OA")),IFERROR(INDEX(ASCOPE_PMESII!$G$3:$G$62,_xlfn.AGGREGATE(15,6,(ROW(ASCOPE_PMESII!$F$3:$F$62)-ROW(ASCOPE_PMESII!$F$3)+1)/(ASCOPE_PMESII!$F$3:$F$62="OA"),27-(COUNTIF(ASCOPE_PMESII!$B$3:$B$62,"OA")+COUNTIF(ASCOPE_PMESII!$D$3:$D$62,"OA")))),""),IF(27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27-(COUNTIF(ASCOPE_PMESII!$B$3:$B$62,"OA")+COUNTIF(ASCOPE_PMESII!$D$3:$D$62,"OA")+COUNTIF(ASCOPE_PMESII!$F$3:$F$62,"OA")))),""),IF(27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27-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27-(COUNTIF(ASCOPE_PMESII!$B$3:$B$62,"OA")+COUNTIF(ASCOPE_PMESII!$D$3:$D$62,"OA")+COUNTIF(ASCOPE_PMESII!$F$3:$F$62,"OA")+COUNTIF(ASCOPE_PMESII!$H$3:$H$62,"OA")+COUNTIF(ASCOPE_PMESII!$J$3:$J$62,"OA")))),"")))))),"")</f>
        <v/>
      </c>
      <c r="C30" s="21" t="str">
        <f t="array" ref="C30">IFERROR(IF(27&lt;=COUNTIF(ASCOPE_PMESII!$B$3:$B$62,"RISK"),IFERROR(INDEX(ASCOPE_PMESII!$C$3:$C$62,_xlfn.AGGREGATE(15,6,(ROW(ASCOPE_PMESII!$B$3:$B$62)-ROW(ASCOPE_PMESII!$B$3)+1)/(ASCOPE_PMESII!$B$3:$B$62="RISK"),27)),""),IF(27&lt;=(COUNTIF(ASCOPE_PMESII!$B$3:$B$62,"RISK")+COUNTIF(ASCOPE_PMESII!$D$3:$D$62,"RISK")),IFERROR(INDEX(ASCOPE_PMESII!$E$3:$E$62,_xlfn.AGGREGATE(15,6,(ROW(ASCOPE_PMESII!$D$3:$D$62)-ROW(ASCOPE_PMESII!$D$3)+1)/(ASCOPE_PMESII!$D$3:$D$62="RISK"),27-(COUNTIF(ASCOPE_PMESII!$B$3:$B$62,"RISK")))),""),IF(27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27-(COUNTIF(ASCOPE_PMESII!$B$3:$B$62,"RISK")+COUNTIF(ASCOPE_PMESII!$D$3:$D$62,"RISK")))),""),IF(27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27-(COUNTIF(ASCOPE_PMESII!$B$3:$B$62,"RISK")+COUNTIF(ASCOPE_PMESII!$D$3:$D$62,"RISK")+COUNTIF(ASCOPE_PMESII!$F$3:$F$62,"RISK")))),""),IF(27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27-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27-(COUNTIF(ASCOPE_PMESII!$B$3:$B$62,"RISK")+COUNTIF(ASCOPE_PMESII!$D$3:$D$62,"RISK")+COUNTIF(ASCOPE_PMESII!$F$3:$F$62,"RISK")+COUNTIF(ASCOPE_PMESII!$H$3:$H$62,"RISK")+COUNTIF(ASCOPE_PMESII!$J$3:$J$62,"RISK")))),"")))))),"")</f>
        <v>Revenue denial without relief creates resentment</v>
      </c>
      <c r="D30" s="21" t="str">
        <f t="array" ref="D30">IFERROR(IF(27&lt;=COUNTIF(ASCOPE_PMESII!$B$3:$B$62,"CV"),IFERROR(INDEX(ASCOPE_PMESII!$C$3:$C$62,_xlfn.AGGREGATE(15,6,(ROW(ASCOPE_PMESII!$B$3:$B$62)-ROW(ASCOPE_PMESII!$B$3)+1)/(ASCOPE_PMESII!$B$3:$B$62="CV"),27)),""),IF(27&lt;=(COUNTIF(ASCOPE_PMESII!$B$3:$B$62,"CV")+COUNTIF(ASCOPE_PMESII!$D$3:$D$62,"CV")),IFERROR(INDEX(ASCOPE_PMESII!$E$3:$E$62,_xlfn.AGGREGATE(15,6,(ROW(ASCOPE_PMESII!$D$3:$D$62)-ROW(ASCOPE_PMESII!$D$3)+1)/(ASCOPE_PMESII!$D$3:$D$62="CV"),27-(COUNTIF(ASCOPE_PMESII!$B$3:$B$62,"CV")))),""),IF(27&lt;=(COUNTIF(ASCOPE_PMESII!$B$3:$B$62,"CV")+COUNTIF(ASCOPE_PMESII!$D$3:$D$62,"CV")+COUNTIF(ASCOPE_PMESII!$F$3:$F$62,"CV")),IFERROR(INDEX(ASCOPE_PMESII!$G$3:$G$62,_xlfn.AGGREGATE(15,6,(ROW(ASCOPE_PMESII!$F$3:$F$62)-ROW(ASCOPE_PMESII!$F$3)+1)/(ASCOPE_PMESII!$F$3:$F$62="CV"),27-(COUNTIF(ASCOPE_PMESII!$B$3:$B$62,"CV")+COUNTIF(ASCOPE_PMESII!$D$3:$D$62,"CV")))),""),IF(27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27-(COUNTIF(ASCOPE_PMESII!$B$3:$B$62,"CV")+COUNTIF(ASCOPE_PMESII!$D$3:$D$62,"CV")+COUNTIF(ASCOPE_PMESII!$F$3:$F$62,"CV")))),""),IF(27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27-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27-(COUNTIF(ASCOPE_PMESII!$B$3:$B$62,"CV")+COUNTIF(ASCOPE_PMESII!$D$3:$D$62,"CV")+COUNTIF(ASCOPE_PMESII!$F$3:$F$62,"CV")+COUNTIF(ASCOPE_PMESII!$H$3:$H$62,"CV")+COUNTIF(ASCOPE_PMESII!$J$3:$J$62,"CV")))),"")))))),"")</f>
        <v>Road/rail network is limited and washout-prone</v>
      </c>
      <c r="E30" s="21" t="str">
        <f t="array" ref="E30">IFERROR(IF(27&lt;=COUNTIF(ASCOPE_PMESII!$B$3:$B$62,"COR"),IFERROR(INDEX(ASCOPE_PMESII!$C$3:$C$62,_xlfn.AGGREGATE(15,6,(ROW(ASCOPE_PMESII!$B$3:$B$62)-ROW(ASCOPE_PMESII!$B$3)+1)/(ASCOPE_PMESII!$B$3:$B$62="COR"),27)),""),IF(27&lt;=(COUNTIF(ASCOPE_PMESII!$B$3:$B$62,"COR")+COUNTIF(ASCOPE_PMESII!$D$3:$D$62,"COR")),IFERROR(INDEX(ASCOPE_PMESII!$E$3:$E$62,_xlfn.AGGREGATE(15,6,(ROW(ASCOPE_PMESII!$D$3:$D$62)-ROW(ASCOPE_PMESII!$D$3)+1)/(ASCOPE_PMESII!$D$3:$D$62="COR"),27-(COUNTIF(ASCOPE_PMESII!$B$3:$B$62,"COR")))),""),IF(27&lt;=(COUNTIF(ASCOPE_PMESII!$B$3:$B$62,"COR")+COUNTIF(ASCOPE_PMESII!$D$3:$D$62,"COR")+COUNTIF(ASCOPE_PMESII!$F$3:$F$62,"COR")),IFERROR(INDEX(ASCOPE_PMESII!$G$3:$G$62,_xlfn.AGGREGATE(15,6,(ROW(ASCOPE_PMESII!$F$3:$F$62)-ROW(ASCOPE_PMESII!$F$3)+1)/(ASCOPE_PMESII!$F$3:$F$62="COR"),27-(COUNTIF(ASCOPE_PMESII!$B$3:$B$62,"COR")+COUNTIF(ASCOPE_PMESII!$D$3:$D$62,"COR")))),""),IF(27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27-(COUNTIF(ASCOPE_PMESII!$B$3:$B$62,"COR")+COUNTIF(ASCOPE_PMESII!$D$3:$D$62,"COR")+COUNTIF(ASCOPE_PMESII!$F$3:$F$62,"COR")))),""),IF(27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27-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27-(COUNTIF(ASCOPE_PMESII!$B$3:$B$62,"COR")+COUNTIF(ASCOPE_PMESII!$D$3:$D$62,"COR")+COUNTIF(ASCOPE_PMESII!$F$3:$F$62,"COR")+COUNTIF(ASCOPE_PMESII!$H$3:$H$62,"COR")+COUNTIF(ASCOPE_PMESII!$J$3:$J$62,"COR")))),"")))))),"")</f>
        <v>Protect wages, food, fuel and essential services</v>
      </c>
      <c r="F30" s="21" t="str">
        <f t="array" ref="F30">IFERROR(IF(27&lt;=COUNTIF(ASCOPE_PMESII!$B$3:$B$62,"REQT"),IFERROR(INDEX(ASCOPE_PMESII!$C$3:$C$62,_xlfn.AGGREGATE(15,6,(ROW(ASCOPE_PMESII!$B$3:$B$62)-ROW(ASCOPE_PMESII!$B$3)+1)/(ASCOPE_PMESII!$B$3:$B$62="REQT"),27)),""),IF(27&lt;=(COUNTIF(ASCOPE_PMESII!$B$3:$B$62,"REQT")+COUNTIF(ASCOPE_PMESII!$D$3:$D$62,"REQT")),IFERROR(INDEX(ASCOPE_PMESII!$E$3:$E$62,_xlfn.AGGREGATE(15,6,(ROW(ASCOPE_PMESII!$D$3:$D$62)-ROW(ASCOPE_PMESII!$D$3)+1)/(ASCOPE_PMESII!$D$3:$D$62="REQT"),27-(COUNTIF(ASCOPE_PMESII!$B$3:$B$62,"REQT")))),""),IF(27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27-(COUNTIF(ASCOPE_PMESII!$B$3:$B$62,"REQT")+COUNTIF(ASCOPE_PMESII!$D$3:$D$62,"REQT")))),""),IF(27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27-(COUNTIF(ASCOPE_PMESII!$B$3:$B$62,"REQT")+COUNTIF(ASCOPE_PMESII!$D$3:$D$62,"REQT")+COUNTIF(ASCOPE_PMESII!$F$3:$F$62,"REQT")))),""),IF(27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27-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27-(COUNTIF(ASCOPE_PMESII!$B$3:$B$62,"REQT")+COUNTIF(ASCOPE_PMESII!$D$3:$D$62,"REQT")+COUNTIF(ASCOPE_PMESII!$F$3:$F$62,"REQT")+COUNTIF(ASCOPE_PMESII!$H$3:$H$62,"REQT")+COUNTIF(ASCOPE_PMESII!$J$3:$J$62,"REQT")))),"")))))),"")</f>
        <v/>
      </c>
      <c r="G30" s="21" t="str">
        <f t="array" ref="G30">IFERROR(IF(27&lt;=COUNTIF(ASCOPE_PMESII!$B$3:$B$62,"REST"),IFERROR(INDEX(ASCOPE_PMESII!$C$3:$C$62,_xlfn.AGGREGATE(15,6,(ROW(ASCOPE_PMESII!$B$3:$B$62)-ROW(ASCOPE_PMESII!$B$3)+1)/(ASCOPE_PMESII!$B$3:$B$62="REST"),27)),""),IF(27&lt;=(COUNTIF(ASCOPE_PMESII!$B$3:$B$62,"REST")+COUNTIF(ASCOPE_PMESII!$D$3:$D$62,"REST")),IFERROR(INDEX(ASCOPE_PMESII!$E$3:$E$62,_xlfn.AGGREGATE(15,6,(ROW(ASCOPE_PMESII!$D$3:$D$62)-ROW(ASCOPE_PMESII!$D$3)+1)/(ASCOPE_PMESII!$D$3:$D$62="REST"),27-(COUNTIF(ASCOPE_PMESII!$B$3:$B$62,"REST")))),""),IF(27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27-(COUNTIF(ASCOPE_PMESII!$B$3:$B$62,"REST")+COUNTIF(ASCOPE_PMESII!$D$3:$D$62,"REST")))),""),IF(27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27-(COUNTIF(ASCOPE_PMESII!$B$3:$B$62,"REST")+COUNTIF(ASCOPE_PMESII!$D$3:$D$62,"REST")+COUNTIF(ASCOPE_PMESII!$F$3:$F$62,"REST")))),""),IF(27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27-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27-(COUNTIF(ASCOPE_PMESII!$B$3:$B$62,"REST")+COUNTIF(ASCOPE_PMESII!$D$3:$D$62,"REST")+COUNTIF(ASCOPE_PMESII!$F$3:$F$62,"REST")+COUNTIF(ASCOPE_PMESII!$H$3:$H$62,"REST")+COUNTIF(ASCOPE_PMESII!$J$3:$J$62,"REST")))),"")))))),"")</f>
        <v/>
      </c>
      <c r="H30" s="21" t="str">
        <f t="array" ref="H30">IFERROR(IF(27&lt;=COUNTIF(ASCOPE_PMESII!$B$3:$B$62,"KCD-MUST"),IFERROR(INDEX(ASCOPE_PMESII!$C$3:$C$62,_xlfn.AGGREGATE(15,6,(ROW(ASCOPE_PMESII!$B$3:$B$62)-ROW(ASCOPE_PMESII!$B$3)+1)/(ASCOPE_PMESII!$B$3:$B$62="KCD-MUST"),27)),""),IF(27&lt;=(COUNTIF(ASCOPE_PMESII!$B$3:$B$62,"KCD-MUST")+COUNTIF(ASCOPE_PMESII!$D$3:$D$62,"KCD-MUST")),IFERROR(INDEX(ASCOPE_PMESII!$E$3:$E$62,_xlfn.AGGREGATE(15,6,(ROW(ASCOPE_PMESII!$D$3:$D$62)-ROW(ASCOPE_PMESII!$D$3)+1)/(ASCOPE_PMESII!$D$3:$D$62="KCD-MUST"),27-(COUNTIF(ASCOPE_PMESII!$B$3:$B$62,"KCD-MUST")))),""),IF(27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27-(COUNTIF(ASCOPE_PMESII!$B$3:$B$62,"KCD-MUST")+COUNTIF(ASCOPE_PMESII!$D$3:$D$62,"KCD-MUST")))),""),IF(27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27-(COUNTIF(ASCOPE_PMESII!$B$3:$B$62,"KCD-MUST")+COUNTIF(ASCOPE_PMESII!$D$3:$D$62,"KCD-MUST")+COUNTIF(ASCOPE_PMESII!$F$3:$F$62,"KCD-MUST")))),""),IF(27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27-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27-(COUNTIF(ASCOPE_PMESII!$B$3:$B$62,"KCD-MUST")+COUNTIF(ASCOPE_PMESII!$D$3:$D$62,"KCD-MUST")+COUNTIF(ASCOPE_PMESII!$F$3:$F$62,"KCD-MUST")+COUNTIF(ASCOPE_PMESII!$H$3:$H$62,"KCD-MUST")+COUNTIF(ASCOPE_PMESII!$J$3:$J$62,"KCD-MUST")))),"")))))),"")</f>
        <v>Separate IRS revenue from civilian survival</v>
      </c>
      <c r="I30" s="21" t="str">
        <f t="array" ref="I30">IFERROR(IF(27&lt;=COUNTIF(ASCOPE_PMESII!$B$3:$B$62,"KCD-SHOULD"),IFERROR(INDEX(ASCOPE_PMESII!$C$3:$C$62,_xlfn.AGGREGATE(15,6,(ROW(ASCOPE_PMESII!$B$3:$B$62)-ROW(ASCOPE_PMESII!$B$3)+1)/(ASCOPE_PMESII!$B$3:$B$62="KCD-SHOULD"),27)),""),IF(27&lt;=(COUNTIF(ASCOPE_PMESII!$B$3:$B$62,"KCD-SHOULD")+COUNTIF(ASCOPE_PMESII!$D$3:$D$62,"KCD-SHOULD")),IFERROR(INDEX(ASCOPE_PMESII!$E$3:$E$62,_xlfn.AGGREGATE(15,6,(ROW(ASCOPE_PMESII!$D$3:$D$62)-ROW(ASCOPE_PMESII!$D$3)+1)/(ASCOPE_PMESII!$D$3:$D$62="KCD-SHOULD"),27-(COUNTIF(ASCOPE_PMESII!$B$3:$B$62,"KCD-SHOULD")))),""),IF(27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27-(COUNTIF(ASCOPE_PMESII!$B$3:$B$62,"KCD-SHOULD")+COUNTIF(ASCOPE_PMESII!$D$3:$D$62,"KCD-SHOULD")))),""),IF(27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27-(COUNTIF(ASCOPE_PMESII!$B$3:$B$62,"KCD-SHOULD")+COUNTIF(ASCOPE_PMESII!$D$3:$D$62,"KCD-SHOULD")+COUNTIF(ASCOPE_PMESII!$F$3:$F$62,"KCD-SHOULD")))),""),IF(27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27-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27-(COUNTIF(ASCOPE_PMESII!$B$3:$B$62,"KCD-SHOULD")+COUNTIF(ASCOPE_PMESII!$D$3:$D$62,"KCD-SHOULD")+COUNTIF(ASCOPE_PMESII!$F$3:$F$62,"KCD-SHOULD")+COUNTIF(ASCOPE_PMESII!$H$3:$H$62,"KCD-SHOULD")+COUNTIF(ASCOPE_PMESII!$J$3:$J$62,"KCD-SHOULD")))),"")))))),"")</f>
        <v>Preserve energy workforce and technical management</v>
      </c>
      <c r="J30" s="21" t="str">
        <f t="array" ref="J30">IFERROR(IF(27&lt;=COUNTIF(ASCOPE_PMESII!$B$3:$B$62,"KCD-SHOULD NOT"),IFERROR(INDEX(ASCOPE_PMESII!$C$3:$C$62,_xlfn.AGGREGATE(15,6,(ROW(ASCOPE_PMESII!$B$3:$B$62)-ROW(ASCOPE_PMESII!$B$3)+1)/(ASCOPE_PMESII!$B$3:$B$62="KCD-SHOULD NOT"),27)),""),IF(27&lt;=(COUNTIF(ASCOPE_PMESII!$B$3:$B$62,"KCD-SHOULD NOT")+COUNTIF(ASCOPE_PMESII!$D$3:$D$62,"KCD-SHOULD NOT")),IFERROR(INDEX(ASCOPE_PMESII!$E$3:$E$62,_xlfn.AGGREGATE(15,6,(ROW(ASCOPE_PMESII!$D$3:$D$62)-ROW(ASCOPE_PMESII!$D$3)+1)/(ASCOPE_PMESII!$D$3:$D$62="KCD-SHOULD NOT"),27-(COUNTIF(ASCOPE_PMESII!$B$3:$B$62,"KCD-SHOULD NOT")))),""),IF(27&lt;=(COUNTIF(ASCOPE_PMESII!$B$3:$B$62,"KCD-SHOULD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NOT"),27-(COUNTIF(ASCOPE_PMESII!$B$3:$B$62,"KCD-SHOULD NOT")+COUNTIF(ASCOPE_PMESII!$D$3:$D$62,"KCD-SHOULD NOT")))),""),IF(27&lt;=(COUNTIF(ASCOPE_PMESII!$B$3:$B$62,"KCD-SHOULD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NOT"),27-(COUNTIF(ASCOPE_PMESII!$B$3:$B$62,"KCD-SHOULD NOT")+COUNTIF(ASCOPE_PMESII!$D$3:$D$62,"KCD-SHOULD NOT")+COUNTIF(ASCOPE_PMESII!$F$3:$F$62,"KCD-SHOULD NOT")))),""),IF(27&lt;=(COUNTIF(ASCOPE_PMESII!$B$3:$B$62,"KCD-SHOULD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NOT"),27-(COUNTIF(ASCOPE_PMESII!$B$3:$B$62,"KCD-SHOULD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NOT"),27-(COUNTIF(ASCOPE_PMESII!$B$3:$B$62,"KCD-SHOULD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30" s="21" t="str">
        <f t="array" ref="K30">IFERROR(IF(27&lt;=COUNTIF(ASCOPE_PMESII!$B$3:$B$62,"KCD-CANNOT"),IFERROR(INDEX(ASCOPE_PMESII!$C$3:$C$62,_xlfn.AGGREGATE(15,6,(ROW(ASCOPE_PMESII!$B$3:$B$62)-ROW(ASCOPE_PMESII!$B$3)+1)/(ASCOPE_PMESII!$B$3:$B$62="KCD-CANNOT"),27)),""),IF(27&lt;=(COUNTIF(ASCOPE_PMESII!$B$3:$B$62,"KCD-CANNOT")+COUNTIF(ASCOPE_PMESII!$D$3:$D$62,"KCD-CANNOT")),IFERROR(INDEX(ASCOPE_PMESII!$E$3:$E$62,_xlfn.AGGREGATE(15,6,(ROW(ASCOPE_PMESII!$D$3:$D$62)-ROW(ASCOPE_PMESII!$D$3)+1)/(ASCOPE_PMESII!$D$3:$D$62="KCD-CANNOT"),27-(COUNTIF(ASCOPE_PMESII!$B$3:$B$62,"KCD-CANNOT")))),""),IF(27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27-(COUNTIF(ASCOPE_PMESII!$B$3:$B$62,"KCD-CANNOT")+COUNTIF(ASCOPE_PMESII!$D$3:$D$62,"KCD-CANNOT")))),""),IF(27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27-(COUNTIF(ASCOPE_PMESII!$B$3:$B$62,"KCD-CANNOT")+COUNTIF(ASCOPE_PMESII!$D$3:$D$62,"KCD-CANNOT")+COUNTIF(ASCOPE_PMESII!$F$3:$F$62,"KCD-CANNOT")))),""),IF(27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27-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27-(COUNTIF(ASCOPE_PMESII!$B$3:$B$62,"KCD-CANNOT")+COUNTIF(ASCOPE_PMESII!$D$3:$D$62,"KCD-CANNOT")+COUNTIF(ASCOPE_PMESII!$F$3:$F$62,"KCD-CANNOT")+COUNTIF(ASCOPE_PMESII!$H$3:$H$62,"KCD-CANNOT")+COUNTIF(ASCOPE_PMESII!$J$3:$J$62,"KCD-CANNOT")))),"")))))),"")</f>
        <v>Cannot win population through economic strangulation</v>
      </c>
      <c r="L30" s="21" t="str">
        <f t="array" ref="L30">IFERROR(IF(27&lt;=COUNTIF(ASCOPE_PMESII!$B$3:$B$62,"DECISION"),IFERROR(INDEX(ASCOPE_PMESII!$C$3:$C$62,_xlfn.AGGREGATE(15,6,(ROW(ASCOPE_PMESII!$B$3:$B$62)-ROW(ASCOPE_PMESII!$B$3)+1)/(ASCOPE_PMESII!$B$3:$B$62="DECISION"),27)),""),IF(27&lt;=(COUNTIF(ASCOPE_PMESII!$B$3:$B$62,"DECISION")+COUNTIF(ASCOPE_PMESII!$D$3:$D$62,"DECISION")),IFERROR(INDEX(ASCOPE_PMESII!$E$3:$E$62,_xlfn.AGGREGATE(15,6,(ROW(ASCOPE_PMESII!$D$3:$D$62)-ROW(ASCOPE_PMESII!$D$3)+1)/(ASCOPE_PMESII!$D$3:$D$62="DECISION"),27-(COUNTIF(ASCOPE_PMESII!$B$3:$B$62,"DECISION")))),""),IF(27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27-(COUNTIF(ASCOPE_PMESII!$B$3:$B$62,"DECISION")+COUNTIF(ASCOPE_PMESII!$D$3:$D$62,"DECISION")))),""),IF(27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27-(COUNTIF(ASCOPE_PMESII!$B$3:$B$62,"DECISION")+COUNTIF(ASCOPE_PMESII!$D$3:$D$62,"DECISION")+COUNTIF(ASCOPE_PMESII!$F$3:$F$62,"DECISION")))),""),IF(27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27-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27-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30" s="21" t="str">
        <f t="array" ref="M30">IFERROR(IF(27&lt;=COUNTIF(ASCOPE_PMESII!$B$3:$B$62,"ASSUMPTION"),IFERROR(INDEX(ASCOPE_PMESII!$C$3:$C$62,_xlfn.AGGREGATE(15,6,(ROW(ASCOPE_PMESII!$B$3:$B$62)-ROW(ASCOPE_PMESII!$B$3)+1)/(ASCOPE_PMESII!$B$3:$B$62="ASSUMPTION"),27)),""),IF(27&lt;=(COUNTIF(ASCOPE_PMESII!$B$3:$B$62,"ASSUMPTION")+COUNTIF(ASCOPE_PMESII!$D$3:$D$62,"ASSUMPTION")),IFERROR(INDEX(ASCOPE_PMESII!$E$3:$E$62,_xlfn.AGGREGATE(15,6,(ROW(ASCOPE_PMESII!$D$3:$D$62)-ROW(ASCOPE_PMESII!$D$3)+1)/(ASCOPE_PMESII!$D$3:$D$62="ASSUMPTION"),27-(COUNTIF(ASCOPE_PMESII!$B$3:$B$62,"ASSUMPTION")))),""),IF(27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27-(COUNTIF(ASCOPE_PMESII!$B$3:$B$62,"ASSUMPTION")+COUNTIF(ASCOPE_PMESII!$D$3:$D$62,"ASSUMPTION")))),""),IF(27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27-(COUNTIF(ASCOPE_PMESII!$B$3:$B$62,"ASSUMPTION")+COUNTIF(ASCOPE_PMESII!$D$3:$D$62,"ASSUMPTION")+COUNTIF(ASCOPE_PMESII!$F$3:$F$62,"ASSUMPTION")))),""),IF(27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27-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27-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30" s="21" t="str">
        <f t="array" ref="N30">IFERROR(IF(27&lt;=COUNTIF(ASCOPE_PMESII!$B$3:$B$62,"CONSTRAINT"),IFERROR(INDEX(ASCOPE_PMESII!$C$3:$C$62,_xlfn.AGGREGATE(15,6,(ROW(ASCOPE_PMESII!$B$3:$B$62)-ROW(ASCOPE_PMESII!$B$3)+1)/(ASCOPE_PMESII!$B$3:$B$62="CONSTRAINT"),27)),""),IF(27&lt;=(COUNTIF(ASCOPE_PMESII!$B$3:$B$62,"CONSTRAINT")+COUNTIF(ASCOPE_PMESII!$D$3:$D$62,"CONSTRAINT")),IFERROR(INDEX(ASCOPE_PMESII!$E$3:$E$62,_xlfn.AGGREGATE(15,6,(ROW(ASCOPE_PMESII!$D$3:$D$62)-ROW(ASCOPE_PMESII!$D$3)+1)/(ASCOPE_PMESII!$D$3:$D$62="CONSTRAINT"),27-(COUNTIF(ASCOPE_PMESII!$B$3:$B$62,"CONSTRAINT")))),""),IF(27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27-(COUNTIF(ASCOPE_PMESII!$B$3:$B$62,"CONSTRAINT")+COUNTIF(ASCOPE_PMESII!$D$3:$D$62,"CONSTRAINT")))),""),IF(27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27-(COUNTIF(ASCOPE_PMESII!$B$3:$B$62,"CONSTRAINT")+COUNTIF(ASCOPE_PMESII!$D$3:$D$62,"CONSTRAINT")+COUNTIF(ASCOPE_PMESII!$F$3:$F$62,"CONSTRAINT")))),""),IF(27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27-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27-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30" s="21" t="str">
        <f t="array" ref="O30">IFERROR(IF(27&lt;=COUNTIF(ASCOPE_PMESII!$B$3:$B$62,"LIMITATION"),IFERROR(INDEX(ASCOPE_PMESII!$C$3:$C$62,_xlfn.AGGREGATE(15,6,(ROW(ASCOPE_PMESII!$B$3:$B$62)-ROW(ASCOPE_PMESII!$B$3)+1)/(ASCOPE_PMESII!$B$3:$B$62="LIMITATION"),27)),""),IF(27&lt;=(COUNTIF(ASCOPE_PMESII!$B$3:$B$62,"LIMITATION")+COUNTIF(ASCOPE_PMESII!$D$3:$D$62,"LIMITATION")),IFERROR(INDEX(ASCOPE_PMESII!$E$3:$E$62,_xlfn.AGGREGATE(15,6,(ROW(ASCOPE_PMESII!$D$3:$D$62)-ROW(ASCOPE_PMESII!$D$3)+1)/(ASCOPE_PMESII!$D$3:$D$62="LIMITATION"),27-(COUNTIF(ASCOPE_PMESII!$B$3:$B$62,"LIMITATION")))),""),IF(27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27-(COUNTIF(ASCOPE_PMESII!$B$3:$B$62,"LIMITATION")+COUNTIF(ASCOPE_PMESII!$D$3:$D$62,"LIMITATION")))),""),IF(27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27-(COUNTIF(ASCOPE_PMESII!$B$3:$B$62,"LIMITATION")+COUNTIF(ASCOPE_PMESII!$D$3:$D$62,"LIMITATION")+COUNTIF(ASCOPE_PMESII!$F$3:$F$62,"LIMITATION")))),""),IF(27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27-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27-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30" s="21" t="str">
        <f t="array" ref="P30">IFERROR(IF(27&lt;=COUNTIF(ASCOPE_PMESII!$B$3:$B$62,"CC"),IFERROR(INDEX(ASCOPE_PMESII!$C$3:$C$62,_xlfn.AGGREGATE(15,6,(ROW(ASCOPE_PMESII!$B$3:$B$62)-ROW(ASCOPE_PMESII!$B$3)+1)/(ASCOPE_PMESII!$B$3:$B$62="CC"),27)),""),IF(27&lt;=(COUNTIF(ASCOPE_PMESII!$B$3:$B$62,"CC")+COUNTIF(ASCOPE_PMESII!$D$3:$D$62,"CC")),IFERROR(INDEX(ASCOPE_PMESII!$E$3:$E$62,_xlfn.AGGREGATE(15,6,(ROW(ASCOPE_PMESII!$D$3:$D$62)-ROW(ASCOPE_PMESII!$D$3)+1)/(ASCOPE_PMESII!$D$3:$D$62="CC"),27-(COUNTIF(ASCOPE_PMESII!$B$3:$B$62,"CC")))),""),IF(27&lt;=(COUNTIF(ASCOPE_PMESII!$B$3:$B$62,"CC")+COUNTIF(ASCOPE_PMESII!$D$3:$D$62,"CC")+COUNTIF(ASCOPE_PMESII!$F$3:$F$62,"CC")),IFERROR(INDEX(ASCOPE_PMESII!$G$3:$G$62,_xlfn.AGGREGATE(15,6,(ROW(ASCOPE_PMESII!$F$3:$F$62)-ROW(ASCOPE_PMESII!$F$3)+1)/(ASCOPE_PMESII!$F$3:$F$62="CC"),27-(COUNTIF(ASCOPE_PMESII!$B$3:$B$62,"CC")+COUNTIF(ASCOPE_PMESII!$D$3:$D$62,"CC")))),""),IF(27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27-(COUNTIF(ASCOPE_PMESII!$B$3:$B$62,"CC")+COUNTIF(ASCOPE_PMESII!$D$3:$D$62,"CC")+COUNTIF(ASCOPE_PMESII!$F$3:$F$62,"CC")))),""),IF(27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27-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27-(COUNTIF(ASCOPE_PMESII!$B$3:$B$62,"CC")+COUNTIF(ASCOPE_PMESII!$D$3:$D$62,"CC")+COUNTIF(ASCOPE_PMESII!$F$3:$F$62,"CC")+COUNTIF(ASCOPE_PMESII!$H$3:$H$62,"CC")+COUNTIF(ASCOPE_PMESII!$J$3:$J$62,"CC")))),"")))))),"")</f>
        <v>Private companies hold key transactional data</v>
      </c>
      <c r="Q30" s="21" t="str">
        <f t="array" ref="Q30">IFERROR(IF(27&lt;=COUNTIF(ASCOPE_PMESII!$B$3:$B$62,"CR"),IFERROR(INDEX(ASCOPE_PMESII!$C$3:$C$62,_xlfn.AGGREGATE(15,6,(ROW(ASCOPE_PMESII!$B$3:$B$62)-ROW(ASCOPE_PMESII!$B$3)+1)/(ASCOPE_PMESII!$B$3:$B$62="CR"),27)),""),IF(27&lt;=(COUNTIF(ASCOPE_PMESII!$B$3:$B$62,"CR")+COUNTIF(ASCOPE_PMESII!$D$3:$D$62,"CR")),IFERROR(INDEX(ASCOPE_PMESII!$E$3:$E$62,_xlfn.AGGREGATE(15,6,(ROW(ASCOPE_PMESII!$D$3:$D$62)-ROW(ASCOPE_PMESII!$D$3)+1)/(ASCOPE_PMESII!$D$3:$D$62="CR"),27-(COUNTIF(ASCOPE_PMESII!$B$3:$B$62,"CR")))),""),IF(27&lt;=(COUNTIF(ASCOPE_PMESII!$B$3:$B$62,"CR")+COUNTIF(ASCOPE_PMESII!$D$3:$D$62,"CR")+COUNTIF(ASCOPE_PMESII!$F$3:$F$62,"CR")),IFERROR(INDEX(ASCOPE_PMESII!$G$3:$G$62,_xlfn.AGGREGATE(15,6,(ROW(ASCOPE_PMESII!$F$3:$F$62)-ROW(ASCOPE_PMESII!$F$3)+1)/(ASCOPE_PMESII!$F$3:$F$62="CR"),27-(COUNTIF(ASCOPE_PMESII!$B$3:$B$62,"CR")+COUNTIF(ASCOPE_PMESII!$D$3:$D$62,"CR")))),""),IF(27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27-(COUNTIF(ASCOPE_PMESII!$B$3:$B$62,"CR")+COUNTIF(ASCOPE_PMESII!$D$3:$D$62,"CR")+COUNTIF(ASCOPE_PMESII!$F$3:$F$62,"CR")))),""),IF(27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27-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27-(COUNTIF(ASCOPE_PMESII!$B$3:$B$62,"CR")+COUNTIF(ASCOPE_PMESII!$D$3:$D$62,"CR")+COUNTIF(ASCOPE_PMESII!$F$3:$F$62,"CR")+COUNTIF(ASCOPE_PMESII!$H$3:$H$62,"CR")+COUNTIF(ASCOPE_PMESII!$J$3:$J$62,"CR")))),"")))))),"")</f>
        <v>Civil-military economic cell required early</v>
      </c>
      <c r="R30" s="94" t="str">
        <f t="array" ref="R30">IFERROR(IF(27&lt;=COUNTIF(ASCOPE_PMESII!$B$3:$B$62,"PCS"),IFERROR(INDEX(ASCOPE_PMESII!$C$3:$C$62,_xlfn.AGGREGATE(15,6,(ROW(ASCOPE_PMESII!$B$3:$B$62)-ROW(ASCOPE_PMESII!$B$3)+1)/(ASCOPE_PMESII!$B$3:$B$62="PCS"),27)),""),IF(27&lt;=(COUNTIF(ASCOPE_PMESII!$B$3:$B$62,"PCS")+COUNTIF(ASCOPE_PMESII!$D$3:$D$62,"PCS")),IFERROR(INDEX(ASCOPE_PMESII!$E$3:$E$62,_xlfn.AGGREGATE(15,6,(ROW(ASCOPE_PMESII!$D$3:$D$62)-ROW(ASCOPE_PMESII!$D$3)+1)/(ASCOPE_PMESII!$D$3:$D$62="PCS"),27-(COUNTIF(ASCOPE_PMESII!$B$3:$B$62,"PCS")))),""),IF(27&lt;=(COUNTIF(ASCOPE_PMESII!$B$3:$B$62,"PCS")+COUNTIF(ASCOPE_PMESII!$D$3:$D$62,"PCS")+COUNTIF(ASCOPE_PMESII!$F$3:$F$62,"PCS")),IFERROR(INDEX(ASCOPE_PMESII!$G$3:$G$62,_xlfn.AGGREGATE(15,6,(ROW(ASCOPE_PMESII!$F$3:$F$62)-ROW(ASCOPE_PMESII!$F$3)+1)/(ASCOPE_PMESII!$F$3:$F$62="PCS"),27-(COUNTIF(ASCOPE_PMESII!$B$3:$B$62,"PCS")+COUNTIF(ASCOPE_PMESII!$D$3:$D$62,"PCS")))),""),IF(27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27-(COUNTIF(ASCOPE_PMESII!$B$3:$B$62,"PCS")+COUNTIF(ASCOPE_PMESII!$D$3:$D$62,"PCS")+COUNTIF(ASCOPE_PMESII!$F$3:$F$62,"PCS")))),""),IF(27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27-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27-(COUNTIF(ASCOPE_PMESII!$B$3:$B$62,"PCS")+COUNTIF(ASCOPE_PMESII!$D$3:$D$62,"PCS")+COUNTIF(ASCOPE_PMESII!$F$3:$F$62,"PCS")+COUNTIF(ASCOPE_PMESII!$H$3:$H$62,"PCS")+COUNTIF(ASCOPE_PMESII!$J$3:$J$62,"PCS")))),"")))))),"")</f>
        <v/>
      </c>
    </row>
    <row r="31" spans="1:18" ht="34.5" customHeight="1">
      <c r="A31" s="22" t="str">
        <f t="array" ref="A31">IFERROR(IF(28&lt;=COUNTIF(ASCOPE_PMESII!$B$3:$B$62,"OE"),IFERROR(INDEX(ASCOPE_PMESII!$C$3:$C$62,_xlfn.AGGREGATE(15,6,(ROW(ASCOPE_PMESII!$B$3:$B$62)-ROW(ASCOPE_PMESII!$B$3)+1)/(ASCOPE_PMESII!$B$3:$B$62="OE"),28)),""),IF(28&lt;=(COUNTIF(ASCOPE_PMESII!$B$3:$B$62,"OE")+COUNTIF(ASCOPE_PMESII!$D$3:$D$62,"OE")),IFERROR(INDEX(ASCOPE_PMESII!$E$3:$E$62,_xlfn.AGGREGATE(15,6,(ROW(ASCOPE_PMESII!$D$3:$D$62)-ROW(ASCOPE_PMESII!$D$3)+1)/(ASCOPE_PMESII!$D$3:$D$62="OE"),28-(COUNTIF(ASCOPE_PMESII!$B$3:$B$62,"OE")))),""),IF(28&lt;=(COUNTIF(ASCOPE_PMESII!$B$3:$B$62,"OE")+COUNTIF(ASCOPE_PMESII!$D$3:$D$62,"OE")+COUNTIF(ASCOPE_PMESII!$F$3:$F$62,"OE")),IFERROR(INDEX(ASCOPE_PMESII!$G$3:$G$62,_xlfn.AGGREGATE(15,6,(ROW(ASCOPE_PMESII!$F$3:$F$62)-ROW(ASCOPE_PMESII!$F$3)+1)/(ASCOPE_PMESII!$F$3:$F$62="OE"),28-(COUNTIF(ASCOPE_PMESII!$B$3:$B$62,"OE")+COUNTIF(ASCOPE_PMESII!$D$3:$D$62,"OE")))),""),IF(28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28-(COUNTIF(ASCOPE_PMESII!$B$3:$B$62,"OE")+COUNTIF(ASCOPE_PMESII!$D$3:$D$62,"OE")+COUNTIF(ASCOPE_PMESII!$F$3:$F$62,"OE")))),""),IF(28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28-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28-(COUNTIF(ASCOPE_PMESII!$B$3:$B$62,"OE")+COUNTIF(ASCOPE_PMESII!$D$3:$D$62,"OE")+COUNTIF(ASCOPE_PMESII!$F$3:$F$62,"OE")+COUNTIF(ASCOPE_PMESII!$H$3:$H$62,"OE")+COUNTIF(ASCOPE_PMESII!$J$3:$J$62,"OE")))),"")))))),"")</f>
        <v/>
      </c>
      <c r="B31" s="22" t="str">
        <f t="array" ref="B31">IFERROR(IF(28&lt;=COUNTIF(ASCOPE_PMESII!$B$3:$B$62,"OA"),IFERROR(INDEX(ASCOPE_PMESII!$C$3:$C$62,_xlfn.AGGREGATE(15,6,(ROW(ASCOPE_PMESII!$B$3:$B$62)-ROW(ASCOPE_PMESII!$B$3)+1)/(ASCOPE_PMESII!$B$3:$B$62="OA"),28)),""),IF(28&lt;=(COUNTIF(ASCOPE_PMESII!$B$3:$B$62,"OA")+COUNTIF(ASCOPE_PMESII!$D$3:$D$62,"OA")),IFERROR(INDEX(ASCOPE_PMESII!$E$3:$E$62,_xlfn.AGGREGATE(15,6,(ROW(ASCOPE_PMESII!$D$3:$D$62)-ROW(ASCOPE_PMESII!$D$3)+1)/(ASCOPE_PMESII!$D$3:$D$62="OA"),28-(COUNTIF(ASCOPE_PMESII!$B$3:$B$62,"OA")))),""),IF(28&lt;=(COUNTIF(ASCOPE_PMESII!$B$3:$B$62,"OA")+COUNTIF(ASCOPE_PMESII!$D$3:$D$62,"OA")+COUNTIF(ASCOPE_PMESII!$F$3:$F$62,"OA")),IFERROR(INDEX(ASCOPE_PMESII!$G$3:$G$62,_xlfn.AGGREGATE(15,6,(ROW(ASCOPE_PMESII!$F$3:$F$62)-ROW(ASCOPE_PMESII!$F$3)+1)/(ASCOPE_PMESII!$F$3:$F$62="OA"),28-(COUNTIF(ASCOPE_PMESII!$B$3:$B$62,"OA")+COUNTIF(ASCOPE_PMESII!$D$3:$D$62,"OA")))),""),IF(28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28-(COUNTIF(ASCOPE_PMESII!$B$3:$B$62,"OA")+COUNTIF(ASCOPE_PMESII!$D$3:$D$62,"OA")+COUNTIF(ASCOPE_PMESII!$F$3:$F$62,"OA")))),""),IF(28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28-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28-(COUNTIF(ASCOPE_PMESII!$B$3:$B$62,"OA")+COUNTIF(ASCOPE_PMESII!$D$3:$D$62,"OA")+COUNTIF(ASCOPE_PMESII!$F$3:$F$62,"OA")+COUNTIF(ASCOPE_PMESII!$H$3:$H$62,"OA")+COUNTIF(ASCOPE_PMESII!$J$3:$J$62,"OA")))),"")))))),"")</f>
        <v/>
      </c>
      <c r="C31" s="22" t="str">
        <f t="array" ref="C31">IFERROR(IF(28&lt;=COUNTIF(ASCOPE_PMESII!$B$3:$B$62,"RISK"),IFERROR(INDEX(ASCOPE_PMESII!$C$3:$C$62,_xlfn.AGGREGATE(15,6,(ROW(ASCOPE_PMESII!$B$3:$B$62)-ROW(ASCOPE_PMESII!$B$3)+1)/(ASCOPE_PMESII!$B$3:$B$62="RISK"),28)),""),IF(28&lt;=(COUNTIF(ASCOPE_PMESII!$B$3:$B$62,"RISK")+COUNTIF(ASCOPE_PMESII!$D$3:$D$62,"RISK")),IFERROR(INDEX(ASCOPE_PMESII!$E$3:$E$62,_xlfn.AGGREGATE(15,6,(ROW(ASCOPE_PMESII!$D$3:$D$62)-ROW(ASCOPE_PMESII!$D$3)+1)/(ASCOPE_PMESII!$D$3:$D$62="RISK"),28-(COUNTIF(ASCOPE_PMESII!$B$3:$B$62,"RISK")))),""),IF(28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28-(COUNTIF(ASCOPE_PMESII!$B$3:$B$62,"RISK")+COUNTIF(ASCOPE_PMESII!$D$3:$D$62,"RISK")))),""),IF(28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28-(COUNTIF(ASCOPE_PMESII!$B$3:$B$62,"RISK")+COUNTIF(ASCOPE_PMESII!$D$3:$D$62,"RISK")+COUNTIF(ASCOPE_PMESII!$F$3:$F$62,"RISK")))),""),IF(28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28-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28-(COUNTIF(ASCOPE_PMESII!$B$3:$B$62,"RISK")+COUNTIF(ASCOPE_PMESII!$D$3:$D$62,"RISK")+COUNTIF(ASCOPE_PMESII!$F$3:$F$62,"RISK")+COUNTIF(ASCOPE_PMESII!$H$3:$H$62,"RISK")+COUNTIF(ASCOPE_PMESII!$J$3:$J$62,"RISK")))),"")))))),"")</f>
        <v>Civilian casualties negate tactical success</v>
      </c>
      <c r="D31" s="22" t="str">
        <f t="array" ref="D31">IFERROR(IF(28&lt;=COUNTIF(ASCOPE_PMESII!$B$3:$B$62,"CV"),IFERROR(INDEX(ASCOPE_PMESII!$C$3:$C$62,_xlfn.AGGREGATE(15,6,(ROW(ASCOPE_PMESII!$B$3:$B$62)-ROW(ASCOPE_PMESII!$B$3)+1)/(ASCOPE_PMESII!$B$3:$B$62="CV"),28)),""),IF(28&lt;=(COUNTIF(ASCOPE_PMESII!$B$3:$B$62,"CV")+COUNTIF(ASCOPE_PMESII!$D$3:$D$62,"CV")),IFERROR(INDEX(ASCOPE_PMESII!$E$3:$E$62,_xlfn.AGGREGATE(15,6,(ROW(ASCOPE_PMESII!$D$3:$D$62)-ROW(ASCOPE_PMESII!$D$3)+1)/(ASCOPE_PMESII!$D$3:$D$62="CV"),28-(COUNTIF(ASCOPE_PMESII!$B$3:$B$62,"CV")))),""),IF(28&lt;=(COUNTIF(ASCOPE_PMESII!$B$3:$B$62,"CV")+COUNTIF(ASCOPE_PMESII!$D$3:$D$62,"CV")+COUNTIF(ASCOPE_PMESII!$F$3:$F$62,"CV")),IFERROR(INDEX(ASCOPE_PMESII!$G$3:$G$62,_xlfn.AGGREGATE(15,6,(ROW(ASCOPE_PMESII!$F$3:$F$62)-ROW(ASCOPE_PMESII!$F$3)+1)/(ASCOPE_PMESII!$F$3:$F$62="CV"),28-(COUNTIF(ASCOPE_PMESII!$B$3:$B$62,"CV")+COUNTIF(ASCOPE_PMESII!$D$3:$D$62,"CV")))),""),IF(28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28-(COUNTIF(ASCOPE_PMESII!$B$3:$B$62,"CV")+COUNTIF(ASCOPE_PMESII!$D$3:$D$62,"CV")+COUNTIF(ASCOPE_PMESII!$F$3:$F$62,"CV")))),""),IF(28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28-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28-(COUNTIF(ASCOPE_PMESII!$B$3:$B$62,"CV")+COUNTIF(ASCOPE_PMESII!$D$3:$D$62,"CV")+COUNTIF(ASCOPE_PMESII!$F$3:$F$62,"CV")+COUNTIF(ASCOPE_PMESII!$H$3:$H$62,"CV")+COUNTIF(ASCOPE_PMESII!$J$3:$J$62,"CV")))),"")))))),"")</f>
        <v>Infrastructure repair reduced after government flight</v>
      </c>
      <c r="E31" s="22" t="str">
        <f t="array" ref="E31">IFERROR(IF(28&lt;=COUNTIF(ASCOPE_PMESII!$B$3:$B$62,"COR"),IFERROR(INDEX(ASCOPE_PMESII!$C$3:$C$62,_xlfn.AGGREGATE(15,6,(ROW(ASCOPE_PMESII!$B$3:$B$62)-ROW(ASCOPE_PMESII!$B$3)+1)/(ASCOPE_PMESII!$B$3:$B$62="COR"),28)),""),IF(28&lt;=(COUNTIF(ASCOPE_PMESII!$B$3:$B$62,"COR")+COUNTIF(ASCOPE_PMESII!$D$3:$D$62,"COR")),IFERROR(INDEX(ASCOPE_PMESII!$E$3:$E$62,_xlfn.AGGREGATE(15,6,(ROW(ASCOPE_PMESII!$D$3:$D$62)-ROW(ASCOPE_PMESII!$D$3)+1)/(ASCOPE_PMESII!$D$3:$D$62="COR"),28-(COUNTIF(ASCOPE_PMESII!$B$3:$B$62,"COR")))),""),IF(28&lt;=(COUNTIF(ASCOPE_PMESII!$B$3:$B$62,"COR")+COUNTIF(ASCOPE_PMESII!$D$3:$D$62,"COR")+COUNTIF(ASCOPE_PMESII!$F$3:$F$62,"COR")),IFERROR(INDEX(ASCOPE_PMESII!$G$3:$G$62,_xlfn.AGGREGATE(15,6,(ROW(ASCOPE_PMESII!$F$3:$F$62)-ROW(ASCOPE_PMESII!$F$3)+1)/(ASCOPE_PMESII!$F$3:$F$62="COR"),28-(COUNTIF(ASCOPE_PMESII!$B$3:$B$62,"COR")+COUNTIF(ASCOPE_PMESII!$D$3:$D$62,"COR")))),""),IF(28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28-(COUNTIF(ASCOPE_PMESII!$B$3:$B$62,"COR")+COUNTIF(ASCOPE_PMESII!$D$3:$D$62,"COR")+COUNTIF(ASCOPE_PMESII!$F$3:$F$62,"COR")))),""),IF(28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28-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28-(COUNTIF(ASCOPE_PMESII!$B$3:$B$62,"COR")+COUNTIF(ASCOPE_PMESII!$D$3:$D$62,"COR")+COUNTIF(ASCOPE_PMESII!$F$3:$F$62,"COR")+COUNTIF(ASCOPE_PMESII!$H$3:$H$62,"COR")+COUNTIF(ASCOPE_PMESII!$J$3:$J$62,"COR")))),"")))))),"")</f>
        <v>Use amnesty, family and livelihood messaging</v>
      </c>
      <c r="F31" s="22" t="str">
        <f t="array" ref="F31">IFERROR(IF(28&lt;=COUNTIF(ASCOPE_PMESII!$B$3:$B$62,"REQT"),IFERROR(INDEX(ASCOPE_PMESII!$C$3:$C$62,_xlfn.AGGREGATE(15,6,(ROW(ASCOPE_PMESII!$B$3:$B$62)-ROW(ASCOPE_PMESII!$B$3)+1)/(ASCOPE_PMESII!$B$3:$B$62="REQT"),28)),""),IF(28&lt;=(COUNTIF(ASCOPE_PMESII!$B$3:$B$62,"REQT")+COUNTIF(ASCOPE_PMESII!$D$3:$D$62,"REQT")),IFERROR(INDEX(ASCOPE_PMESII!$E$3:$E$62,_xlfn.AGGREGATE(15,6,(ROW(ASCOPE_PMESII!$D$3:$D$62)-ROW(ASCOPE_PMESII!$D$3)+1)/(ASCOPE_PMESII!$D$3:$D$62="REQT"),28-(COUNTIF(ASCOPE_PMESII!$B$3:$B$62,"REQT")))),""),IF(28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28-(COUNTIF(ASCOPE_PMESII!$B$3:$B$62,"REQT")+COUNTIF(ASCOPE_PMESII!$D$3:$D$62,"REQT")))),""),IF(28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28-(COUNTIF(ASCOPE_PMESII!$B$3:$B$62,"REQT")+COUNTIF(ASCOPE_PMESII!$D$3:$D$62,"REQT")+COUNTIF(ASCOPE_PMESII!$F$3:$F$62,"REQT")))),""),IF(28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28-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28-(COUNTIF(ASCOPE_PMESII!$B$3:$B$62,"REQT")+COUNTIF(ASCOPE_PMESII!$D$3:$D$62,"REQT")+COUNTIF(ASCOPE_PMESII!$F$3:$F$62,"REQT")+COUNTIF(ASCOPE_PMESII!$H$3:$H$62,"REQT")+COUNTIF(ASCOPE_PMESII!$J$3:$J$62,"REQT")))),"")))))),"")</f>
        <v/>
      </c>
      <c r="G31" s="22" t="str">
        <f t="array" ref="G31">IFERROR(IF(28&lt;=COUNTIF(ASCOPE_PMESII!$B$3:$B$62,"REST"),IFERROR(INDEX(ASCOPE_PMESII!$C$3:$C$62,_xlfn.AGGREGATE(15,6,(ROW(ASCOPE_PMESII!$B$3:$B$62)-ROW(ASCOPE_PMESII!$B$3)+1)/(ASCOPE_PMESII!$B$3:$B$62="REST"),28)),""),IF(28&lt;=(COUNTIF(ASCOPE_PMESII!$B$3:$B$62,"REST")+COUNTIF(ASCOPE_PMESII!$D$3:$D$62,"REST")),IFERROR(INDEX(ASCOPE_PMESII!$E$3:$E$62,_xlfn.AGGREGATE(15,6,(ROW(ASCOPE_PMESII!$D$3:$D$62)-ROW(ASCOPE_PMESII!$D$3)+1)/(ASCOPE_PMESII!$D$3:$D$62="REST"),28-(COUNTIF(ASCOPE_PMESII!$B$3:$B$62,"REST")))),""),IF(28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28-(COUNTIF(ASCOPE_PMESII!$B$3:$B$62,"REST")+COUNTIF(ASCOPE_PMESII!$D$3:$D$62,"REST")))),""),IF(28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28-(COUNTIF(ASCOPE_PMESII!$B$3:$B$62,"REST")+COUNTIF(ASCOPE_PMESII!$D$3:$D$62,"REST")+COUNTIF(ASCOPE_PMESII!$F$3:$F$62,"REST")))),""),IF(28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28-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28-(COUNTIF(ASCOPE_PMESII!$B$3:$B$62,"REST")+COUNTIF(ASCOPE_PMESII!$D$3:$D$62,"REST")+COUNTIF(ASCOPE_PMESII!$F$3:$F$62,"REST")+COUNTIF(ASCOPE_PMESII!$H$3:$H$62,"REST")+COUNTIF(ASCOPE_PMESII!$J$3:$J$62,"REST")))),"")))))),"")</f>
        <v/>
      </c>
      <c r="H31" s="22" t="str">
        <f t="array" ref="H31">IFERROR(IF(28&lt;=COUNTIF(ASCOPE_PMESII!$B$3:$B$62,"KCD-MUST"),IFERROR(INDEX(ASCOPE_PMESII!$C$3:$C$62,_xlfn.AGGREGATE(15,6,(ROW(ASCOPE_PMESII!$B$3:$B$62)-ROW(ASCOPE_PMESII!$B$3)+1)/(ASCOPE_PMESII!$B$3:$B$62="KCD-MUST"),28)),""),IF(28&lt;=(COUNTIF(ASCOPE_PMESII!$B$3:$B$62,"KCD-MUST")+COUNTIF(ASCOPE_PMESII!$D$3:$D$62,"KCD-MUST")),IFERROR(INDEX(ASCOPE_PMESII!$E$3:$E$62,_xlfn.AGGREGATE(15,6,(ROW(ASCOPE_PMESII!$D$3:$D$62)-ROW(ASCOPE_PMESII!$D$3)+1)/(ASCOPE_PMESII!$D$3:$D$62="KCD-MUST"),28-(COUNTIF(ASCOPE_PMESII!$B$3:$B$62,"KCD-MUST")))),""),IF(28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28-(COUNTIF(ASCOPE_PMESII!$B$3:$B$62,"KCD-MUST")+COUNTIF(ASCOPE_PMESII!$D$3:$D$62,"KCD-MUST")))),""),IF(28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28-(COUNTIF(ASCOPE_PMESII!$B$3:$B$62,"KCD-MUST")+COUNTIF(ASCOPE_PMESII!$D$3:$D$62,"KCD-MUST")+COUNTIF(ASCOPE_PMESII!$F$3:$F$62,"KCD-MUST")))),""),IF(28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28-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28-(COUNTIF(ASCOPE_PMESII!$B$3:$B$62,"KCD-MUST")+COUNTIF(ASCOPE_PMESII!$D$3:$D$62,"KCD-MUST")+COUNTIF(ASCOPE_PMESII!$F$3:$F$62,"KCD-MUST")+COUNTIF(ASCOPE_PMESII!$H$3:$H$62,"KCD-MUST")+COUNTIF(ASCOPE_PMESII!$J$3:$J$62,"KCD-MUST")))),"")))))),"")</f>
        <v>Make protection visible and measurable</v>
      </c>
      <c r="I31" s="22" t="str">
        <f t="array" ref="I31">IFERROR(IF(28&lt;=COUNTIF(ASCOPE_PMESII!$B$3:$B$62,"KCD-SHOULD"),IFERROR(INDEX(ASCOPE_PMESII!$C$3:$C$62,_xlfn.AGGREGATE(15,6,(ROW(ASCOPE_PMESII!$B$3:$B$62)-ROW(ASCOPE_PMESII!$B$3)+1)/(ASCOPE_PMESII!$B$3:$B$62="KCD-SHOULD"),28)),""),IF(28&lt;=(COUNTIF(ASCOPE_PMESII!$B$3:$B$62,"KCD-SHOULD")+COUNTIF(ASCOPE_PMESII!$D$3:$D$62,"KCD-SHOULD")),IFERROR(INDEX(ASCOPE_PMESII!$E$3:$E$62,_xlfn.AGGREGATE(15,6,(ROW(ASCOPE_PMESII!$D$3:$D$62)-ROW(ASCOPE_PMESII!$D$3)+1)/(ASCOPE_PMESII!$D$3:$D$62="KCD-SHOULD"),28-(COUNTIF(ASCOPE_PMESII!$B$3:$B$62,"KCD-SHOULD")))),""),IF(28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28-(COUNTIF(ASCOPE_PMESII!$B$3:$B$62,"KCD-SHOULD")+COUNTIF(ASCOPE_PMESII!$D$3:$D$62,"KCD-SHOULD")))),""),IF(28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28-(COUNTIF(ASCOPE_PMESII!$B$3:$B$62,"KCD-SHOULD")+COUNTIF(ASCOPE_PMESII!$D$3:$D$62,"KCD-SHOULD")+COUNTIF(ASCOPE_PMESII!$F$3:$F$62,"KCD-SHOULD")))),""),IF(28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28-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28-(COUNTIF(ASCOPE_PMESII!$B$3:$B$62,"KCD-SHOULD")+COUNTIF(ASCOPE_PMESII!$D$3:$D$62,"KCD-SHOULD")+COUNTIF(ASCOPE_PMESII!$F$3:$F$62,"KCD-SHOULD")+COUNTIF(ASCOPE_PMESII!$H$3:$H$62,"KCD-SHOULD")+COUNTIF(ASCOPE_PMESII!$J$3:$J$62,"KCD-SHOULD")))),"")))))),"")</f>
        <v>Publish restraint and evidence quickly</v>
      </c>
      <c r="J31" s="22" t="str">
        <f t="array" ref="J31">IFERROR(IF(28&lt;=COUNTIF(ASCOPE_PMESII!$B$3:$B$62,"KCD-SHOULD NOT"),IFERROR(INDEX(ASCOPE_PMESII!$C$3:$C$62,_xlfn.AGGREGATE(15,6,(ROW(ASCOPE_PMESII!$B$3:$B$62)-ROW(ASCOPE_PMESII!$B$3)+1)/(ASCOPE_PMESII!$B$3:$B$62="KCD-SHOULD NOT"),28)),""),IF(28&lt;=(COUNTIF(ASCOPE_PMESII!$B$3:$B$62,"KCD-SHOULD NOT")+COUNTIF(ASCOPE_PMESII!$D$3:$D$62,"KCD-SHOULD NOT")),IFERROR(INDEX(ASCOPE_PMESII!$E$3:$E$62,_xlfn.AGGREGATE(15,6,(ROW(ASCOPE_PMESII!$D$3:$D$62)-ROW(ASCOPE_PMESII!$D$3)+1)/(ASCOPE_PMESII!$D$3:$D$62="KCD-SHOULD NOT"),28-(COUNTIF(ASCOPE_PMESII!$B$3:$B$62,"KCD-SHOULD NOT")))),""),IF(28&lt;=(COUNTIF(ASCOPE_PMESII!$B$3:$B$62,"KCD-SHOULD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NOT"),28-(COUNTIF(ASCOPE_PMESII!$B$3:$B$62,"KCD-SHOULD NOT")+COUNTIF(ASCOPE_PMESII!$D$3:$D$62,"KCD-SHOULD NOT")))),""),IF(28&lt;=(COUNTIF(ASCOPE_PMESII!$B$3:$B$62,"KCD-SHOULD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NOT"),28-(COUNTIF(ASCOPE_PMESII!$B$3:$B$62,"KCD-SHOULD NOT")+COUNTIF(ASCOPE_PMESII!$D$3:$D$62,"KCD-SHOULD NOT")+COUNTIF(ASCOPE_PMESII!$F$3:$F$62,"KCD-SHOULD NOT")))),""),IF(28&lt;=(COUNTIF(ASCOPE_PMESII!$B$3:$B$62,"KCD-SHOULD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NOT"),28-(COUNTIF(ASCOPE_PMESII!$B$3:$B$62,"KCD-SHOULD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NOT"),28-(COUNTIF(ASCOPE_PMESII!$B$3:$B$62,"KCD-SHOULD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31" s="22" t="str">
        <f t="array" ref="K31">IFERROR(IF(28&lt;=COUNTIF(ASCOPE_PMESII!$B$3:$B$62,"KCD-CANNOT"),IFERROR(INDEX(ASCOPE_PMESII!$C$3:$C$62,_xlfn.AGGREGATE(15,6,(ROW(ASCOPE_PMESII!$B$3:$B$62)-ROW(ASCOPE_PMESII!$B$3)+1)/(ASCOPE_PMESII!$B$3:$B$62="KCD-CANNOT"),28)),""),IF(28&lt;=(COUNTIF(ASCOPE_PMESII!$B$3:$B$62,"KCD-CANNOT")+COUNTIF(ASCOPE_PMESII!$D$3:$D$62,"KCD-CANNOT")),IFERROR(INDEX(ASCOPE_PMESII!$E$3:$E$62,_xlfn.AGGREGATE(15,6,(ROW(ASCOPE_PMESII!$D$3:$D$62)-ROW(ASCOPE_PMESII!$D$3)+1)/(ASCOPE_PMESII!$D$3:$D$62="KCD-CANNOT"),28-(COUNTIF(ASCOPE_PMESII!$B$3:$B$62,"KCD-CANNOT")))),""),IF(28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28-(COUNTIF(ASCOPE_PMESII!$B$3:$B$62,"KCD-CANNOT")+COUNTIF(ASCOPE_PMESII!$D$3:$D$62,"KCD-CANNOT")))),""),IF(28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28-(COUNTIF(ASCOPE_PMESII!$B$3:$B$62,"KCD-CANNOT")+COUNTIF(ASCOPE_PMESII!$D$3:$D$62,"KCD-CANNOT")+COUNTIF(ASCOPE_PMESII!$F$3:$F$62,"KCD-CANNOT")))),""),IF(28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28-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28-(COUNTIF(ASCOPE_PMESII!$B$3:$B$62,"KCD-CANNOT")+COUNTIF(ASCOPE_PMESII!$D$3:$D$62,"KCD-CANNOT")+COUNTIF(ASCOPE_PMESII!$F$3:$F$62,"KCD-CANNOT")+COUNTIF(ASCOPE_PMESII!$H$3:$H$62,"KCD-CANNOT")+COUNTIF(ASCOPE_PMESII!$J$3:$J$62,"KCD-CANNOT")))),"")))))),"")</f>
        <v>Cannot rely on kinetic success for consent</v>
      </c>
      <c r="L31" s="22" t="str">
        <f t="array" ref="L31">IFERROR(IF(28&lt;=COUNTIF(ASCOPE_PMESII!$B$3:$B$62,"DECISION"),IFERROR(INDEX(ASCOPE_PMESII!$C$3:$C$62,_xlfn.AGGREGATE(15,6,(ROW(ASCOPE_PMESII!$B$3:$B$62)-ROW(ASCOPE_PMESII!$B$3)+1)/(ASCOPE_PMESII!$B$3:$B$62="DECISION"),28)),""),IF(28&lt;=(COUNTIF(ASCOPE_PMESII!$B$3:$B$62,"DECISION")+COUNTIF(ASCOPE_PMESII!$D$3:$D$62,"DECISION")),IFERROR(INDEX(ASCOPE_PMESII!$E$3:$E$62,_xlfn.AGGREGATE(15,6,(ROW(ASCOPE_PMESII!$D$3:$D$62)-ROW(ASCOPE_PMESII!$D$3)+1)/(ASCOPE_PMESII!$D$3:$D$62="DECISION"),28-(COUNTIF(ASCOPE_PMESII!$B$3:$B$62,"DECISION")))),""),IF(28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28-(COUNTIF(ASCOPE_PMESII!$B$3:$B$62,"DECISION")+COUNTIF(ASCOPE_PMESII!$D$3:$D$62,"DECISION")))),""),IF(28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28-(COUNTIF(ASCOPE_PMESII!$B$3:$B$62,"DECISION")+COUNTIF(ASCOPE_PMESII!$D$3:$D$62,"DECISION")+COUNTIF(ASCOPE_PMESII!$F$3:$F$62,"DECISION")))),""),IF(28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28-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28-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31" s="22" t="str">
        <f t="array" ref="M31">IFERROR(IF(28&lt;=COUNTIF(ASCOPE_PMESII!$B$3:$B$62,"ASSUMPTION"),IFERROR(INDEX(ASCOPE_PMESII!$C$3:$C$62,_xlfn.AGGREGATE(15,6,(ROW(ASCOPE_PMESII!$B$3:$B$62)-ROW(ASCOPE_PMESII!$B$3)+1)/(ASCOPE_PMESII!$B$3:$B$62="ASSUMPTION"),28)),""),IF(28&lt;=(COUNTIF(ASCOPE_PMESII!$B$3:$B$62,"ASSUMPTION")+COUNTIF(ASCOPE_PMESII!$D$3:$D$62,"ASSUMPTION")),IFERROR(INDEX(ASCOPE_PMESII!$E$3:$E$62,_xlfn.AGGREGATE(15,6,(ROW(ASCOPE_PMESII!$D$3:$D$62)-ROW(ASCOPE_PMESII!$D$3)+1)/(ASCOPE_PMESII!$D$3:$D$62="ASSUMPTION"),28-(COUNTIF(ASCOPE_PMESII!$B$3:$B$62,"ASSUMPTION")))),""),IF(28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28-(COUNTIF(ASCOPE_PMESII!$B$3:$B$62,"ASSUMPTION")+COUNTIF(ASCOPE_PMESII!$D$3:$D$62,"ASSUMPTION")))),""),IF(28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28-(COUNTIF(ASCOPE_PMESII!$B$3:$B$62,"ASSUMPTION")+COUNTIF(ASCOPE_PMESII!$D$3:$D$62,"ASSUMPTION")+COUNTIF(ASCOPE_PMESII!$F$3:$F$62,"ASSUMPTION")))),""),IF(28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28-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28-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31" s="22" t="str">
        <f t="array" ref="N31">IFERROR(IF(28&lt;=COUNTIF(ASCOPE_PMESII!$B$3:$B$62,"CONSTRAINT"),IFERROR(INDEX(ASCOPE_PMESII!$C$3:$C$62,_xlfn.AGGREGATE(15,6,(ROW(ASCOPE_PMESII!$B$3:$B$62)-ROW(ASCOPE_PMESII!$B$3)+1)/(ASCOPE_PMESII!$B$3:$B$62="CONSTRAINT"),28)),""),IF(28&lt;=(COUNTIF(ASCOPE_PMESII!$B$3:$B$62,"CONSTRAINT")+COUNTIF(ASCOPE_PMESII!$D$3:$D$62,"CONSTRAINT")),IFERROR(INDEX(ASCOPE_PMESII!$E$3:$E$62,_xlfn.AGGREGATE(15,6,(ROW(ASCOPE_PMESII!$D$3:$D$62)-ROW(ASCOPE_PMESII!$D$3)+1)/(ASCOPE_PMESII!$D$3:$D$62="CONSTRAINT"),28-(COUNTIF(ASCOPE_PMESII!$B$3:$B$62,"CONSTRAINT")))),""),IF(28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28-(COUNTIF(ASCOPE_PMESII!$B$3:$B$62,"CONSTRAINT")+COUNTIF(ASCOPE_PMESII!$D$3:$D$62,"CONSTRAINT")))),""),IF(28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28-(COUNTIF(ASCOPE_PMESII!$B$3:$B$62,"CONSTRAINT")+COUNTIF(ASCOPE_PMESII!$D$3:$D$62,"CONSTRAINT")+COUNTIF(ASCOPE_PMESII!$F$3:$F$62,"CONSTRAINT")))),""),IF(28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28-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28-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31" s="22" t="str">
        <f t="array" ref="O31">IFERROR(IF(28&lt;=COUNTIF(ASCOPE_PMESII!$B$3:$B$62,"LIMITATION"),IFERROR(INDEX(ASCOPE_PMESII!$C$3:$C$62,_xlfn.AGGREGATE(15,6,(ROW(ASCOPE_PMESII!$B$3:$B$62)-ROW(ASCOPE_PMESII!$B$3)+1)/(ASCOPE_PMESII!$B$3:$B$62="LIMITATION"),28)),""),IF(28&lt;=(COUNTIF(ASCOPE_PMESII!$B$3:$B$62,"LIMITATION")+COUNTIF(ASCOPE_PMESII!$D$3:$D$62,"LIMITATION")),IFERROR(INDEX(ASCOPE_PMESII!$E$3:$E$62,_xlfn.AGGREGATE(15,6,(ROW(ASCOPE_PMESII!$D$3:$D$62)-ROW(ASCOPE_PMESII!$D$3)+1)/(ASCOPE_PMESII!$D$3:$D$62="LIMITATION"),28-(COUNTIF(ASCOPE_PMESII!$B$3:$B$62,"LIMITATION")))),""),IF(28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28-(COUNTIF(ASCOPE_PMESII!$B$3:$B$62,"LIMITATION")+COUNTIF(ASCOPE_PMESII!$D$3:$D$62,"LIMITATION")))),""),IF(28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28-(COUNTIF(ASCOPE_PMESII!$B$3:$B$62,"LIMITATION")+COUNTIF(ASCOPE_PMESII!$D$3:$D$62,"LIMITATION")+COUNTIF(ASCOPE_PMESII!$F$3:$F$62,"LIMITATION")))),""),IF(28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28-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28-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31" s="22" t="str">
        <f t="array" ref="P31">IFERROR(IF(28&lt;=COUNTIF(ASCOPE_PMESII!$B$3:$B$62,"CC"),IFERROR(INDEX(ASCOPE_PMESII!$C$3:$C$62,_xlfn.AGGREGATE(15,6,(ROW(ASCOPE_PMESII!$B$3:$B$62)-ROW(ASCOPE_PMESII!$B$3)+1)/(ASCOPE_PMESII!$B$3:$B$62="CC"),28)),""),IF(28&lt;=(COUNTIF(ASCOPE_PMESII!$B$3:$B$62,"CC")+COUNTIF(ASCOPE_PMESII!$D$3:$D$62,"CC")),IFERROR(INDEX(ASCOPE_PMESII!$E$3:$E$62,_xlfn.AGGREGATE(15,6,(ROW(ASCOPE_PMESII!$D$3:$D$62)-ROW(ASCOPE_PMESII!$D$3)+1)/(ASCOPE_PMESII!$D$3:$D$62="CC"),28-(COUNTIF(ASCOPE_PMESII!$B$3:$B$62,"CC")))),""),IF(28&lt;=(COUNTIF(ASCOPE_PMESII!$B$3:$B$62,"CC")+COUNTIF(ASCOPE_PMESII!$D$3:$D$62,"CC")+COUNTIF(ASCOPE_PMESII!$F$3:$F$62,"CC")),IFERROR(INDEX(ASCOPE_PMESII!$G$3:$G$62,_xlfn.AGGREGATE(15,6,(ROW(ASCOPE_PMESII!$F$3:$F$62)-ROW(ASCOPE_PMESII!$F$3)+1)/(ASCOPE_PMESII!$F$3:$F$62="CC"),28-(COUNTIF(ASCOPE_PMESII!$B$3:$B$62,"CC")+COUNTIF(ASCOPE_PMESII!$D$3:$D$62,"CC")))),""),IF(28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28-(COUNTIF(ASCOPE_PMESII!$B$3:$B$62,"CC")+COUNTIF(ASCOPE_PMESII!$D$3:$D$62,"CC")+COUNTIF(ASCOPE_PMESII!$F$3:$F$62,"CC")))),""),IF(28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28-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28-(COUNTIF(ASCOPE_PMESII!$B$3:$B$62,"CC")+COUNTIF(ASCOPE_PMESII!$D$3:$D$62,"CC")+COUNTIF(ASCOPE_PMESII!$F$3:$F$62,"CC")+COUNTIF(ASCOPE_PMESII!$H$3:$H$62,"CC")+COUNTIF(ASCOPE_PMESII!$J$3:$J$62,"CC")))),"")))))),"")</f>
        <v>Religious and community leaders influence compliance</v>
      </c>
      <c r="Q31" s="22" t="str">
        <f t="array" ref="Q31">IFERROR(IF(28&lt;=COUNTIF(ASCOPE_PMESII!$B$3:$B$62,"CR"),IFERROR(INDEX(ASCOPE_PMESII!$C$3:$C$62,_xlfn.AGGREGATE(15,6,(ROW(ASCOPE_PMESII!$B$3:$B$62)-ROW(ASCOPE_PMESII!$B$3)+1)/(ASCOPE_PMESII!$B$3:$B$62="CR"),28)),""),IF(28&lt;=(COUNTIF(ASCOPE_PMESII!$B$3:$B$62,"CR")+COUNTIF(ASCOPE_PMESII!$D$3:$D$62,"CR")),IFERROR(INDEX(ASCOPE_PMESII!$E$3:$E$62,_xlfn.AGGREGATE(15,6,(ROW(ASCOPE_PMESII!$D$3:$D$62)-ROW(ASCOPE_PMESII!$D$3)+1)/(ASCOPE_PMESII!$D$3:$D$62="CR"),28-(COUNTIF(ASCOPE_PMESII!$B$3:$B$62,"CR")))),""),IF(28&lt;=(COUNTIF(ASCOPE_PMESII!$B$3:$B$62,"CR")+COUNTIF(ASCOPE_PMESII!$D$3:$D$62,"CR")+COUNTIF(ASCOPE_PMESII!$F$3:$F$62,"CR")),IFERROR(INDEX(ASCOPE_PMESII!$G$3:$G$62,_xlfn.AGGREGATE(15,6,(ROW(ASCOPE_PMESII!$F$3:$F$62)-ROW(ASCOPE_PMESII!$F$3)+1)/(ASCOPE_PMESII!$F$3:$F$62="CR"),28-(COUNTIF(ASCOPE_PMESII!$B$3:$B$62,"CR")+COUNTIF(ASCOPE_PMESII!$D$3:$D$62,"CR")))),""),IF(28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28-(COUNTIF(ASCOPE_PMESII!$B$3:$B$62,"CR")+COUNTIF(ASCOPE_PMESII!$D$3:$D$62,"CR")+COUNTIF(ASCOPE_PMESII!$F$3:$F$62,"CR")))),""),IF(28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28-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28-(COUNTIF(ASCOPE_PMESII!$B$3:$B$62,"CR")+COUNTIF(ASCOPE_PMESII!$D$3:$D$62,"CR")+COUNTIF(ASCOPE_PMESII!$F$3:$F$62,"CR")+COUNTIF(ASCOPE_PMESII!$H$3:$H$62,"CR")+COUNTIF(ASCOPE_PMESII!$J$3:$J$62,"CR")))),"")))))),"")</f>
        <v>HUMINT and civil affairs networks required</v>
      </c>
      <c r="R31" s="95" t="str">
        <f t="array" ref="R31">IFERROR(IF(28&lt;=COUNTIF(ASCOPE_PMESII!$B$3:$B$62,"PCS"),IFERROR(INDEX(ASCOPE_PMESII!$C$3:$C$62,_xlfn.AGGREGATE(15,6,(ROW(ASCOPE_PMESII!$B$3:$B$62)-ROW(ASCOPE_PMESII!$B$3)+1)/(ASCOPE_PMESII!$B$3:$B$62="PCS"),28)),""),IF(28&lt;=(COUNTIF(ASCOPE_PMESII!$B$3:$B$62,"PCS")+COUNTIF(ASCOPE_PMESII!$D$3:$D$62,"PCS")),IFERROR(INDEX(ASCOPE_PMESII!$E$3:$E$62,_xlfn.AGGREGATE(15,6,(ROW(ASCOPE_PMESII!$D$3:$D$62)-ROW(ASCOPE_PMESII!$D$3)+1)/(ASCOPE_PMESII!$D$3:$D$62="PCS"),28-(COUNTIF(ASCOPE_PMESII!$B$3:$B$62,"PCS")))),""),IF(28&lt;=(COUNTIF(ASCOPE_PMESII!$B$3:$B$62,"PCS")+COUNTIF(ASCOPE_PMESII!$D$3:$D$62,"PCS")+COUNTIF(ASCOPE_PMESII!$F$3:$F$62,"PCS")),IFERROR(INDEX(ASCOPE_PMESII!$G$3:$G$62,_xlfn.AGGREGATE(15,6,(ROW(ASCOPE_PMESII!$F$3:$F$62)-ROW(ASCOPE_PMESII!$F$3)+1)/(ASCOPE_PMESII!$F$3:$F$62="PCS"),28-(COUNTIF(ASCOPE_PMESII!$B$3:$B$62,"PCS")+COUNTIF(ASCOPE_PMESII!$D$3:$D$62,"PCS")))),""),IF(28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28-(COUNTIF(ASCOPE_PMESII!$B$3:$B$62,"PCS")+COUNTIF(ASCOPE_PMESII!$D$3:$D$62,"PCS")+COUNTIF(ASCOPE_PMESII!$F$3:$F$62,"PCS")))),""),IF(28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28-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28-(COUNTIF(ASCOPE_PMESII!$B$3:$B$62,"PCS")+COUNTIF(ASCOPE_PMESII!$D$3:$D$62,"PCS")+COUNTIF(ASCOPE_PMESII!$F$3:$F$62,"PCS")+COUNTIF(ASCOPE_PMESII!$H$3:$H$62,"PCS")+COUNTIF(ASCOPE_PMESII!$J$3:$J$62,"PCS")))),"")))))),"")</f>
        <v/>
      </c>
    </row>
    <row r="32" spans="1:18" ht="34.5" customHeight="1">
      <c r="A32" s="21" t="str">
        <f t="array" ref="A32">IFERROR(IF(29&lt;=COUNTIF(ASCOPE_PMESII!$B$3:$B$62,"OE"),IFERROR(INDEX(ASCOPE_PMESII!$C$3:$C$62,_xlfn.AGGREGATE(15,6,(ROW(ASCOPE_PMESII!$B$3:$B$62)-ROW(ASCOPE_PMESII!$B$3)+1)/(ASCOPE_PMESII!$B$3:$B$62="OE"),29)),""),IF(29&lt;=(COUNTIF(ASCOPE_PMESII!$B$3:$B$62,"OE")+COUNTIF(ASCOPE_PMESII!$D$3:$D$62,"OE")),IFERROR(INDEX(ASCOPE_PMESII!$E$3:$E$62,_xlfn.AGGREGATE(15,6,(ROW(ASCOPE_PMESII!$D$3:$D$62)-ROW(ASCOPE_PMESII!$D$3)+1)/(ASCOPE_PMESII!$D$3:$D$62="OE"),29-(COUNTIF(ASCOPE_PMESII!$B$3:$B$62,"OE")))),""),IF(29&lt;=(COUNTIF(ASCOPE_PMESII!$B$3:$B$62,"OE")+COUNTIF(ASCOPE_PMESII!$D$3:$D$62,"OE")+COUNTIF(ASCOPE_PMESII!$F$3:$F$62,"OE")),IFERROR(INDEX(ASCOPE_PMESII!$G$3:$G$62,_xlfn.AGGREGATE(15,6,(ROW(ASCOPE_PMESII!$F$3:$F$62)-ROW(ASCOPE_PMESII!$F$3)+1)/(ASCOPE_PMESII!$F$3:$F$62="OE"),29-(COUNTIF(ASCOPE_PMESII!$B$3:$B$62,"OE")+COUNTIF(ASCOPE_PMESII!$D$3:$D$62,"OE")))),""),IF(29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29-(COUNTIF(ASCOPE_PMESII!$B$3:$B$62,"OE")+COUNTIF(ASCOPE_PMESII!$D$3:$D$62,"OE")+COUNTIF(ASCOPE_PMESII!$F$3:$F$62,"OE")))),""),IF(29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29-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29-(COUNTIF(ASCOPE_PMESII!$B$3:$B$62,"OE")+COUNTIF(ASCOPE_PMESII!$D$3:$D$62,"OE")+COUNTIF(ASCOPE_PMESII!$F$3:$F$62,"OE")+COUNTIF(ASCOPE_PMESII!$H$3:$H$62,"OE")+COUNTIF(ASCOPE_PMESII!$J$3:$J$62,"OE")))),"")))))),"")</f>
        <v/>
      </c>
      <c r="B32" s="21" t="str">
        <f t="array" ref="B32">IFERROR(IF(29&lt;=COUNTIF(ASCOPE_PMESII!$B$3:$B$62,"OA"),IFERROR(INDEX(ASCOPE_PMESII!$C$3:$C$62,_xlfn.AGGREGATE(15,6,(ROW(ASCOPE_PMESII!$B$3:$B$62)-ROW(ASCOPE_PMESII!$B$3)+1)/(ASCOPE_PMESII!$B$3:$B$62="OA"),29)),""),IF(29&lt;=(COUNTIF(ASCOPE_PMESII!$B$3:$B$62,"OA")+COUNTIF(ASCOPE_PMESII!$D$3:$D$62,"OA")),IFERROR(INDEX(ASCOPE_PMESII!$E$3:$E$62,_xlfn.AGGREGATE(15,6,(ROW(ASCOPE_PMESII!$D$3:$D$62)-ROW(ASCOPE_PMESII!$D$3)+1)/(ASCOPE_PMESII!$D$3:$D$62="OA"),29-(COUNTIF(ASCOPE_PMESII!$B$3:$B$62,"OA")))),""),IF(29&lt;=(COUNTIF(ASCOPE_PMESII!$B$3:$B$62,"OA")+COUNTIF(ASCOPE_PMESII!$D$3:$D$62,"OA")+COUNTIF(ASCOPE_PMESII!$F$3:$F$62,"OA")),IFERROR(INDEX(ASCOPE_PMESII!$G$3:$G$62,_xlfn.AGGREGATE(15,6,(ROW(ASCOPE_PMESII!$F$3:$F$62)-ROW(ASCOPE_PMESII!$F$3)+1)/(ASCOPE_PMESII!$F$3:$F$62="OA"),29-(COUNTIF(ASCOPE_PMESII!$B$3:$B$62,"OA")+COUNTIF(ASCOPE_PMESII!$D$3:$D$62,"OA")))),""),IF(29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29-(COUNTIF(ASCOPE_PMESII!$B$3:$B$62,"OA")+COUNTIF(ASCOPE_PMESII!$D$3:$D$62,"OA")+COUNTIF(ASCOPE_PMESII!$F$3:$F$62,"OA")))),""),IF(29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29-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29-(COUNTIF(ASCOPE_PMESII!$B$3:$B$62,"OA")+COUNTIF(ASCOPE_PMESII!$D$3:$D$62,"OA")+COUNTIF(ASCOPE_PMESII!$F$3:$F$62,"OA")+COUNTIF(ASCOPE_PMESII!$H$3:$H$62,"OA")+COUNTIF(ASCOPE_PMESII!$J$3:$J$62,"OA")))),"")))))),"")</f>
        <v/>
      </c>
      <c r="C32" s="21" t="str">
        <f t="array" ref="C32">IFERROR(IF(29&lt;=COUNTIF(ASCOPE_PMESII!$B$3:$B$62,"RISK"),IFERROR(INDEX(ASCOPE_PMESII!$C$3:$C$62,_xlfn.AGGREGATE(15,6,(ROW(ASCOPE_PMESII!$B$3:$B$62)-ROW(ASCOPE_PMESII!$B$3)+1)/(ASCOPE_PMESII!$B$3:$B$62="RISK"),29)),""),IF(29&lt;=(COUNTIF(ASCOPE_PMESII!$B$3:$B$62,"RISK")+COUNTIF(ASCOPE_PMESII!$D$3:$D$62,"RISK")),IFERROR(INDEX(ASCOPE_PMESII!$E$3:$E$62,_xlfn.AGGREGATE(15,6,(ROW(ASCOPE_PMESII!$D$3:$D$62)-ROW(ASCOPE_PMESII!$D$3)+1)/(ASCOPE_PMESII!$D$3:$D$62="RISK"),29-(COUNTIF(ASCOPE_PMESII!$B$3:$B$62,"RISK")))),""),IF(29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29-(COUNTIF(ASCOPE_PMESII!$B$3:$B$62,"RISK")+COUNTIF(ASCOPE_PMESII!$D$3:$D$62,"RISK")))),""),IF(29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29-(COUNTIF(ASCOPE_PMESII!$B$3:$B$62,"RISK")+COUNTIF(ASCOPE_PMESII!$D$3:$D$62,"RISK")+COUNTIF(ASCOPE_PMESII!$F$3:$F$62,"RISK")))),""),IF(29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29-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29-(COUNTIF(ASCOPE_PMESII!$B$3:$B$62,"RISK")+COUNTIF(ASCOPE_PMESII!$D$3:$D$62,"RISK")+COUNTIF(ASCOPE_PMESII!$F$3:$F$62,"RISK")+COUNTIF(ASCOPE_PMESII!$H$3:$H$62,"RISK")+COUNTIF(ASCOPE_PMESII!$J$3:$J$62,"RISK")))),"")))))),"")</f>
        <v>Disease degrades force and civilian legitimacy</v>
      </c>
      <c r="D32" s="21" t="str">
        <f t="array" ref="D32">IFERROR(IF(29&lt;=COUNTIF(ASCOPE_PMESII!$B$3:$B$62,"CV"),IFERROR(INDEX(ASCOPE_PMESII!$C$3:$C$62,_xlfn.AGGREGATE(15,6,(ROW(ASCOPE_PMESII!$B$3:$B$62)-ROW(ASCOPE_PMESII!$B$3)+1)/(ASCOPE_PMESII!$B$3:$B$62="CV"),29)),""),IF(29&lt;=(COUNTIF(ASCOPE_PMESII!$B$3:$B$62,"CV")+COUNTIF(ASCOPE_PMESII!$D$3:$D$62,"CV")),IFERROR(INDEX(ASCOPE_PMESII!$E$3:$E$62,_xlfn.AGGREGATE(15,6,(ROW(ASCOPE_PMESII!$D$3:$D$62)-ROW(ASCOPE_PMESII!$D$3)+1)/(ASCOPE_PMESII!$D$3:$D$62="CV"),29-(COUNTIF(ASCOPE_PMESII!$B$3:$B$62,"CV")))),""),IF(29&lt;=(COUNTIF(ASCOPE_PMESII!$B$3:$B$62,"CV")+COUNTIF(ASCOPE_PMESII!$D$3:$D$62,"CV")+COUNTIF(ASCOPE_PMESII!$F$3:$F$62,"CV")),IFERROR(INDEX(ASCOPE_PMESII!$G$3:$G$62,_xlfn.AGGREGATE(15,6,(ROW(ASCOPE_PMESII!$F$3:$F$62)-ROW(ASCOPE_PMESII!$F$3)+1)/(ASCOPE_PMESII!$F$3:$F$62="CV"),29-(COUNTIF(ASCOPE_PMESII!$B$3:$B$62,"CV")+COUNTIF(ASCOPE_PMESII!$D$3:$D$62,"CV")))),""),IF(29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29-(COUNTIF(ASCOPE_PMESII!$B$3:$B$62,"CV")+COUNTIF(ASCOPE_PMESII!$D$3:$D$62,"CV")+COUNTIF(ASCOPE_PMESII!$F$3:$F$62,"CV")))),""),IF(29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29-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29-(COUNTIF(ASCOPE_PMESII!$B$3:$B$62,"CV")+COUNTIF(ASCOPE_PMESII!$D$3:$D$62,"CV")+COUNTIF(ASCOPE_PMESII!$F$3:$F$62,"CV")+COUNTIF(ASCOPE_PMESII!$H$3:$H$62,"CV")+COUNTIF(ASCOPE_PMESII!$J$3:$J$62,"CV")))),"")))))),"")</f>
        <v>GoIND media reach limited in rebel areas</v>
      </c>
      <c r="E32" s="21" t="str">
        <f t="array" ref="E32">IFERROR(IF(29&lt;=COUNTIF(ASCOPE_PMESII!$B$3:$B$62,"COR"),IFERROR(INDEX(ASCOPE_PMESII!$C$3:$C$62,_xlfn.AGGREGATE(15,6,(ROW(ASCOPE_PMESII!$B$3:$B$62)-ROW(ASCOPE_PMESII!$B$3)+1)/(ASCOPE_PMESII!$B$3:$B$62="COR"),29)),""),IF(29&lt;=(COUNTIF(ASCOPE_PMESII!$B$3:$B$62,"COR")+COUNTIF(ASCOPE_PMESII!$D$3:$D$62,"COR")),IFERROR(INDEX(ASCOPE_PMESII!$E$3:$E$62,_xlfn.AGGREGATE(15,6,(ROW(ASCOPE_PMESII!$D$3:$D$62)-ROW(ASCOPE_PMESII!$D$3)+1)/(ASCOPE_PMESII!$D$3:$D$62="COR"),29-(COUNTIF(ASCOPE_PMESII!$B$3:$B$62,"COR")))),""),IF(29&lt;=(COUNTIF(ASCOPE_PMESII!$B$3:$B$62,"COR")+COUNTIF(ASCOPE_PMESII!$D$3:$D$62,"COR")+COUNTIF(ASCOPE_PMESII!$F$3:$F$62,"COR")),IFERROR(INDEX(ASCOPE_PMESII!$G$3:$G$62,_xlfn.AGGREGATE(15,6,(ROW(ASCOPE_PMESII!$F$3:$F$62)-ROW(ASCOPE_PMESII!$F$3)+1)/(ASCOPE_PMESII!$F$3:$F$62="COR"),29-(COUNTIF(ASCOPE_PMESII!$B$3:$B$62,"COR")+COUNTIF(ASCOPE_PMESII!$D$3:$D$62,"COR")))),""),IF(29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29-(COUNTIF(ASCOPE_PMESII!$B$3:$B$62,"COR")+COUNTIF(ASCOPE_PMESII!$D$3:$D$62,"COR")+COUNTIF(ASCOPE_PMESII!$F$3:$F$62,"COR")))),""),IF(29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29-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29-(COUNTIF(ASCOPE_PMESII!$B$3:$B$62,"COR")+COUNTIF(ASCOPE_PMESII!$D$3:$D$62,"COR")+COUNTIF(ASCOPE_PMESII!$F$3:$F$62,"COR")+COUNTIF(ASCOPE_PMESII!$H$3:$H$62,"COR")+COUNTIF(ASCOPE_PMESII!$J$3:$J$62,"COR")))),"")))))),"")</f>
        <v>Protect water, power, hospitals and fuel distribution</v>
      </c>
      <c r="F32" s="21" t="str">
        <f t="array" ref="F32">IFERROR(IF(29&lt;=COUNTIF(ASCOPE_PMESII!$B$3:$B$62,"REQT"),IFERROR(INDEX(ASCOPE_PMESII!$C$3:$C$62,_xlfn.AGGREGATE(15,6,(ROW(ASCOPE_PMESII!$B$3:$B$62)-ROW(ASCOPE_PMESII!$B$3)+1)/(ASCOPE_PMESII!$B$3:$B$62="REQT"),29)),""),IF(29&lt;=(COUNTIF(ASCOPE_PMESII!$B$3:$B$62,"REQT")+COUNTIF(ASCOPE_PMESII!$D$3:$D$62,"REQT")),IFERROR(INDEX(ASCOPE_PMESII!$E$3:$E$62,_xlfn.AGGREGATE(15,6,(ROW(ASCOPE_PMESII!$D$3:$D$62)-ROW(ASCOPE_PMESII!$D$3)+1)/(ASCOPE_PMESII!$D$3:$D$62="REQT"),29-(COUNTIF(ASCOPE_PMESII!$B$3:$B$62,"REQT")))),""),IF(29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29-(COUNTIF(ASCOPE_PMESII!$B$3:$B$62,"REQT")+COUNTIF(ASCOPE_PMESII!$D$3:$D$62,"REQT")))),""),IF(29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29-(COUNTIF(ASCOPE_PMESII!$B$3:$B$62,"REQT")+COUNTIF(ASCOPE_PMESII!$D$3:$D$62,"REQT")+COUNTIF(ASCOPE_PMESII!$F$3:$F$62,"REQT")))),""),IF(29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29-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29-(COUNTIF(ASCOPE_PMESII!$B$3:$B$62,"REQT")+COUNTIF(ASCOPE_PMESII!$D$3:$D$62,"REQT")+COUNTIF(ASCOPE_PMESII!$F$3:$F$62,"REQT")+COUNTIF(ASCOPE_PMESII!$H$3:$H$62,"REQT")+COUNTIF(ASCOPE_PMESII!$J$3:$J$62,"REQT")))),"")))))),"")</f>
        <v/>
      </c>
      <c r="G32" s="21" t="str">
        <f t="array" ref="G32">IFERROR(IF(29&lt;=COUNTIF(ASCOPE_PMESII!$B$3:$B$62,"REST"),IFERROR(INDEX(ASCOPE_PMESII!$C$3:$C$62,_xlfn.AGGREGATE(15,6,(ROW(ASCOPE_PMESII!$B$3:$B$62)-ROW(ASCOPE_PMESII!$B$3)+1)/(ASCOPE_PMESII!$B$3:$B$62="REST"),29)),""),IF(29&lt;=(COUNTIF(ASCOPE_PMESII!$B$3:$B$62,"REST")+COUNTIF(ASCOPE_PMESII!$D$3:$D$62,"REST")),IFERROR(INDEX(ASCOPE_PMESII!$E$3:$E$62,_xlfn.AGGREGATE(15,6,(ROW(ASCOPE_PMESII!$D$3:$D$62)-ROW(ASCOPE_PMESII!$D$3)+1)/(ASCOPE_PMESII!$D$3:$D$62="REST"),29-(COUNTIF(ASCOPE_PMESII!$B$3:$B$62,"REST")))),""),IF(29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29-(COUNTIF(ASCOPE_PMESII!$B$3:$B$62,"REST")+COUNTIF(ASCOPE_PMESII!$D$3:$D$62,"REST")))),""),IF(29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29-(COUNTIF(ASCOPE_PMESII!$B$3:$B$62,"REST")+COUNTIF(ASCOPE_PMESII!$D$3:$D$62,"REST")+COUNTIF(ASCOPE_PMESII!$F$3:$F$62,"REST")))),""),IF(29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29-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29-(COUNTIF(ASCOPE_PMESII!$B$3:$B$62,"REST")+COUNTIF(ASCOPE_PMESII!$D$3:$D$62,"REST")+COUNTIF(ASCOPE_PMESII!$F$3:$F$62,"REST")+COUNTIF(ASCOPE_PMESII!$H$3:$H$62,"REST")+COUNTIF(ASCOPE_PMESII!$J$3:$J$62,"REST")))),"")))))),"")</f>
        <v/>
      </c>
      <c r="H32" s="21" t="str">
        <f t="array" ref="H32">IFERROR(IF(29&lt;=COUNTIF(ASCOPE_PMESII!$B$3:$B$62,"KCD-MUST"),IFERROR(INDEX(ASCOPE_PMESII!$C$3:$C$62,_xlfn.AGGREGATE(15,6,(ROW(ASCOPE_PMESII!$B$3:$B$62)-ROW(ASCOPE_PMESII!$B$3)+1)/(ASCOPE_PMESII!$B$3:$B$62="KCD-MUST"),29)),""),IF(29&lt;=(COUNTIF(ASCOPE_PMESII!$B$3:$B$62,"KCD-MUST")+COUNTIF(ASCOPE_PMESII!$D$3:$D$62,"KCD-MUST")),IFERROR(INDEX(ASCOPE_PMESII!$E$3:$E$62,_xlfn.AGGREGATE(15,6,(ROW(ASCOPE_PMESII!$D$3:$D$62)-ROW(ASCOPE_PMESII!$D$3)+1)/(ASCOPE_PMESII!$D$3:$D$62="KCD-MUST"),29-(COUNTIF(ASCOPE_PMESII!$B$3:$B$62,"KCD-MUST")))),""),IF(29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29-(COUNTIF(ASCOPE_PMESII!$B$3:$B$62,"KCD-MUST")+COUNTIF(ASCOPE_PMESII!$D$3:$D$62,"KCD-MUST")))),""),IF(29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29-(COUNTIF(ASCOPE_PMESII!$B$3:$B$62,"KCD-MUST")+COUNTIF(ASCOPE_PMESII!$D$3:$D$62,"KCD-MUST")+COUNTIF(ASCOPE_PMESII!$F$3:$F$62,"KCD-MUST")))),""),IF(29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29-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29-(COUNTIF(ASCOPE_PMESII!$B$3:$B$62,"KCD-MUST")+COUNTIF(ASCOPE_PMESII!$D$3:$D$62,"KCD-MUST")+COUNTIF(ASCOPE_PMESII!$F$3:$F$62,"KCD-MUST")+COUNTIF(ASCOPE_PMESII!$H$3:$H$62,"KCD-MUST")+COUNTIF(ASCOPE_PMESII!$J$3:$J$62,"KCD-MUST")))),"")))))),"")</f>
        <v>Preserve technical workforce and service continuity</v>
      </c>
      <c r="I32" s="21" t="str">
        <f t="array" ref="I32">IFERROR(IF(29&lt;=COUNTIF(ASCOPE_PMESII!$B$3:$B$62,"KCD-SHOULD"),IFERROR(INDEX(ASCOPE_PMESII!$C$3:$C$62,_xlfn.AGGREGATE(15,6,(ROW(ASCOPE_PMESII!$B$3:$B$62)-ROW(ASCOPE_PMESII!$B$3)+1)/(ASCOPE_PMESII!$B$3:$B$62="KCD-SHOULD"),29)),""),IF(29&lt;=(COUNTIF(ASCOPE_PMESII!$B$3:$B$62,"KCD-SHOULD")+COUNTIF(ASCOPE_PMESII!$D$3:$D$62,"KCD-SHOULD")),IFERROR(INDEX(ASCOPE_PMESII!$E$3:$E$62,_xlfn.AGGREGATE(15,6,(ROW(ASCOPE_PMESII!$D$3:$D$62)-ROW(ASCOPE_PMESII!$D$3)+1)/(ASCOPE_PMESII!$D$3:$D$62="KCD-SHOULD"),29-(COUNTIF(ASCOPE_PMESII!$B$3:$B$62,"KCD-SHOULD")))),""),IF(29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29-(COUNTIF(ASCOPE_PMESII!$B$3:$B$62,"KCD-SHOULD")+COUNTIF(ASCOPE_PMESII!$D$3:$D$62,"KCD-SHOULD")))),""),IF(29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29-(COUNTIF(ASCOPE_PMESII!$B$3:$B$62,"KCD-SHOULD")+COUNTIF(ASCOPE_PMESII!$D$3:$D$62,"KCD-SHOULD")+COUNTIF(ASCOPE_PMESII!$F$3:$F$62,"KCD-SHOULD")))),""),IF(29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29-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29-(COUNTIF(ASCOPE_PMESII!$B$3:$B$62,"KCD-SHOULD")+COUNTIF(ASCOPE_PMESII!$D$3:$D$62,"KCD-SHOULD")+COUNTIF(ASCOPE_PMESII!$F$3:$F$62,"KCD-SHOULD")+COUNTIF(ASCOPE_PMESII!$H$3:$H$62,"KCD-SHOULD")+COUNTIF(ASCOPE_PMESII!$J$3:$J$62,"KCD-SHOULD")))),"")))))),"")</f>
        <v>Attach public health to entry force</v>
      </c>
      <c r="J32" s="21" t="str">
        <f t="array" ref="J32">IFERROR(IF(29&lt;=COUNTIF(ASCOPE_PMESII!$B$3:$B$62,"KCD-SHOULD NOT"),IFERROR(INDEX(ASCOPE_PMESII!$C$3:$C$62,_xlfn.AGGREGATE(15,6,(ROW(ASCOPE_PMESII!$B$3:$B$62)-ROW(ASCOPE_PMESII!$B$3)+1)/(ASCOPE_PMESII!$B$3:$B$62="KCD-SHOULD NOT"),29)),""),IF(29&lt;=(COUNTIF(ASCOPE_PMESII!$B$3:$B$62,"KCD-SHOULD NOT")+COUNTIF(ASCOPE_PMESII!$D$3:$D$62,"KCD-SHOULD NOT")),IFERROR(INDEX(ASCOPE_PMESII!$E$3:$E$62,_xlfn.AGGREGATE(15,6,(ROW(ASCOPE_PMESII!$D$3:$D$62)-ROW(ASCOPE_PMESII!$D$3)+1)/(ASCOPE_PMESII!$D$3:$D$62="KCD-SHOULD NOT"),29-(COUNTIF(ASCOPE_PMESII!$B$3:$B$62,"KCD-SHOULD NOT")))),""),IF(29&lt;=(COUNTIF(ASCOPE_PMESII!$B$3:$B$62,"KCD-SHOULD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NOT"),29-(COUNTIF(ASCOPE_PMESII!$B$3:$B$62,"KCD-SHOULD NOT")+COUNTIF(ASCOPE_PMESII!$D$3:$D$62,"KCD-SHOULD NOT")))),""),IF(29&lt;=(COUNTIF(ASCOPE_PMESII!$B$3:$B$62,"KCD-SHOULD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NOT"),29-(COUNTIF(ASCOPE_PMESII!$B$3:$B$62,"KCD-SHOULD NOT")+COUNTIF(ASCOPE_PMESII!$D$3:$D$62,"KCD-SHOULD NOT")+COUNTIF(ASCOPE_PMESII!$F$3:$F$62,"KCD-SHOULD NOT")))),""),IF(29&lt;=(COUNTIF(ASCOPE_PMESII!$B$3:$B$62,"KCD-SHOULD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NOT"),29-(COUNTIF(ASCOPE_PMESII!$B$3:$B$62,"KCD-SHOULD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NOT"),29-(COUNTIF(ASCOPE_PMESII!$B$3:$B$62,"KCD-SHOULD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32" s="21" t="str">
        <f t="array" ref="K32">IFERROR(IF(29&lt;=COUNTIF(ASCOPE_PMESII!$B$3:$B$62,"KCD-CANNOT"),IFERROR(INDEX(ASCOPE_PMESII!$C$3:$C$62,_xlfn.AGGREGATE(15,6,(ROW(ASCOPE_PMESII!$B$3:$B$62)-ROW(ASCOPE_PMESII!$B$3)+1)/(ASCOPE_PMESII!$B$3:$B$62="KCD-CANNOT"),29)),""),IF(29&lt;=(COUNTIF(ASCOPE_PMESII!$B$3:$B$62,"KCD-CANNOT")+COUNTIF(ASCOPE_PMESII!$D$3:$D$62,"KCD-CANNOT")),IFERROR(INDEX(ASCOPE_PMESII!$E$3:$E$62,_xlfn.AGGREGATE(15,6,(ROW(ASCOPE_PMESII!$D$3:$D$62)-ROW(ASCOPE_PMESII!$D$3)+1)/(ASCOPE_PMESII!$D$3:$D$62="KCD-CANNOT"),29-(COUNTIF(ASCOPE_PMESII!$B$3:$B$62,"KCD-CANNOT")))),""),IF(29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29-(COUNTIF(ASCOPE_PMESII!$B$3:$B$62,"KCD-CANNOT")+COUNTIF(ASCOPE_PMESII!$D$3:$D$62,"KCD-CANNOT")))),""),IF(29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29-(COUNTIF(ASCOPE_PMESII!$B$3:$B$62,"KCD-CANNOT")+COUNTIF(ASCOPE_PMESII!$D$3:$D$62,"KCD-CANNOT")+COUNTIF(ASCOPE_PMESII!$F$3:$F$62,"KCD-CANNOT")))),""),IF(29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29-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29-(COUNTIF(ASCOPE_PMESII!$B$3:$B$62,"KCD-CANNOT")+COUNTIF(ASCOPE_PMESII!$D$3:$D$62,"KCD-CANNOT")+COUNTIF(ASCOPE_PMESII!$F$3:$F$62,"KCD-CANNOT")+COUNTIF(ASCOPE_PMESII!$H$3:$H$62,"KCD-CANNOT")+COUNTIF(ASCOPE_PMESII!$J$3:$J$62,"KCD-CANNOT")))),"")))))),"")</f>
        <v>Cannot ignore water as sustainment variable</v>
      </c>
      <c r="L32" s="21" t="str">
        <f t="array" ref="L32">IFERROR(IF(29&lt;=COUNTIF(ASCOPE_PMESII!$B$3:$B$62,"DECISION"),IFERROR(INDEX(ASCOPE_PMESII!$C$3:$C$62,_xlfn.AGGREGATE(15,6,(ROW(ASCOPE_PMESII!$B$3:$B$62)-ROW(ASCOPE_PMESII!$B$3)+1)/(ASCOPE_PMESII!$B$3:$B$62="DECISION"),29)),""),IF(29&lt;=(COUNTIF(ASCOPE_PMESII!$B$3:$B$62,"DECISION")+COUNTIF(ASCOPE_PMESII!$D$3:$D$62,"DECISION")),IFERROR(INDEX(ASCOPE_PMESII!$E$3:$E$62,_xlfn.AGGREGATE(15,6,(ROW(ASCOPE_PMESII!$D$3:$D$62)-ROW(ASCOPE_PMESII!$D$3)+1)/(ASCOPE_PMESII!$D$3:$D$62="DECISION"),29-(COUNTIF(ASCOPE_PMESII!$B$3:$B$62,"DECISION")))),""),IF(29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29-(COUNTIF(ASCOPE_PMESII!$B$3:$B$62,"DECISION")+COUNTIF(ASCOPE_PMESII!$D$3:$D$62,"DECISION")))),""),IF(29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29-(COUNTIF(ASCOPE_PMESII!$B$3:$B$62,"DECISION")+COUNTIF(ASCOPE_PMESII!$D$3:$D$62,"DECISION")+COUNTIF(ASCOPE_PMESII!$F$3:$F$62,"DECISION")))),""),IF(29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29-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29-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32" s="21" t="str">
        <f t="array" ref="M32">IFERROR(IF(29&lt;=COUNTIF(ASCOPE_PMESII!$B$3:$B$62,"ASSUMPTION"),IFERROR(INDEX(ASCOPE_PMESII!$C$3:$C$62,_xlfn.AGGREGATE(15,6,(ROW(ASCOPE_PMESII!$B$3:$B$62)-ROW(ASCOPE_PMESII!$B$3)+1)/(ASCOPE_PMESII!$B$3:$B$62="ASSUMPTION"),29)),""),IF(29&lt;=(COUNTIF(ASCOPE_PMESII!$B$3:$B$62,"ASSUMPTION")+COUNTIF(ASCOPE_PMESII!$D$3:$D$62,"ASSUMPTION")),IFERROR(INDEX(ASCOPE_PMESII!$E$3:$E$62,_xlfn.AGGREGATE(15,6,(ROW(ASCOPE_PMESII!$D$3:$D$62)-ROW(ASCOPE_PMESII!$D$3)+1)/(ASCOPE_PMESII!$D$3:$D$62="ASSUMPTION"),29-(COUNTIF(ASCOPE_PMESII!$B$3:$B$62,"ASSUMPTION")))),""),IF(29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29-(COUNTIF(ASCOPE_PMESII!$B$3:$B$62,"ASSUMPTION")+COUNTIF(ASCOPE_PMESII!$D$3:$D$62,"ASSUMPTION")))),""),IF(29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29-(COUNTIF(ASCOPE_PMESII!$B$3:$B$62,"ASSUMPTION")+COUNTIF(ASCOPE_PMESII!$D$3:$D$62,"ASSUMPTION")+COUNTIF(ASCOPE_PMESII!$F$3:$F$62,"ASSUMPTION")))),""),IF(29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29-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29-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32" s="21" t="str">
        <f t="array" ref="N32">IFERROR(IF(29&lt;=COUNTIF(ASCOPE_PMESII!$B$3:$B$62,"CONSTRAINT"),IFERROR(INDEX(ASCOPE_PMESII!$C$3:$C$62,_xlfn.AGGREGATE(15,6,(ROW(ASCOPE_PMESII!$B$3:$B$62)-ROW(ASCOPE_PMESII!$B$3)+1)/(ASCOPE_PMESII!$B$3:$B$62="CONSTRAINT"),29)),""),IF(29&lt;=(COUNTIF(ASCOPE_PMESII!$B$3:$B$62,"CONSTRAINT")+COUNTIF(ASCOPE_PMESII!$D$3:$D$62,"CONSTRAINT")),IFERROR(INDEX(ASCOPE_PMESII!$E$3:$E$62,_xlfn.AGGREGATE(15,6,(ROW(ASCOPE_PMESII!$D$3:$D$62)-ROW(ASCOPE_PMESII!$D$3)+1)/(ASCOPE_PMESII!$D$3:$D$62="CONSTRAINT"),29-(COUNTIF(ASCOPE_PMESII!$B$3:$B$62,"CONSTRAINT")))),""),IF(29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29-(COUNTIF(ASCOPE_PMESII!$B$3:$B$62,"CONSTRAINT")+COUNTIF(ASCOPE_PMESII!$D$3:$D$62,"CONSTRAINT")))),""),IF(29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29-(COUNTIF(ASCOPE_PMESII!$B$3:$B$62,"CONSTRAINT")+COUNTIF(ASCOPE_PMESII!$D$3:$D$62,"CONSTRAINT")+COUNTIF(ASCOPE_PMESII!$F$3:$F$62,"CONSTRAINT")))),""),IF(29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29-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29-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32" s="21" t="str">
        <f t="array" ref="O32">IFERROR(IF(29&lt;=COUNTIF(ASCOPE_PMESII!$B$3:$B$62,"LIMITATION"),IFERROR(INDEX(ASCOPE_PMESII!$C$3:$C$62,_xlfn.AGGREGATE(15,6,(ROW(ASCOPE_PMESII!$B$3:$B$62)-ROW(ASCOPE_PMESII!$B$3)+1)/(ASCOPE_PMESII!$B$3:$B$62="LIMITATION"),29)),""),IF(29&lt;=(COUNTIF(ASCOPE_PMESII!$B$3:$B$62,"LIMITATION")+COUNTIF(ASCOPE_PMESII!$D$3:$D$62,"LIMITATION")),IFERROR(INDEX(ASCOPE_PMESII!$E$3:$E$62,_xlfn.AGGREGATE(15,6,(ROW(ASCOPE_PMESII!$D$3:$D$62)-ROW(ASCOPE_PMESII!$D$3)+1)/(ASCOPE_PMESII!$D$3:$D$62="LIMITATION"),29-(COUNTIF(ASCOPE_PMESII!$B$3:$B$62,"LIMITATION")))),""),IF(29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29-(COUNTIF(ASCOPE_PMESII!$B$3:$B$62,"LIMITATION")+COUNTIF(ASCOPE_PMESII!$D$3:$D$62,"LIMITATION")))),""),IF(29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29-(COUNTIF(ASCOPE_PMESII!$B$3:$B$62,"LIMITATION")+COUNTIF(ASCOPE_PMESII!$D$3:$D$62,"LIMITATION")+COUNTIF(ASCOPE_PMESII!$F$3:$F$62,"LIMITATION")))),""),IF(29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29-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29-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32" s="21" t="str">
        <f t="array" ref="P32">IFERROR(IF(29&lt;=COUNTIF(ASCOPE_PMESII!$B$3:$B$62,"CC"),IFERROR(INDEX(ASCOPE_PMESII!$C$3:$C$62,_xlfn.AGGREGATE(15,6,(ROW(ASCOPE_PMESII!$B$3:$B$62)-ROW(ASCOPE_PMESII!$B$3)+1)/(ASCOPE_PMESII!$B$3:$B$62="CC"),29)),""),IF(29&lt;=(COUNTIF(ASCOPE_PMESII!$B$3:$B$62,"CC")+COUNTIF(ASCOPE_PMESII!$D$3:$D$62,"CC")),IFERROR(INDEX(ASCOPE_PMESII!$E$3:$E$62,_xlfn.AGGREGATE(15,6,(ROW(ASCOPE_PMESII!$D$3:$D$62)-ROW(ASCOPE_PMESII!$D$3)+1)/(ASCOPE_PMESII!$D$3:$D$62="CC"),29-(COUNTIF(ASCOPE_PMESII!$B$3:$B$62,"CC")))),""),IF(29&lt;=(COUNTIF(ASCOPE_PMESII!$B$3:$B$62,"CC")+COUNTIF(ASCOPE_PMESII!$D$3:$D$62,"CC")+COUNTIF(ASCOPE_PMESII!$F$3:$F$62,"CC")),IFERROR(INDEX(ASCOPE_PMESII!$G$3:$G$62,_xlfn.AGGREGATE(15,6,(ROW(ASCOPE_PMESII!$F$3:$F$62)-ROW(ASCOPE_PMESII!$F$3)+1)/(ASCOPE_PMESII!$F$3:$F$62="CC"),29-(COUNTIF(ASCOPE_PMESII!$B$3:$B$62,"CC")+COUNTIF(ASCOPE_PMESII!$D$3:$D$62,"CC")))),""),IF(29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29-(COUNTIF(ASCOPE_PMESII!$B$3:$B$62,"CC")+COUNTIF(ASCOPE_PMESII!$D$3:$D$62,"CC")+COUNTIF(ASCOPE_PMESII!$F$3:$F$62,"CC")))),""),IF(29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29-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29-(COUNTIF(ASCOPE_PMESII!$B$3:$B$62,"CC")+COUNTIF(ASCOPE_PMESII!$D$3:$D$62,"CC")+COUNTIF(ASCOPE_PMESII!$F$3:$F$62,"CC")+COUNTIF(ASCOPE_PMESII!$H$3:$H$62,"CC")+COUNTIF(ASCOPE_PMESII!$J$3:$J$62,"CC")))),"")))))),"")</f>
        <v>NATO JLSG cannot substitute for HN systems</v>
      </c>
      <c r="Q32" s="21" t="str">
        <f t="array" ref="Q32">IFERROR(IF(29&lt;=COUNTIF(ASCOPE_PMESII!$B$3:$B$62,"CR"),IFERROR(INDEX(ASCOPE_PMESII!$C$3:$C$62,_xlfn.AGGREGATE(15,6,(ROW(ASCOPE_PMESII!$B$3:$B$62)-ROW(ASCOPE_PMESII!$B$3)+1)/(ASCOPE_PMESII!$B$3:$B$62="CR"),29)),""),IF(29&lt;=(COUNTIF(ASCOPE_PMESII!$B$3:$B$62,"CR")+COUNTIF(ASCOPE_PMESII!$D$3:$D$62,"CR")),IFERROR(INDEX(ASCOPE_PMESII!$E$3:$E$62,_xlfn.AGGREGATE(15,6,(ROW(ASCOPE_PMESII!$D$3:$D$62)-ROW(ASCOPE_PMESII!$D$3)+1)/(ASCOPE_PMESII!$D$3:$D$62="CR"),29-(COUNTIF(ASCOPE_PMESII!$B$3:$B$62,"CR")))),""),IF(29&lt;=(COUNTIF(ASCOPE_PMESII!$B$3:$B$62,"CR")+COUNTIF(ASCOPE_PMESII!$D$3:$D$62,"CR")+COUNTIF(ASCOPE_PMESII!$F$3:$F$62,"CR")),IFERROR(INDEX(ASCOPE_PMESII!$G$3:$G$62,_xlfn.AGGREGATE(15,6,(ROW(ASCOPE_PMESII!$F$3:$F$62)-ROW(ASCOPE_PMESII!$F$3)+1)/(ASCOPE_PMESII!$F$3:$F$62="CR"),29-(COUNTIF(ASCOPE_PMESII!$B$3:$B$62,"CR")+COUNTIF(ASCOPE_PMESII!$D$3:$D$62,"CR")))),""),IF(29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29-(COUNTIF(ASCOPE_PMESII!$B$3:$B$62,"CR")+COUNTIF(ASCOPE_PMESII!$D$3:$D$62,"CR")+COUNTIF(ASCOPE_PMESII!$F$3:$F$62,"CR")))),""),IF(29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29-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29-(COUNTIF(ASCOPE_PMESII!$B$3:$B$62,"CR")+COUNTIF(ASCOPE_PMESII!$D$3:$D$62,"CR")+COUNTIF(ASCOPE_PMESII!$F$3:$F$62,"CR")+COUNTIF(ASCOPE_PMESII!$H$3:$H$62,"CR")+COUNTIF(ASCOPE_PMESII!$J$3:$J$62,"CR")))),"")))))),"")</f>
        <v>Public health and medical surveillance required</v>
      </c>
      <c r="R32" s="94" t="str">
        <f t="array" ref="R32">IFERROR(IF(29&lt;=COUNTIF(ASCOPE_PMESII!$B$3:$B$62,"PCS"),IFERROR(INDEX(ASCOPE_PMESII!$C$3:$C$62,_xlfn.AGGREGATE(15,6,(ROW(ASCOPE_PMESII!$B$3:$B$62)-ROW(ASCOPE_PMESII!$B$3)+1)/(ASCOPE_PMESII!$B$3:$B$62="PCS"),29)),""),IF(29&lt;=(COUNTIF(ASCOPE_PMESII!$B$3:$B$62,"PCS")+COUNTIF(ASCOPE_PMESII!$D$3:$D$62,"PCS")),IFERROR(INDEX(ASCOPE_PMESII!$E$3:$E$62,_xlfn.AGGREGATE(15,6,(ROW(ASCOPE_PMESII!$D$3:$D$62)-ROW(ASCOPE_PMESII!$D$3)+1)/(ASCOPE_PMESII!$D$3:$D$62="PCS"),29-(COUNTIF(ASCOPE_PMESII!$B$3:$B$62,"PCS")))),""),IF(29&lt;=(COUNTIF(ASCOPE_PMESII!$B$3:$B$62,"PCS")+COUNTIF(ASCOPE_PMESII!$D$3:$D$62,"PCS")+COUNTIF(ASCOPE_PMESII!$F$3:$F$62,"PCS")),IFERROR(INDEX(ASCOPE_PMESII!$G$3:$G$62,_xlfn.AGGREGATE(15,6,(ROW(ASCOPE_PMESII!$F$3:$F$62)-ROW(ASCOPE_PMESII!$F$3)+1)/(ASCOPE_PMESII!$F$3:$F$62="PCS"),29-(COUNTIF(ASCOPE_PMESII!$B$3:$B$62,"PCS")+COUNTIF(ASCOPE_PMESII!$D$3:$D$62,"PCS")))),""),IF(29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29-(COUNTIF(ASCOPE_PMESII!$B$3:$B$62,"PCS")+COUNTIF(ASCOPE_PMESII!$D$3:$D$62,"PCS")+COUNTIF(ASCOPE_PMESII!$F$3:$F$62,"PCS")))),""),IF(29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29-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29-(COUNTIF(ASCOPE_PMESII!$B$3:$B$62,"PCS")+COUNTIF(ASCOPE_PMESII!$D$3:$D$62,"PCS")+COUNTIF(ASCOPE_PMESII!$F$3:$F$62,"PCS")+COUNTIF(ASCOPE_PMESII!$H$3:$H$62,"PCS")+COUNTIF(ASCOPE_PMESII!$J$3:$J$62,"PCS")))),"")))))),"")</f>
        <v/>
      </c>
    </row>
    <row r="33" spans="1:18" ht="34.5" customHeight="1">
      <c r="A33" s="22" t="str">
        <f t="array" ref="A33">IFERROR(IF(30&lt;=COUNTIF(ASCOPE_PMESII!$B$3:$B$62,"OE"),IFERROR(INDEX(ASCOPE_PMESII!$C$3:$C$62,_xlfn.AGGREGATE(15,6,(ROW(ASCOPE_PMESII!$B$3:$B$62)-ROW(ASCOPE_PMESII!$B$3)+1)/(ASCOPE_PMESII!$B$3:$B$62="OE"),30)),""),IF(30&lt;=(COUNTIF(ASCOPE_PMESII!$B$3:$B$62,"OE")+COUNTIF(ASCOPE_PMESII!$D$3:$D$62,"OE")),IFERROR(INDEX(ASCOPE_PMESII!$E$3:$E$62,_xlfn.AGGREGATE(15,6,(ROW(ASCOPE_PMESII!$D$3:$D$62)-ROW(ASCOPE_PMESII!$D$3)+1)/(ASCOPE_PMESII!$D$3:$D$62="OE"),30-(COUNTIF(ASCOPE_PMESII!$B$3:$B$62,"OE")))),""),IF(30&lt;=(COUNTIF(ASCOPE_PMESII!$B$3:$B$62,"OE")+COUNTIF(ASCOPE_PMESII!$D$3:$D$62,"OE")+COUNTIF(ASCOPE_PMESII!$F$3:$F$62,"OE")),IFERROR(INDEX(ASCOPE_PMESII!$G$3:$G$62,_xlfn.AGGREGATE(15,6,(ROW(ASCOPE_PMESII!$F$3:$F$62)-ROW(ASCOPE_PMESII!$F$3)+1)/(ASCOPE_PMESII!$F$3:$F$62="OE"),30-(COUNTIF(ASCOPE_PMESII!$B$3:$B$62,"OE")+COUNTIF(ASCOPE_PMESII!$D$3:$D$62,"OE")))),""),IF(30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30-(COUNTIF(ASCOPE_PMESII!$B$3:$B$62,"OE")+COUNTIF(ASCOPE_PMESII!$D$3:$D$62,"OE")+COUNTIF(ASCOPE_PMESII!$F$3:$F$62,"OE")))),""),IF(30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30-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30-(COUNTIF(ASCOPE_PMESII!$B$3:$B$62,"OE")+COUNTIF(ASCOPE_PMESII!$D$3:$D$62,"OE")+COUNTIF(ASCOPE_PMESII!$F$3:$F$62,"OE")+COUNTIF(ASCOPE_PMESII!$H$3:$H$62,"OE")+COUNTIF(ASCOPE_PMESII!$J$3:$J$62,"OE")))),"")))))),"")</f>
        <v/>
      </c>
      <c r="B33" s="22" t="str">
        <f t="array" ref="B33">IFERROR(IF(30&lt;=COUNTIF(ASCOPE_PMESII!$B$3:$B$62,"OA"),IFERROR(INDEX(ASCOPE_PMESII!$C$3:$C$62,_xlfn.AGGREGATE(15,6,(ROW(ASCOPE_PMESII!$B$3:$B$62)-ROW(ASCOPE_PMESII!$B$3)+1)/(ASCOPE_PMESII!$B$3:$B$62="OA"),30)),""),IF(30&lt;=(COUNTIF(ASCOPE_PMESII!$B$3:$B$62,"OA")+COUNTIF(ASCOPE_PMESII!$D$3:$D$62,"OA")),IFERROR(INDEX(ASCOPE_PMESII!$E$3:$E$62,_xlfn.AGGREGATE(15,6,(ROW(ASCOPE_PMESII!$D$3:$D$62)-ROW(ASCOPE_PMESII!$D$3)+1)/(ASCOPE_PMESII!$D$3:$D$62="OA"),30-(COUNTIF(ASCOPE_PMESII!$B$3:$B$62,"OA")))),""),IF(30&lt;=(COUNTIF(ASCOPE_PMESII!$B$3:$B$62,"OA")+COUNTIF(ASCOPE_PMESII!$D$3:$D$62,"OA")+COUNTIF(ASCOPE_PMESII!$F$3:$F$62,"OA")),IFERROR(INDEX(ASCOPE_PMESII!$G$3:$G$62,_xlfn.AGGREGATE(15,6,(ROW(ASCOPE_PMESII!$F$3:$F$62)-ROW(ASCOPE_PMESII!$F$3)+1)/(ASCOPE_PMESII!$F$3:$F$62="OA"),30-(COUNTIF(ASCOPE_PMESII!$B$3:$B$62,"OA")+COUNTIF(ASCOPE_PMESII!$D$3:$D$62,"OA")))),""),IF(30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30-(COUNTIF(ASCOPE_PMESII!$B$3:$B$62,"OA")+COUNTIF(ASCOPE_PMESII!$D$3:$D$62,"OA")+COUNTIF(ASCOPE_PMESII!$F$3:$F$62,"OA")))),""),IF(30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30-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30-(COUNTIF(ASCOPE_PMESII!$B$3:$B$62,"OA")+COUNTIF(ASCOPE_PMESII!$D$3:$D$62,"OA")+COUNTIF(ASCOPE_PMESII!$F$3:$F$62,"OA")+COUNTIF(ASCOPE_PMESII!$H$3:$H$62,"OA")+COUNTIF(ASCOPE_PMESII!$J$3:$J$62,"OA")))),"")))))),"")</f>
        <v/>
      </c>
      <c r="C33" s="22" t="str">
        <f t="array" ref="C33">IFERROR(IF(30&lt;=COUNTIF(ASCOPE_PMESII!$B$3:$B$62,"RISK"),IFERROR(INDEX(ASCOPE_PMESII!$C$3:$C$62,_xlfn.AGGREGATE(15,6,(ROW(ASCOPE_PMESII!$B$3:$B$62)-ROW(ASCOPE_PMESII!$B$3)+1)/(ASCOPE_PMESII!$B$3:$B$62="RISK"),30)),""),IF(30&lt;=(COUNTIF(ASCOPE_PMESII!$B$3:$B$62,"RISK")+COUNTIF(ASCOPE_PMESII!$D$3:$D$62,"RISK")),IFERROR(INDEX(ASCOPE_PMESII!$E$3:$E$62,_xlfn.AGGREGATE(15,6,(ROW(ASCOPE_PMESII!$D$3:$D$62)-ROW(ASCOPE_PMESII!$D$3)+1)/(ASCOPE_PMESII!$D$3:$D$62="RISK"),30-(COUNTIF(ASCOPE_PMESII!$B$3:$B$62,"RISK")))),""),IF(30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30-(COUNTIF(ASCOPE_PMESII!$B$3:$B$62,"RISK")+COUNTIF(ASCOPE_PMESII!$D$3:$D$62,"RISK")))),""),IF(30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30-(COUNTIF(ASCOPE_PMESII!$B$3:$B$62,"RISK")+COUNTIF(ASCOPE_PMESII!$D$3:$D$62,"RISK")+COUNTIF(ASCOPE_PMESII!$F$3:$F$62,"RISK")))),""),IF(30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30-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30-(COUNTIF(ASCOPE_PMESII!$B$3:$B$62,"RISK")+COUNTIF(ASCOPE_PMESII!$D$3:$D$62,"RISK")+COUNTIF(ASCOPE_PMESII!$F$3:$F$62,"RISK")+COUNTIF(ASCOPE_PMESII!$H$3:$H$62,"RISK")+COUNTIF(ASCOPE_PMESII!$J$3:$J$62,"RISK")))),"")))))),"")</f>
        <v>Misreading culture produces avoidable hostility</v>
      </c>
      <c r="D33" s="22" t="str">
        <f t="array" ref="D33">IFERROR(IF(30&lt;=COUNTIF(ASCOPE_PMESII!$B$3:$B$62,"CV"),IFERROR(INDEX(ASCOPE_PMESII!$C$3:$C$62,_xlfn.AGGREGATE(15,6,(ROW(ASCOPE_PMESII!$B$3:$B$62)-ROW(ASCOPE_PMESII!$B$3)+1)/(ASCOPE_PMESII!$B$3:$B$62="CV"),30)),""),IF(30&lt;=(COUNTIF(ASCOPE_PMESII!$B$3:$B$62,"CV")+COUNTIF(ASCOPE_PMESII!$D$3:$D$62,"CV")),IFERROR(INDEX(ASCOPE_PMESII!$E$3:$E$62,_xlfn.AGGREGATE(15,6,(ROW(ASCOPE_PMESII!$D$3:$D$62)-ROW(ASCOPE_PMESII!$D$3)+1)/(ASCOPE_PMESII!$D$3:$D$62="CV"),30-(COUNTIF(ASCOPE_PMESII!$B$3:$B$62,"CV")))),""),IF(30&lt;=(COUNTIF(ASCOPE_PMESII!$B$3:$B$62,"CV")+COUNTIF(ASCOPE_PMESII!$D$3:$D$62,"CV")+COUNTIF(ASCOPE_PMESII!$F$3:$F$62,"CV")),IFERROR(INDEX(ASCOPE_PMESII!$G$3:$G$62,_xlfn.AGGREGATE(15,6,(ROW(ASCOPE_PMESII!$F$3:$F$62)-ROW(ASCOPE_PMESII!$F$3)+1)/(ASCOPE_PMESII!$F$3:$F$62="CV"),30-(COUNTIF(ASCOPE_PMESII!$B$3:$B$62,"CV")+COUNTIF(ASCOPE_PMESII!$D$3:$D$62,"CV")))),""),IF(30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30-(COUNTIF(ASCOPE_PMESII!$B$3:$B$62,"CV")+COUNTIF(ASCOPE_PMESII!$D$3:$D$62,"CV")+COUNTIF(ASCOPE_PMESII!$F$3:$F$62,"CV")))),""),IF(30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30-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30-(COUNTIF(ASCOPE_PMESII!$B$3:$B$62,"CV")+COUNTIF(ASCOPE_PMESII!$D$3:$D$62,"CV")+COUNTIF(ASCOPE_PMESII!$F$3:$F$62,"CV")+COUNTIF(ASCOPE_PMESII!$H$3:$H$62,"CV")+COUNTIF(ASCOPE_PMESII!$J$3:$J$62,"CV")))),"")))))),"")</f>
        <v>IRS controls provincial narrative before NATO arrival</v>
      </c>
      <c r="E33" s="22" t="str">
        <f t="array" ref="E33">IFERROR(IF(30&lt;=COUNTIF(ASCOPE_PMESII!$B$3:$B$62,"COR"),IFERROR(INDEX(ASCOPE_PMESII!$C$3:$C$62,_xlfn.AGGREGATE(15,6,(ROW(ASCOPE_PMESII!$B$3:$B$62)-ROW(ASCOPE_PMESII!$B$3)+1)/(ASCOPE_PMESII!$B$3:$B$62="COR"),30)),""),IF(30&lt;=(COUNTIF(ASCOPE_PMESII!$B$3:$B$62,"COR")+COUNTIF(ASCOPE_PMESII!$D$3:$D$62,"COR")),IFERROR(INDEX(ASCOPE_PMESII!$E$3:$E$62,_xlfn.AGGREGATE(15,6,(ROW(ASCOPE_PMESII!$D$3:$D$62)-ROW(ASCOPE_PMESII!$D$3)+1)/(ASCOPE_PMESII!$D$3:$D$62="COR"),30-(COUNTIF(ASCOPE_PMESII!$B$3:$B$62,"COR")))),""),IF(30&lt;=(COUNTIF(ASCOPE_PMESII!$B$3:$B$62,"COR")+COUNTIF(ASCOPE_PMESII!$D$3:$D$62,"COR")+COUNTIF(ASCOPE_PMESII!$F$3:$F$62,"COR")),IFERROR(INDEX(ASCOPE_PMESII!$G$3:$G$62,_xlfn.AGGREGATE(15,6,(ROW(ASCOPE_PMESII!$F$3:$F$62)-ROW(ASCOPE_PMESII!$F$3)+1)/(ASCOPE_PMESII!$F$3:$F$62="COR"),30-(COUNTIF(ASCOPE_PMESII!$B$3:$B$62,"COR")+COUNTIF(ASCOPE_PMESII!$D$3:$D$62,"COR")))),""),IF(30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30-(COUNTIF(ASCOPE_PMESII!$B$3:$B$62,"COR")+COUNTIF(ASCOPE_PMESII!$D$3:$D$62,"COR")+COUNTIF(ASCOPE_PMESII!$F$3:$F$62,"COR")))),""),IF(30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30-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30-(COUNTIF(ASCOPE_PMESII!$B$3:$B$62,"COR")+COUNTIF(ASCOPE_PMESII!$D$3:$D$62,"COR")+COUNTIF(ASCOPE_PMESII!$F$3:$F$62,"COR")+COUNTIF(ASCOPE_PMESII!$H$3:$H$62,"COR")+COUNTIF(ASCOPE_PMESII!$J$3:$J$62,"COR")))),"")))))),"")</f>
        <v>Medical and water support included in initial force</v>
      </c>
      <c r="F33" s="22" t="str">
        <f t="array" ref="F33">IFERROR(IF(30&lt;=COUNTIF(ASCOPE_PMESII!$B$3:$B$62,"REQT"),IFERROR(INDEX(ASCOPE_PMESII!$C$3:$C$62,_xlfn.AGGREGATE(15,6,(ROW(ASCOPE_PMESII!$B$3:$B$62)-ROW(ASCOPE_PMESII!$B$3)+1)/(ASCOPE_PMESII!$B$3:$B$62="REQT"),30)),""),IF(30&lt;=(COUNTIF(ASCOPE_PMESII!$B$3:$B$62,"REQT")+COUNTIF(ASCOPE_PMESII!$D$3:$D$62,"REQT")),IFERROR(INDEX(ASCOPE_PMESII!$E$3:$E$62,_xlfn.AGGREGATE(15,6,(ROW(ASCOPE_PMESII!$D$3:$D$62)-ROW(ASCOPE_PMESII!$D$3)+1)/(ASCOPE_PMESII!$D$3:$D$62="REQT"),30-(COUNTIF(ASCOPE_PMESII!$B$3:$B$62,"REQT")))),""),IF(30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30-(COUNTIF(ASCOPE_PMESII!$B$3:$B$62,"REQT")+COUNTIF(ASCOPE_PMESII!$D$3:$D$62,"REQT")))),""),IF(30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30-(COUNTIF(ASCOPE_PMESII!$B$3:$B$62,"REQT")+COUNTIF(ASCOPE_PMESII!$D$3:$D$62,"REQT")+COUNTIF(ASCOPE_PMESII!$F$3:$F$62,"REQT")))),""),IF(30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30-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30-(COUNTIF(ASCOPE_PMESII!$B$3:$B$62,"REQT")+COUNTIF(ASCOPE_PMESII!$D$3:$D$62,"REQT")+COUNTIF(ASCOPE_PMESII!$F$3:$F$62,"REQT")+COUNTIF(ASCOPE_PMESII!$H$3:$H$62,"REQT")+COUNTIF(ASCOPE_PMESII!$J$3:$J$62,"REQT")))),"")))))),"")</f>
        <v/>
      </c>
      <c r="G33" s="22" t="str">
        <f t="array" ref="G33">IFERROR(IF(30&lt;=COUNTIF(ASCOPE_PMESII!$B$3:$B$62,"REST"),IFERROR(INDEX(ASCOPE_PMESII!$C$3:$C$62,_xlfn.AGGREGATE(15,6,(ROW(ASCOPE_PMESII!$B$3:$B$62)-ROW(ASCOPE_PMESII!$B$3)+1)/(ASCOPE_PMESII!$B$3:$B$62="REST"),30)),""),IF(30&lt;=(COUNTIF(ASCOPE_PMESII!$B$3:$B$62,"REST")+COUNTIF(ASCOPE_PMESII!$D$3:$D$62,"REST")),IFERROR(INDEX(ASCOPE_PMESII!$E$3:$E$62,_xlfn.AGGREGATE(15,6,(ROW(ASCOPE_PMESII!$D$3:$D$62)-ROW(ASCOPE_PMESII!$D$3)+1)/(ASCOPE_PMESII!$D$3:$D$62="REST"),30-(COUNTIF(ASCOPE_PMESII!$B$3:$B$62,"REST")))),""),IF(30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30-(COUNTIF(ASCOPE_PMESII!$B$3:$B$62,"REST")+COUNTIF(ASCOPE_PMESII!$D$3:$D$62,"REST")))),""),IF(30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30-(COUNTIF(ASCOPE_PMESII!$B$3:$B$62,"REST")+COUNTIF(ASCOPE_PMESII!$D$3:$D$62,"REST")+COUNTIF(ASCOPE_PMESII!$F$3:$F$62,"REST")))),""),IF(30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30-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30-(COUNTIF(ASCOPE_PMESII!$B$3:$B$62,"REST")+COUNTIF(ASCOPE_PMESII!$D$3:$D$62,"REST")+COUNTIF(ASCOPE_PMESII!$F$3:$F$62,"REST")+COUNTIF(ASCOPE_PMESII!$H$3:$H$62,"REST")+COUNTIF(ASCOPE_PMESII!$J$3:$J$62,"REST")))),"")))))),"")</f>
        <v/>
      </c>
      <c r="H33" s="22" t="str">
        <f t="array" ref="H33">IFERROR(IF(30&lt;=COUNTIF(ASCOPE_PMESII!$B$3:$B$62,"KCD-MUST"),IFERROR(INDEX(ASCOPE_PMESII!$C$3:$C$62,_xlfn.AGGREGATE(15,6,(ROW(ASCOPE_PMESII!$B$3:$B$62)-ROW(ASCOPE_PMESII!$B$3)+1)/(ASCOPE_PMESII!$B$3:$B$62="KCD-MUST"),30)),""),IF(30&lt;=(COUNTIF(ASCOPE_PMESII!$B$3:$B$62,"KCD-MUST")+COUNTIF(ASCOPE_PMESII!$D$3:$D$62,"KCD-MUST")),IFERROR(INDEX(ASCOPE_PMESII!$E$3:$E$62,_xlfn.AGGREGATE(15,6,(ROW(ASCOPE_PMESII!$D$3:$D$62)-ROW(ASCOPE_PMESII!$D$3)+1)/(ASCOPE_PMESII!$D$3:$D$62="KCD-MUST"),30-(COUNTIF(ASCOPE_PMESII!$B$3:$B$62,"KCD-MUST")))),""),IF(30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30-(COUNTIF(ASCOPE_PMESII!$B$3:$B$62,"KCD-MUST")+COUNTIF(ASCOPE_PMESII!$D$3:$D$62,"KCD-MUST")))),""),IF(30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30-(COUNTIF(ASCOPE_PMESII!$B$3:$B$62,"KCD-MUST")+COUNTIF(ASCOPE_PMESII!$D$3:$D$62,"KCD-MUST")+COUNTIF(ASCOPE_PMESII!$F$3:$F$62,"KCD-MUST")))),""),IF(30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30-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30-(COUNTIF(ASCOPE_PMESII!$B$3:$B$62,"KCD-MUST")+COUNTIF(ASCOPE_PMESII!$D$3:$D$62,"KCD-MUST")+COUNTIF(ASCOPE_PMESII!$F$3:$F$62,"KCD-MUST")+COUNTIF(ASCOPE_PMESII!$H$3:$H$62,"KCD-MUST")+COUNTIF(ASCOPE_PMESII!$J$3:$J$62,"KCD-MUST")))),"")))))),"")</f>
        <v>Make restraint visible to local and NATO publics</v>
      </c>
      <c r="I33" s="22" t="str">
        <f t="array" ref="I33">IFERROR(IF(30&lt;=COUNTIF(ASCOPE_PMESII!$B$3:$B$62,"KCD-SHOULD"),IFERROR(INDEX(ASCOPE_PMESII!$C$3:$C$62,_xlfn.AGGREGATE(15,6,(ROW(ASCOPE_PMESII!$B$3:$B$62)-ROW(ASCOPE_PMESII!$B$3)+1)/(ASCOPE_PMESII!$B$3:$B$62="KCD-SHOULD"),30)),""),IF(30&lt;=(COUNTIF(ASCOPE_PMESII!$B$3:$B$62,"KCD-SHOULD")+COUNTIF(ASCOPE_PMESII!$D$3:$D$62,"KCD-SHOULD")),IFERROR(INDEX(ASCOPE_PMESII!$E$3:$E$62,_xlfn.AGGREGATE(15,6,(ROW(ASCOPE_PMESII!$D$3:$D$62)-ROW(ASCOPE_PMESII!$D$3)+1)/(ASCOPE_PMESII!$D$3:$D$62="KCD-SHOULD"),30-(COUNTIF(ASCOPE_PMESII!$B$3:$B$62,"KCD-SHOULD")))),""),IF(30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30-(COUNTIF(ASCOPE_PMESII!$B$3:$B$62,"KCD-SHOULD")+COUNTIF(ASCOPE_PMESII!$D$3:$D$62,"KCD-SHOULD")))),""),IF(30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30-(COUNTIF(ASCOPE_PMESII!$B$3:$B$62,"KCD-SHOULD")+COUNTIF(ASCOPE_PMESII!$D$3:$D$62,"KCD-SHOULD")+COUNTIF(ASCOPE_PMESII!$F$3:$F$62,"KCD-SHOULD")))),""),IF(30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30-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30-(COUNTIF(ASCOPE_PMESII!$B$3:$B$62,"KCD-SHOULD")+COUNTIF(ASCOPE_PMESII!$D$3:$D$62,"KCD-SHOULD")+COUNTIF(ASCOPE_PMESII!$F$3:$F$62,"KCD-SHOULD")+COUNTIF(ASCOPE_PMESII!$H$3:$H$62,"KCD-SHOULD")+COUNTIF(ASCOPE_PMESII!$J$3:$J$62,"KCD-SHOULD")))),"")))))),"")</f>
        <v>Pre-brief civilian casualty response lines</v>
      </c>
      <c r="J33" s="22" t="str">
        <f t="array" ref="J33">IFERROR(IF(30&lt;=COUNTIF(ASCOPE_PMESII!$B$3:$B$62,"KCD-SHOULD NOT"),IFERROR(INDEX(ASCOPE_PMESII!$C$3:$C$62,_xlfn.AGGREGATE(15,6,(ROW(ASCOPE_PMESII!$B$3:$B$62)-ROW(ASCOPE_PMESII!$B$3)+1)/(ASCOPE_PMESII!$B$3:$B$62="KCD-SHOULD NOT"),30)),""),IF(30&lt;=(COUNTIF(ASCOPE_PMESII!$B$3:$B$62,"KCD-SHOULD NOT")+COUNTIF(ASCOPE_PMESII!$D$3:$D$62,"KCD-SHOULD NOT")),IFERROR(INDEX(ASCOPE_PMESII!$E$3:$E$62,_xlfn.AGGREGATE(15,6,(ROW(ASCOPE_PMESII!$D$3:$D$62)-ROW(ASCOPE_PMESII!$D$3)+1)/(ASCOPE_PMESII!$D$3:$D$62="KCD-SHOULD NOT"),30-(COUNTIF(ASCOPE_PMESII!$B$3:$B$62,"KCD-SHOULD NOT")))),""),IF(30&lt;=(COUNTIF(ASCOPE_PMESII!$B$3:$B$62,"KCD-SHOULD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NOT"),30-(COUNTIF(ASCOPE_PMESII!$B$3:$B$62,"KCD-SHOULD NOT")+COUNTIF(ASCOPE_PMESII!$D$3:$D$62,"KCD-SHOULD NOT")))),""),IF(30&lt;=(COUNTIF(ASCOPE_PMESII!$B$3:$B$62,"KCD-SHOULD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NOT"),30-(COUNTIF(ASCOPE_PMESII!$B$3:$B$62,"KCD-SHOULD NOT")+COUNTIF(ASCOPE_PMESII!$D$3:$D$62,"KCD-SHOULD NOT")+COUNTIF(ASCOPE_PMESII!$F$3:$F$62,"KCD-SHOULD NOT")))),""),IF(30&lt;=(COUNTIF(ASCOPE_PMESII!$B$3:$B$62,"KCD-SHOULD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NOT"),30-(COUNTIF(ASCOPE_PMESII!$B$3:$B$62,"KCD-SHOULD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NOT"),30-(COUNTIF(ASCOPE_PMESII!$B$3:$B$62,"KCD-SHOULD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33" s="22" t="str">
        <f t="array" ref="K33">IFERROR(IF(30&lt;=COUNTIF(ASCOPE_PMESII!$B$3:$B$62,"KCD-CANNOT"),IFERROR(INDEX(ASCOPE_PMESII!$C$3:$C$62,_xlfn.AGGREGATE(15,6,(ROW(ASCOPE_PMESII!$B$3:$B$62)-ROW(ASCOPE_PMESII!$B$3)+1)/(ASCOPE_PMESII!$B$3:$B$62="KCD-CANNOT"),30)),""),IF(30&lt;=(COUNTIF(ASCOPE_PMESII!$B$3:$B$62,"KCD-CANNOT")+COUNTIF(ASCOPE_PMESII!$D$3:$D$62,"KCD-CANNOT")),IFERROR(INDEX(ASCOPE_PMESII!$E$3:$E$62,_xlfn.AGGREGATE(15,6,(ROW(ASCOPE_PMESII!$D$3:$D$62)-ROW(ASCOPE_PMESII!$D$3)+1)/(ASCOPE_PMESII!$D$3:$D$62="KCD-CANNOT"),30-(COUNTIF(ASCOPE_PMESII!$B$3:$B$62,"KCD-CANNOT")))),""),IF(30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30-(COUNTIF(ASCOPE_PMESII!$B$3:$B$62,"KCD-CANNOT")+COUNTIF(ASCOPE_PMESII!$D$3:$D$62,"KCD-CANNOT")))),""),IF(30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30-(COUNTIF(ASCOPE_PMESII!$B$3:$B$62,"KCD-CANNOT")+COUNTIF(ASCOPE_PMESII!$D$3:$D$62,"KCD-CANNOT")+COUNTIF(ASCOPE_PMESII!$F$3:$F$62,"KCD-CANNOT")))),""),IF(30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30-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30-(COUNTIF(ASCOPE_PMESII!$B$3:$B$62,"KCD-CANNOT")+COUNTIF(ASCOPE_PMESII!$D$3:$D$62,"KCD-CANNOT")+COUNTIF(ASCOPE_PMESII!$F$3:$F$62,"KCD-CANNOT")+COUNTIF(ASCOPE_PMESII!$H$3:$H$62,"KCD-CANNOT")+COUNTIF(ASCOPE_PMESII!$J$3:$J$62,"KCD-CANNOT")))),"")))))),"")</f>
        <v>Cannot hide mistakes without strategic cost</v>
      </c>
      <c r="L33" s="22" t="str">
        <f t="array" ref="L33">IFERROR(IF(30&lt;=COUNTIF(ASCOPE_PMESII!$B$3:$B$62,"DECISION"),IFERROR(INDEX(ASCOPE_PMESII!$C$3:$C$62,_xlfn.AGGREGATE(15,6,(ROW(ASCOPE_PMESII!$B$3:$B$62)-ROW(ASCOPE_PMESII!$B$3)+1)/(ASCOPE_PMESII!$B$3:$B$62="DECISION"),30)),""),IF(30&lt;=(COUNTIF(ASCOPE_PMESII!$B$3:$B$62,"DECISION")+COUNTIF(ASCOPE_PMESII!$D$3:$D$62,"DECISION")),IFERROR(INDEX(ASCOPE_PMESII!$E$3:$E$62,_xlfn.AGGREGATE(15,6,(ROW(ASCOPE_PMESII!$D$3:$D$62)-ROW(ASCOPE_PMESII!$D$3)+1)/(ASCOPE_PMESII!$D$3:$D$62="DECISION"),30-(COUNTIF(ASCOPE_PMESII!$B$3:$B$62,"DECISION")))),""),IF(30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30-(COUNTIF(ASCOPE_PMESII!$B$3:$B$62,"DECISION")+COUNTIF(ASCOPE_PMESII!$D$3:$D$62,"DECISION")))),""),IF(30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30-(COUNTIF(ASCOPE_PMESII!$B$3:$B$62,"DECISION")+COUNTIF(ASCOPE_PMESII!$D$3:$D$62,"DECISION")+COUNTIF(ASCOPE_PMESII!$F$3:$F$62,"DECISION")))),""),IF(30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30-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30-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33" s="22" t="str">
        <f t="array" ref="M33">IFERROR(IF(30&lt;=COUNTIF(ASCOPE_PMESII!$B$3:$B$62,"ASSUMPTION"),IFERROR(INDEX(ASCOPE_PMESII!$C$3:$C$62,_xlfn.AGGREGATE(15,6,(ROW(ASCOPE_PMESII!$B$3:$B$62)-ROW(ASCOPE_PMESII!$B$3)+1)/(ASCOPE_PMESII!$B$3:$B$62="ASSUMPTION"),30)),""),IF(30&lt;=(COUNTIF(ASCOPE_PMESII!$B$3:$B$62,"ASSUMPTION")+COUNTIF(ASCOPE_PMESII!$D$3:$D$62,"ASSUMPTION")),IFERROR(INDEX(ASCOPE_PMESII!$E$3:$E$62,_xlfn.AGGREGATE(15,6,(ROW(ASCOPE_PMESII!$D$3:$D$62)-ROW(ASCOPE_PMESII!$D$3)+1)/(ASCOPE_PMESII!$D$3:$D$62="ASSUMPTION"),30-(COUNTIF(ASCOPE_PMESII!$B$3:$B$62,"ASSUMPTION")))),""),IF(30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30-(COUNTIF(ASCOPE_PMESII!$B$3:$B$62,"ASSUMPTION")+COUNTIF(ASCOPE_PMESII!$D$3:$D$62,"ASSUMPTION")))),""),IF(30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30-(COUNTIF(ASCOPE_PMESII!$B$3:$B$62,"ASSUMPTION")+COUNTIF(ASCOPE_PMESII!$D$3:$D$62,"ASSUMPTION")+COUNTIF(ASCOPE_PMESII!$F$3:$F$62,"ASSUMPTION")))),""),IF(30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30-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30-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33" s="22" t="str">
        <f t="array" ref="N33">IFERROR(IF(30&lt;=COUNTIF(ASCOPE_PMESII!$B$3:$B$62,"CONSTRAINT"),IFERROR(INDEX(ASCOPE_PMESII!$C$3:$C$62,_xlfn.AGGREGATE(15,6,(ROW(ASCOPE_PMESII!$B$3:$B$62)-ROW(ASCOPE_PMESII!$B$3)+1)/(ASCOPE_PMESII!$B$3:$B$62="CONSTRAINT"),30)),""),IF(30&lt;=(COUNTIF(ASCOPE_PMESII!$B$3:$B$62,"CONSTRAINT")+COUNTIF(ASCOPE_PMESII!$D$3:$D$62,"CONSTRAINT")),IFERROR(INDEX(ASCOPE_PMESII!$E$3:$E$62,_xlfn.AGGREGATE(15,6,(ROW(ASCOPE_PMESII!$D$3:$D$62)-ROW(ASCOPE_PMESII!$D$3)+1)/(ASCOPE_PMESII!$D$3:$D$62="CONSTRAINT"),30-(COUNTIF(ASCOPE_PMESII!$B$3:$B$62,"CONSTRAINT")))),""),IF(30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30-(COUNTIF(ASCOPE_PMESII!$B$3:$B$62,"CONSTRAINT")+COUNTIF(ASCOPE_PMESII!$D$3:$D$62,"CONSTRAINT")))),""),IF(30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30-(COUNTIF(ASCOPE_PMESII!$B$3:$B$62,"CONSTRAINT")+COUNTIF(ASCOPE_PMESII!$D$3:$D$62,"CONSTRAINT")+COUNTIF(ASCOPE_PMESII!$F$3:$F$62,"CONSTRAINT")))),""),IF(30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30-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30-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33" s="22" t="str">
        <f t="array" ref="O33">IFERROR(IF(30&lt;=COUNTIF(ASCOPE_PMESII!$B$3:$B$62,"LIMITATION"),IFERROR(INDEX(ASCOPE_PMESII!$C$3:$C$62,_xlfn.AGGREGATE(15,6,(ROW(ASCOPE_PMESII!$B$3:$B$62)-ROW(ASCOPE_PMESII!$B$3)+1)/(ASCOPE_PMESII!$B$3:$B$62="LIMITATION"),30)),""),IF(30&lt;=(COUNTIF(ASCOPE_PMESII!$B$3:$B$62,"LIMITATION")+COUNTIF(ASCOPE_PMESII!$D$3:$D$62,"LIMITATION")),IFERROR(INDEX(ASCOPE_PMESII!$E$3:$E$62,_xlfn.AGGREGATE(15,6,(ROW(ASCOPE_PMESII!$D$3:$D$62)-ROW(ASCOPE_PMESII!$D$3)+1)/(ASCOPE_PMESII!$D$3:$D$62="LIMITATION"),30-(COUNTIF(ASCOPE_PMESII!$B$3:$B$62,"LIMITATION")))),""),IF(30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30-(COUNTIF(ASCOPE_PMESII!$B$3:$B$62,"LIMITATION")+COUNTIF(ASCOPE_PMESII!$D$3:$D$62,"LIMITATION")))),""),IF(30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30-(COUNTIF(ASCOPE_PMESII!$B$3:$B$62,"LIMITATION")+COUNTIF(ASCOPE_PMESII!$D$3:$D$62,"LIMITATION")+COUNTIF(ASCOPE_PMESII!$F$3:$F$62,"LIMITATION")))),""),IF(30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30-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30-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33" s="22" t="str">
        <f t="array" ref="P33">IFERROR(IF(30&lt;=COUNTIF(ASCOPE_PMESII!$B$3:$B$62,"CC"),IFERROR(INDEX(ASCOPE_PMESII!$C$3:$C$62,_xlfn.AGGREGATE(15,6,(ROW(ASCOPE_PMESII!$B$3:$B$62)-ROW(ASCOPE_PMESII!$B$3)+1)/(ASCOPE_PMESII!$B$3:$B$62="CC"),30)),""),IF(30&lt;=(COUNTIF(ASCOPE_PMESII!$B$3:$B$62,"CC")+COUNTIF(ASCOPE_PMESII!$D$3:$D$62,"CC")),IFERROR(INDEX(ASCOPE_PMESII!$E$3:$E$62,_xlfn.AGGREGATE(15,6,(ROW(ASCOPE_PMESII!$D$3:$D$62)-ROW(ASCOPE_PMESII!$D$3)+1)/(ASCOPE_PMESII!$D$3:$D$62="CC"),30-(COUNTIF(ASCOPE_PMESII!$B$3:$B$62,"CC")))),""),IF(30&lt;=(COUNTIF(ASCOPE_PMESII!$B$3:$B$62,"CC")+COUNTIF(ASCOPE_PMESII!$D$3:$D$62,"CC")+COUNTIF(ASCOPE_PMESII!$F$3:$F$62,"CC")),IFERROR(INDEX(ASCOPE_PMESII!$G$3:$G$62,_xlfn.AGGREGATE(15,6,(ROW(ASCOPE_PMESII!$F$3:$F$62)-ROW(ASCOPE_PMESII!$F$3)+1)/(ASCOPE_PMESII!$F$3:$F$62="CC"),30-(COUNTIF(ASCOPE_PMESII!$B$3:$B$62,"CC")+COUNTIF(ASCOPE_PMESII!$D$3:$D$62,"CC")))),""),IF(30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30-(COUNTIF(ASCOPE_PMESII!$B$3:$B$62,"CC")+COUNTIF(ASCOPE_PMESII!$D$3:$D$62,"CC")+COUNTIF(ASCOPE_PMESII!$F$3:$F$62,"CC")))),""),IF(30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30-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30-(COUNTIF(ASCOPE_PMESII!$B$3:$B$62,"CC")+COUNTIF(ASCOPE_PMESII!$D$3:$D$62,"CC")+COUNTIF(ASCOPE_PMESII!$F$3:$F$62,"CC")+COUNTIF(ASCOPE_PMESII!$H$3:$H$62,"CC")+COUNTIF(ASCOPE_PMESII!$J$3:$J$62,"CC")))),"")))))),"")</f>
        <v>ISIL/JI uses encrypted and transnational media</v>
      </c>
      <c r="Q33" s="22" t="str">
        <f t="array" ref="Q33">IFERROR(IF(30&lt;=COUNTIF(ASCOPE_PMESII!$B$3:$B$62,"CR"),IFERROR(INDEX(ASCOPE_PMESII!$C$3:$C$62,_xlfn.AGGREGATE(15,6,(ROW(ASCOPE_PMESII!$B$3:$B$62)-ROW(ASCOPE_PMESII!$B$3)+1)/(ASCOPE_PMESII!$B$3:$B$62="CR"),30)),""),IF(30&lt;=(COUNTIF(ASCOPE_PMESII!$B$3:$B$62,"CR")+COUNTIF(ASCOPE_PMESII!$D$3:$D$62,"CR")),IFERROR(INDEX(ASCOPE_PMESII!$E$3:$E$62,_xlfn.AGGREGATE(15,6,(ROW(ASCOPE_PMESII!$D$3:$D$62)-ROW(ASCOPE_PMESII!$D$3)+1)/(ASCOPE_PMESII!$D$3:$D$62="CR"),30-(COUNTIF(ASCOPE_PMESII!$B$3:$B$62,"CR")))),""),IF(30&lt;=(COUNTIF(ASCOPE_PMESII!$B$3:$B$62,"CR")+COUNTIF(ASCOPE_PMESII!$D$3:$D$62,"CR")+COUNTIF(ASCOPE_PMESII!$F$3:$F$62,"CR")),IFERROR(INDEX(ASCOPE_PMESII!$G$3:$G$62,_xlfn.AGGREGATE(15,6,(ROW(ASCOPE_PMESII!$F$3:$F$62)-ROW(ASCOPE_PMESII!$F$3)+1)/(ASCOPE_PMESII!$F$3:$F$62="CR"),30-(COUNTIF(ASCOPE_PMESII!$B$3:$B$62,"CR")+COUNTIF(ASCOPE_PMESII!$D$3:$D$62,"CR")))),""),IF(30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30-(COUNTIF(ASCOPE_PMESII!$B$3:$B$62,"CR")+COUNTIF(ASCOPE_PMESII!$D$3:$D$62,"CR")+COUNTIF(ASCOPE_PMESII!$F$3:$F$62,"CR")))),""),IF(30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30-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30-(COUNTIF(ASCOPE_PMESII!$B$3:$B$62,"CR")+COUNTIF(ASCOPE_PMESII!$D$3:$D$62,"CR")+COUNTIF(ASCOPE_PMESII!$F$3:$F$62,"CR")+COUNTIF(ASCOPE_PMESII!$H$3:$H$62,"CR")+COUNTIF(ASCOPE_PMESII!$J$3:$J$62,"CR")))),"")))))),"")</f>
        <v>Civil affairs and HUMINT validation required</v>
      </c>
      <c r="R33" s="95" t="str">
        <f t="array" ref="R33">IFERROR(IF(30&lt;=COUNTIF(ASCOPE_PMESII!$B$3:$B$62,"PCS"),IFERROR(INDEX(ASCOPE_PMESII!$C$3:$C$62,_xlfn.AGGREGATE(15,6,(ROW(ASCOPE_PMESII!$B$3:$B$62)-ROW(ASCOPE_PMESII!$B$3)+1)/(ASCOPE_PMESII!$B$3:$B$62="PCS"),30)),""),IF(30&lt;=(COUNTIF(ASCOPE_PMESII!$B$3:$B$62,"PCS")+COUNTIF(ASCOPE_PMESII!$D$3:$D$62,"PCS")),IFERROR(INDEX(ASCOPE_PMESII!$E$3:$E$62,_xlfn.AGGREGATE(15,6,(ROW(ASCOPE_PMESII!$D$3:$D$62)-ROW(ASCOPE_PMESII!$D$3)+1)/(ASCOPE_PMESII!$D$3:$D$62="PCS"),30-(COUNTIF(ASCOPE_PMESII!$B$3:$B$62,"PCS")))),""),IF(30&lt;=(COUNTIF(ASCOPE_PMESII!$B$3:$B$62,"PCS")+COUNTIF(ASCOPE_PMESII!$D$3:$D$62,"PCS")+COUNTIF(ASCOPE_PMESII!$F$3:$F$62,"PCS")),IFERROR(INDEX(ASCOPE_PMESII!$G$3:$G$62,_xlfn.AGGREGATE(15,6,(ROW(ASCOPE_PMESII!$F$3:$F$62)-ROW(ASCOPE_PMESII!$F$3)+1)/(ASCOPE_PMESII!$F$3:$F$62="PCS"),30-(COUNTIF(ASCOPE_PMESII!$B$3:$B$62,"PCS")+COUNTIF(ASCOPE_PMESII!$D$3:$D$62,"PCS")))),""),IF(30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30-(COUNTIF(ASCOPE_PMESII!$B$3:$B$62,"PCS")+COUNTIF(ASCOPE_PMESII!$D$3:$D$62,"PCS")+COUNTIF(ASCOPE_PMESII!$F$3:$F$62,"PCS")))),""),IF(30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30-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30-(COUNTIF(ASCOPE_PMESII!$B$3:$B$62,"PCS")+COUNTIF(ASCOPE_PMESII!$D$3:$D$62,"PCS")+COUNTIF(ASCOPE_PMESII!$F$3:$F$62,"PCS")+COUNTIF(ASCOPE_PMESII!$H$3:$H$62,"PCS")+COUNTIF(ASCOPE_PMESII!$J$3:$J$62,"PCS")))),"")))))),"")</f>
        <v/>
      </c>
    </row>
    <row r="34" spans="1:18" ht="34.5" customHeight="1">
      <c r="A34" s="21" t="str">
        <f t="array" ref="A34">IFERROR(IF(31&lt;=COUNTIF(ASCOPE_PMESII!$B$3:$B$62,"OE"),IFERROR(INDEX(ASCOPE_PMESII!$C$3:$C$62,_xlfn.AGGREGATE(15,6,(ROW(ASCOPE_PMESII!$B$3:$B$62)-ROW(ASCOPE_PMESII!$B$3)+1)/(ASCOPE_PMESII!$B$3:$B$62="OE"),31)),""),IF(31&lt;=(COUNTIF(ASCOPE_PMESII!$B$3:$B$62,"OE")+COUNTIF(ASCOPE_PMESII!$D$3:$D$62,"OE")),IFERROR(INDEX(ASCOPE_PMESII!$E$3:$E$62,_xlfn.AGGREGATE(15,6,(ROW(ASCOPE_PMESII!$D$3:$D$62)-ROW(ASCOPE_PMESII!$D$3)+1)/(ASCOPE_PMESII!$D$3:$D$62="OE"),31-(COUNTIF(ASCOPE_PMESII!$B$3:$B$62,"OE")))),""),IF(31&lt;=(COUNTIF(ASCOPE_PMESII!$B$3:$B$62,"OE")+COUNTIF(ASCOPE_PMESII!$D$3:$D$62,"OE")+COUNTIF(ASCOPE_PMESII!$F$3:$F$62,"OE")),IFERROR(INDEX(ASCOPE_PMESII!$G$3:$G$62,_xlfn.AGGREGATE(15,6,(ROW(ASCOPE_PMESII!$F$3:$F$62)-ROW(ASCOPE_PMESII!$F$3)+1)/(ASCOPE_PMESII!$F$3:$F$62="OE"),31-(COUNTIF(ASCOPE_PMESII!$B$3:$B$62,"OE")+COUNTIF(ASCOPE_PMESII!$D$3:$D$62,"OE")))),""),IF(31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31-(COUNTIF(ASCOPE_PMESII!$B$3:$B$62,"OE")+COUNTIF(ASCOPE_PMESII!$D$3:$D$62,"OE")+COUNTIF(ASCOPE_PMESII!$F$3:$F$62,"OE")))),""),IF(31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31-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31-(COUNTIF(ASCOPE_PMESII!$B$3:$B$62,"OE")+COUNTIF(ASCOPE_PMESII!$D$3:$D$62,"OE")+COUNTIF(ASCOPE_PMESII!$F$3:$F$62,"OE")+COUNTIF(ASCOPE_PMESII!$H$3:$H$62,"OE")+COUNTIF(ASCOPE_PMESII!$J$3:$J$62,"OE")))),"")))))),"")</f>
        <v/>
      </c>
      <c r="B34" s="21" t="str">
        <f t="array" ref="B34">IFERROR(IF(31&lt;=COUNTIF(ASCOPE_PMESII!$B$3:$B$62,"OA"),IFERROR(INDEX(ASCOPE_PMESII!$C$3:$C$62,_xlfn.AGGREGATE(15,6,(ROW(ASCOPE_PMESII!$B$3:$B$62)-ROW(ASCOPE_PMESII!$B$3)+1)/(ASCOPE_PMESII!$B$3:$B$62="OA"),31)),""),IF(31&lt;=(COUNTIF(ASCOPE_PMESII!$B$3:$B$62,"OA")+COUNTIF(ASCOPE_PMESII!$D$3:$D$62,"OA")),IFERROR(INDEX(ASCOPE_PMESII!$E$3:$E$62,_xlfn.AGGREGATE(15,6,(ROW(ASCOPE_PMESII!$D$3:$D$62)-ROW(ASCOPE_PMESII!$D$3)+1)/(ASCOPE_PMESII!$D$3:$D$62="OA"),31-(COUNTIF(ASCOPE_PMESII!$B$3:$B$62,"OA")))),""),IF(31&lt;=(COUNTIF(ASCOPE_PMESII!$B$3:$B$62,"OA")+COUNTIF(ASCOPE_PMESII!$D$3:$D$62,"OA")+COUNTIF(ASCOPE_PMESII!$F$3:$F$62,"OA")),IFERROR(INDEX(ASCOPE_PMESII!$G$3:$G$62,_xlfn.AGGREGATE(15,6,(ROW(ASCOPE_PMESII!$F$3:$F$62)-ROW(ASCOPE_PMESII!$F$3)+1)/(ASCOPE_PMESII!$F$3:$F$62="OA"),31-(COUNTIF(ASCOPE_PMESII!$B$3:$B$62,"OA")+COUNTIF(ASCOPE_PMESII!$D$3:$D$62,"OA")))),""),IF(31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31-(COUNTIF(ASCOPE_PMESII!$B$3:$B$62,"OA")+COUNTIF(ASCOPE_PMESII!$D$3:$D$62,"OA")+COUNTIF(ASCOPE_PMESII!$F$3:$F$62,"OA")))),""),IF(31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31-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31-(COUNTIF(ASCOPE_PMESII!$B$3:$B$62,"OA")+COUNTIF(ASCOPE_PMESII!$D$3:$D$62,"OA")+COUNTIF(ASCOPE_PMESII!$F$3:$F$62,"OA")+COUNTIF(ASCOPE_PMESII!$H$3:$H$62,"OA")+COUNTIF(ASCOPE_PMESII!$J$3:$J$62,"OA")))),"")))))),"")</f>
        <v/>
      </c>
      <c r="C34" s="21" t="str">
        <f t="array" ref="C34">IFERROR(IF(31&lt;=COUNTIF(ASCOPE_PMESII!$B$3:$B$62,"RISK"),IFERROR(INDEX(ASCOPE_PMESII!$C$3:$C$62,_xlfn.AGGREGATE(15,6,(ROW(ASCOPE_PMESII!$B$3:$B$62)-ROW(ASCOPE_PMESII!$B$3)+1)/(ASCOPE_PMESII!$B$3:$B$62="RISK"),31)),""),IF(31&lt;=(COUNTIF(ASCOPE_PMESII!$B$3:$B$62,"RISK")+COUNTIF(ASCOPE_PMESII!$D$3:$D$62,"RISK")),IFERROR(INDEX(ASCOPE_PMESII!$E$3:$E$62,_xlfn.AGGREGATE(15,6,(ROW(ASCOPE_PMESII!$D$3:$D$62)-ROW(ASCOPE_PMESII!$D$3)+1)/(ASCOPE_PMESII!$D$3:$D$62="RISK"),31-(COUNTIF(ASCOPE_PMESII!$B$3:$B$62,"RISK")))),""),IF(31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31-(COUNTIF(ASCOPE_PMESII!$B$3:$B$62,"RISK")+COUNTIF(ASCOPE_PMESII!$D$3:$D$62,"RISK")))),""),IF(31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31-(COUNTIF(ASCOPE_PMESII!$B$3:$B$62,"RISK")+COUNTIF(ASCOPE_PMESII!$D$3:$D$62,"RISK")+COUNTIF(ASCOPE_PMESII!$F$3:$F$62,"RISK")))),""),IF(31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31-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31-(COUNTIF(ASCOPE_PMESII!$B$3:$B$62,"RISK")+COUNTIF(ASCOPE_PMESII!$D$3:$D$62,"RISK")+COUNTIF(ASCOPE_PMESII!$F$3:$F$62,"RISK")+COUNTIF(ASCOPE_PMESII!$H$3:$H$62,"RISK")+COUNTIF(ASCOPE_PMESII!$J$3:$J$62,"RISK")))),"")))))),"")</f>
        <v>Delay increases force requirement and casualties</v>
      </c>
      <c r="D34" s="21" t="str">
        <f t="array" ref="D34">IFERROR(IF(31&lt;=COUNTIF(ASCOPE_PMESII!$B$3:$B$62,"CV"),IFERROR(INDEX(ASCOPE_PMESII!$C$3:$C$62,_xlfn.AGGREGATE(15,6,(ROW(ASCOPE_PMESII!$B$3:$B$62)-ROW(ASCOPE_PMESII!$B$3)+1)/(ASCOPE_PMESII!$B$3:$B$62="CV"),31)),""),IF(31&lt;=(COUNTIF(ASCOPE_PMESII!$B$3:$B$62,"CV")+COUNTIF(ASCOPE_PMESII!$D$3:$D$62,"CV")),IFERROR(INDEX(ASCOPE_PMESII!$E$3:$E$62,_xlfn.AGGREGATE(15,6,(ROW(ASCOPE_PMESII!$D$3:$D$62)-ROW(ASCOPE_PMESII!$D$3)+1)/(ASCOPE_PMESII!$D$3:$D$62="CV"),31-(COUNTIF(ASCOPE_PMESII!$B$3:$B$62,"CV")))),""),IF(31&lt;=(COUNTIF(ASCOPE_PMESII!$B$3:$B$62,"CV")+COUNTIF(ASCOPE_PMESII!$D$3:$D$62,"CV")+COUNTIF(ASCOPE_PMESII!$F$3:$F$62,"CV")),IFERROR(INDEX(ASCOPE_PMESII!$G$3:$G$62,_xlfn.AGGREGATE(15,6,(ROW(ASCOPE_PMESII!$F$3:$F$62)-ROW(ASCOPE_PMESII!$F$3)+1)/(ASCOPE_PMESII!$F$3:$F$62="CV"),31-(COUNTIF(ASCOPE_PMESII!$B$3:$B$62,"CV")+COUNTIF(ASCOPE_PMESII!$D$3:$D$62,"CV")))),""),IF(31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31-(COUNTIF(ASCOPE_PMESII!$B$3:$B$62,"CV")+COUNTIF(ASCOPE_PMESII!$D$3:$D$62,"CV")+COUNTIF(ASCOPE_PMESII!$F$3:$F$62,"CV")))),""),IF(31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31-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31-(COUNTIF(ASCOPE_PMESII!$B$3:$B$62,"CV")+COUNTIF(ASCOPE_PMESII!$D$3:$D$62,"CV")+COUNTIF(ASCOPE_PMESII!$F$3:$F$62,"CV")+COUNTIF(ASCOPE_PMESII!$H$3:$H$62,"CV")+COUNTIF(ASCOPE_PMESII!$J$3:$J$62,"CV")))),"")))))),"")</f>
        <v>IRS, GoIND, ISIL/JI and regional states diverge</v>
      </c>
      <c r="E34" s="21" t="str">
        <f t="array" ref="E34">IFERROR(IF(31&lt;=COUNTIF(ASCOPE_PMESII!$B$3:$B$62,"COR"),IFERROR(INDEX(ASCOPE_PMESII!$C$3:$C$62,_xlfn.AGGREGATE(15,6,(ROW(ASCOPE_PMESII!$B$3:$B$62)-ROW(ASCOPE_PMESII!$B$3)+1)/(ASCOPE_PMESII!$B$3:$B$62="COR"),31)),""),IF(31&lt;=(COUNTIF(ASCOPE_PMESII!$B$3:$B$62,"COR")+COUNTIF(ASCOPE_PMESII!$D$3:$D$62,"COR")),IFERROR(INDEX(ASCOPE_PMESII!$E$3:$E$62,_xlfn.AGGREGATE(15,6,(ROW(ASCOPE_PMESII!$D$3:$D$62)-ROW(ASCOPE_PMESII!$D$3)+1)/(ASCOPE_PMESII!$D$3:$D$62="COR"),31-(COUNTIF(ASCOPE_PMESII!$B$3:$B$62,"COR")))),""),IF(31&lt;=(COUNTIF(ASCOPE_PMESII!$B$3:$B$62,"COR")+COUNTIF(ASCOPE_PMESII!$D$3:$D$62,"COR")+COUNTIF(ASCOPE_PMESII!$F$3:$F$62,"COR")),IFERROR(INDEX(ASCOPE_PMESII!$G$3:$G$62,_xlfn.AGGREGATE(15,6,(ROW(ASCOPE_PMESII!$F$3:$F$62)-ROW(ASCOPE_PMESII!$F$3)+1)/(ASCOPE_PMESII!$F$3:$F$62="COR"),31-(COUNTIF(ASCOPE_PMESII!$B$3:$B$62,"COR")+COUNTIF(ASCOPE_PMESII!$D$3:$D$62,"COR")))),""),IF(31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31-(COUNTIF(ASCOPE_PMESII!$B$3:$B$62,"COR")+COUNTIF(ASCOPE_PMESII!$D$3:$D$62,"COR")+COUNTIF(ASCOPE_PMESII!$F$3:$F$62,"COR")))),""),IF(31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31-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31-(COUNTIF(ASCOPE_PMESII!$B$3:$B$62,"COR")+COUNTIF(ASCOPE_PMESII!$D$3:$D$62,"COR")+COUNTIF(ASCOPE_PMESII!$F$3:$F$62,"COR")+COUNTIF(ASCOPE_PMESII!$H$3:$H$62,"COR")+COUNTIF(ASCOPE_PMESII!$J$3:$J$62,"COR")))),"")))))),"")</f>
        <v>Use family, religious and community channels</v>
      </c>
      <c r="F34" s="21" t="str">
        <f t="array" ref="F34">IFERROR(IF(31&lt;=COUNTIF(ASCOPE_PMESII!$B$3:$B$62,"REQT"),IFERROR(INDEX(ASCOPE_PMESII!$C$3:$C$62,_xlfn.AGGREGATE(15,6,(ROW(ASCOPE_PMESII!$B$3:$B$62)-ROW(ASCOPE_PMESII!$B$3)+1)/(ASCOPE_PMESII!$B$3:$B$62="REQT"),31)),""),IF(31&lt;=(COUNTIF(ASCOPE_PMESII!$B$3:$B$62,"REQT")+COUNTIF(ASCOPE_PMESII!$D$3:$D$62,"REQT")),IFERROR(INDEX(ASCOPE_PMESII!$E$3:$E$62,_xlfn.AGGREGATE(15,6,(ROW(ASCOPE_PMESII!$D$3:$D$62)-ROW(ASCOPE_PMESII!$D$3)+1)/(ASCOPE_PMESII!$D$3:$D$62="REQT"),31-(COUNTIF(ASCOPE_PMESII!$B$3:$B$62,"REQT")))),""),IF(31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31-(COUNTIF(ASCOPE_PMESII!$B$3:$B$62,"REQT")+COUNTIF(ASCOPE_PMESII!$D$3:$D$62,"REQT")))),""),IF(31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31-(COUNTIF(ASCOPE_PMESII!$B$3:$B$62,"REQT")+COUNTIF(ASCOPE_PMESII!$D$3:$D$62,"REQT")+COUNTIF(ASCOPE_PMESII!$F$3:$F$62,"REQT")))),""),IF(31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31-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31-(COUNTIF(ASCOPE_PMESII!$B$3:$B$62,"REQT")+COUNTIF(ASCOPE_PMESII!$D$3:$D$62,"REQT")+COUNTIF(ASCOPE_PMESII!$F$3:$F$62,"REQT")+COUNTIF(ASCOPE_PMESII!$H$3:$H$62,"REQT")+COUNTIF(ASCOPE_PMESII!$J$3:$J$62,"REQT")))),"")))))),"")</f>
        <v/>
      </c>
      <c r="G34" s="21" t="str">
        <f t="array" ref="G34">IFERROR(IF(31&lt;=COUNTIF(ASCOPE_PMESII!$B$3:$B$62,"REST"),IFERROR(INDEX(ASCOPE_PMESII!$C$3:$C$62,_xlfn.AGGREGATE(15,6,(ROW(ASCOPE_PMESII!$B$3:$B$62)-ROW(ASCOPE_PMESII!$B$3)+1)/(ASCOPE_PMESII!$B$3:$B$62="REST"),31)),""),IF(31&lt;=(COUNTIF(ASCOPE_PMESII!$B$3:$B$62,"REST")+COUNTIF(ASCOPE_PMESII!$D$3:$D$62,"REST")),IFERROR(INDEX(ASCOPE_PMESII!$E$3:$E$62,_xlfn.AGGREGATE(15,6,(ROW(ASCOPE_PMESII!$D$3:$D$62)-ROW(ASCOPE_PMESII!$D$3)+1)/(ASCOPE_PMESII!$D$3:$D$62="REST"),31-(COUNTIF(ASCOPE_PMESII!$B$3:$B$62,"REST")))),""),IF(31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31-(COUNTIF(ASCOPE_PMESII!$B$3:$B$62,"REST")+COUNTIF(ASCOPE_PMESII!$D$3:$D$62,"REST")))),""),IF(31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31-(COUNTIF(ASCOPE_PMESII!$B$3:$B$62,"REST")+COUNTIF(ASCOPE_PMESII!$D$3:$D$62,"REST")+COUNTIF(ASCOPE_PMESII!$F$3:$F$62,"REST")))),""),IF(31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31-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31-(COUNTIF(ASCOPE_PMESII!$B$3:$B$62,"REST")+COUNTIF(ASCOPE_PMESII!$D$3:$D$62,"REST")+COUNTIF(ASCOPE_PMESII!$F$3:$F$62,"REST")+COUNTIF(ASCOPE_PMESII!$H$3:$H$62,"REST")+COUNTIF(ASCOPE_PMESII!$J$3:$J$62,"REST")))),"")))))),"")</f>
        <v/>
      </c>
      <c r="H34" s="21" t="str">
        <f t="array" ref="H34">IFERROR(IF(31&lt;=COUNTIF(ASCOPE_PMESII!$B$3:$B$62,"KCD-MUST"),IFERROR(INDEX(ASCOPE_PMESII!$C$3:$C$62,_xlfn.AGGREGATE(15,6,(ROW(ASCOPE_PMESII!$B$3:$B$62)-ROW(ASCOPE_PMESII!$B$3)+1)/(ASCOPE_PMESII!$B$3:$B$62="KCD-MUST"),31)),""),IF(31&lt;=(COUNTIF(ASCOPE_PMESII!$B$3:$B$62,"KCD-MUST")+COUNTIF(ASCOPE_PMESII!$D$3:$D$62,"KCD-MUST")),IFERROR(INDEX(ASCOPE_PMESII!$E$3:$E$62,_xlfn.AGGREGATE(15,6,(ROW(ASCOPE_PMESII!$D$3:$D$62)-ROW(ASCOPE_PMESII!$D$3)+1)/(ASCOPE_PMESII!$D$3:$D$62="KCD-MUST"),31-(COUNTIF(ASCOPE_PMESII!$B$3:$B$62,"KCD-MUST")))),""),IF(31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31-(COUNTIF(ASCOPE_PMESII!$B$3:$B$62,"KCD-MUST")+COUNTIF(ASCOPE_PMESII!$D$3:$D$62,"KCD-MUST")))),""),IF(31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31-(COUNTIF(ASCOPE_PMESII!$B$3:$B$62,"KCD-MUST")+COUNTIF(ASCOPE_PMESII!$D$3:$D$62,"KCD-MUST")+COUNTIF(ASCOPE_PMESII!$F$3:$F$62,"KCD-MUST")))),""),IF(31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31-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31-(COUNTIF(ASCOPE_PMESII!$B$3:$B$62,"KCD-MUST")+COUNTIF(ASCOPE_PMESII!$D$3:$D$62,"KCD-MUST")+COUNTIF(ASCOPE_PMESII!$F$3:$F$62,"KCD-MUST")+COUNTIF(ASCOPE_PMESII!$H$3:$H$62,"KCD-MUST")+COUNTIF(ASCOPE_PMESII!$J$3:$J$62,"KCD-MUST")))),"")))))),"")</f>
        <v>Move before IRS creates irreversible facts</v>
      </c>
      <c r="I34" s="21" t="str">
        <f t="array" ref="I34">IFERROR(IF(31&lt;=COUNTIF(ASCOPE_PMESII!$B$3:$B$62,"KCD-SHOULD"),IFERROR(INDEX(ASCOPE_PMESII!$C$3:$C$62,_xlfn.AGGREGATE(15,6,(ROW(ASCOPE_PMESII!$B$3:$B$62)-ROW(ASCOPE_PMESII!$B$3)+1)/(ASCOPE_PMESII!$B$3:$B$62="KCD-SHOULD"),31)),""),IF(31&lt;=(COUNTIF(ASCOPE_PMESII!$B$3:$B$62,"KCD-SHOULD")+COUNTIF(ASCOPE_PMESII!$D$3:$D$62,"KCD-SHOULD")),IFERROR(INDEX(ASCOPE_PMESII!$E$3:$E$62,_xlfn.AGGREGATE(15,6,(ROW(ASCOPE_PMESII!$D$3:$D$62)-ROW(ASCOPE_PMESII!$D$3)+1)/(ASCOPE_PMESII!$D$3:$D$62="KCD-SHOULD"),31-(COUNTIF(ASCOPE_PMESII!$B$3:$B$62,"KCD-SHOULD")))),""),IF(31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31-(COUNTIF(ASCOPE_PMESII!$B$3:$B$62,"KCD-SHOULD")+COUNTIF(ASCOPE_PMESII!$D$3:$D$62,"KCD-SHOULD")))),""),IF(31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31-(COUNTIF(ASCOPE_PMESII!$B$3:$B$62,"KCD-SHOULD")+COUNTIF(ASCOPE_PMESII!$D$3:$D$62,"KCD-SHOULD")+COUNTIF(ASCOPE_PMESII!$F$3:$F$62,"KCD-SHOULD")))),""),IF(31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31-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31-(COUNTIF(ASCOPE_PMESII!$B$3:$B$62,"KCD-SHOULD")+COUNTIF(ASCOPE_PMESII!$D$3:$D$62,"KCD-SHOULD")+COUNTIF(ASCOPE_PMESII!$F$3:$F$62,"KCD-SHOULD")+COUNTIF(ASCOPE_PMESII!$H$3:$H$62,"KCD-SHOULD")+COUNTIF(ASCOPE_PMESII!$J$3:$J$62,"KCD-SHOULD")))),"")))))),"")</f>
        <v>Publicly link operation to lawful restoration</v>
      </c>
      <c r="J34" s="21" t="str">
        <f t="array" ref="J34">IFERROR(IF(31&lt;=COUNTIF(ASCOPE_PMESII!$B$3:$B$62,"KCD-SHOULD NOT"),IFERROR(INDEX(ASCOPE_PMESII!$C$3:$C$62,_xlfn.AGGREGATE(15,6,(ROW(ASCOPE_PMESII!$B$3:$B$62)-ROW(ASCOPE_PMESII!$B$3)+1)/(ASCOPE_PMESII!$B$3:$B$62="KCD-SHOULD NOT"),31)),""),IF(31&lt;=(COUNTIF(ASCOPE_PMESII!$B$3:$B$62,"KCD-SHOULD NOT")+COUNTIF(ASCOPE_PMESII!$D$3:$D$62,"KCD-SHOULD NOT")),IFERROR(INDEX(ASCOPE_PMESII!$E$3:$E$62,_xlfn.AGGREGATE(15,6,(ROW(ASCOPE_PMESII!$D$3:$D$62)-ROW(ASCOPE_PMESII!$D$3)+1)/(ASCOPE_PMESII!$D$3:$D$62="KCD-SHOULD NOT"),31-(COUNTIF(ASCOPE_PMESII!$B$3:$B$62,"KCD-SHOULD NOT")))),""),IF(31&lt;=(COUNTIF(ASCOPE_PMESII!$B$3:$B$62,"KCD-SHOULD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NOT"),31-(COUNTIF(ASCOPE_PMESII!$B$3:$B$62,"KCD-SHOULD NOT")+COUNTIF(ASCOPE_PMESII!$D$3:$D$62,"KCD-SHOULD NOT")))),""),IF(31&lt;=(COUNTIF(ASCOPE_PMESII!$B$3:$B$62,"KCD-SHOULD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NOT"),31-(COUNTIF(ASCOPE_PMESII!$B$3:$B$62,"KCD-SHOULD NOT")+COUNTIF(ASCOPE_PMESII!$D$3:$D$62,"KCD-SHOULD NOT")+COUNTIF(ASCOPE_PMESII!$F$3:$F$62,"KCD-SHOULD NOT")))),""),IF(31&lt;=(COUNTIF(ASCOPE_PMESII!$B$3:$B$62,"KCD-SHOULD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NOT"),31-(COUNTIF(ASCOPE_PMESII!$B$3:$B$62,"KCD-SHOULD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NOT"),31-(COUNTIF(ASCOPE_PMESII!$B$3:$B$62,"KCD-SHOULD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34" s="21" t="str">
        <f t="array" ref="K34">IFERROR(IF(31&lt;=COUNTIF(ASCOPE_PMESII!$B$3:$B$62,"KCD-CANNOT"),IFERROR(INDEX(ASCOPE_PMESII!$C$3:$C$62,_xlfn.AGGREGATE(15,6,(ROW(ASCOPE_PMESII!$B$3:$B$62)-ROW(ASCOPE_PMESII!$B$3)+1)/(ASCOPE_PMESII!$B$3:$B$62="KCD-CANNOT"),31)),""),IF(31&lt;=(COUNTIF(ASCOPE_PMESII!$B$3:$B$62,"KCD-CANNOT")+COUNTIF(ASCOPE_PMESII!$D$3:$D$62,"KCD-CANNOT")),IFERROR(INDEX(ASCOPE_PMESII!$E$3:$E$62,_xlfn.AGGREGATE(15,6,(ROW(ASCOPE_PMESII!$D$3:$D$62)-ROW(ASCOPE_PMESII!$D$3)+1)/(ASCOPE_PMESII!$D$3:$D$62="KCD-CANNOT"),31-(COUNTIF(ASCOPE_PMESII!$B$3:$B$62,"KCD-CANNOT")))),""),IF(31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31-(COUNTIF(ASCOPE_PMESII!$B$3:$B$62,"KCD-CANNOT")+COUNTIF(ASCOPE_PMESII!$D$3:$D$62,"KCD-CANNOT")))),""),IF(31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31-(COUNTIF(ASCOPE_PMESII!$B$3:$B$62,"KCD-CANNOT")+COUNTIF(ASCOPE_PMESII!$D$3:$D$62,"KCD-CANNOT")+COUNTIF(ASCOPE_PMESII!$F$3:$F$62,"KCD-CANNOT")))),""),IF(31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31-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31-(COUNTIF(ASCOPE_PMESII!$B$3:$B$62,"KCD-CANNOT")+COUNTIF(ASCOPE_PMESII!$D$3:$D$62,"KCD-CANNOT")+COUNTIF(ASCOPE_PMESII!$F$3:$F$62,"KCD-CANNOT")+COUNTIF(ASCOPE_PMESII!$H$3:$H$62,"KCD-CANNOT")+COUNTIF(ASCOPE_PMESII!$J$3:$J$62,"KCD-CANNOT")))),"")))))),"")</f>
        <v>Cannot wait for perfect understanding</v>
      </c>
      <c r="L34" s="21" t="str">
        <f t="array" ref="L34">IFERROR(IF(31&lt;=COUNTIF(ASCOPE_PMESII!$B$3:$B$62,"DECISION"),IFERROR(INDEX(ASCOPE_PMESII!$C$3:$C$62,_xlfn.AGGREGATE(15,6,(ROW(ASCOPE_PMESII!$B$3:$B$62)-ROW(ASCOPE_PMESII!$B$3)+1)/(ASCOPE_PMESII!$B$3:$B$62="DECISION"),31)),""),IF(31&lt;=(COUNTIF(ASCOPE_PMESII!$B$3:$B$62,"DECISION")+COUNTIF(ASCOPE_PMESII!$D$3:$D$62,"DECISION")),IFERROR(INDEX(ASCOPE_PMESII!$E$3:$E$62,_xlfn.AGGREGATE(15,6,(ROW(ASCOPE_PMESII!$D$3:$D$62)-ROW(ASCOPE_PMESII!$D$3)+1)/(ASCOPE_PMESII!$D$3:$D$62="DECISION"),31-(COUNTIF(ASCOPE_PMESII!$B$3:$B$62,"DECISION")))),""),IF(31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31-(COUNTIF(ASCOPE_PMESII!$B$3:$B$62,"DECISION")+COUNTIF(ASCOPE_PMESII!$D$3:$D$62,"DECISION")))),""),IF(31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31-(COUNTIF(ASCOPE_PMESII!$B$3:$B$62,"DECISION")+COUNTIF(ASCOPE_PMESII!$D$3:$D$62,"DECISION")+COUNTIF(ASCOPE_PMESII!$F$3:$F$62,"DECISION")))),""),IF(31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31-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31-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34" s="21" t="str">
        <f t="array" ref="M34">IFERROR(IF(31&lt;=COUNTIF(ASCOPE_PMESII!$B$3:$B$62,"ASSUMPTION"),IFERROR(INDEX(ASCOPE_PMESII!$C$3:$C$62,_xlfn.AGGREGATE(15,6,(ROW(ASCOPE_PMESII!$B$3:$B$62)-ROW(ASCOPE_PMESII!$B$3)+1)/(ASCOPE_PMESII!$B$3:$B$62="ASSUMPTION"),31)),""),IF(31&lt;=(COUNTIF(ASCOPE_PMESII!$B$3:$B$62,"ASSUMPTION")+COUNTIF(ASCOPE_PMESII!$D$3:$D$62,"ASSUMPTION")),IFERROR(INDEX(ASCOPE_PMESII!$E$3:$E$62,_xlfn.AGGREGATE(15,6,(ROW(ASCOPE_PMESII!$D$3:$D$62)-ROW(ASCOPE_PMESII!$D$3)+1)/(ASCOPE_PMESII!$D$3:$D$62="ASSUMPTION"),31-(COUNTIF(ASCOPE_PMESII!$B$3:$B$62,"ASSUMPTION")))),""),IF(31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31-(COUNTIF(ASCOPE_PMESII!$B$3:$B$62,"ASSUMPTION")+COUNTIF(ASCOPE_PMESII!$D$3:$D$62,"ASSUMPTION")))),""),IF(31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31-(COUNTIF(ASCOPE_PMESII!$B$3:$B$62,"ASSUMPTION")+COUNTIF(ASCOPE_PMESII!$D$3:$D$62,"ASSUMPTION")+COUNTIF(ASCOPE_PMESII!$F$3:$F$62,"ASSUMPTION")))),""),IF(31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31-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31-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34" s="21" t="str">
        <f t="array" ref="N34">IFERROR(IF(31&lt;=COUNTIF(ASCOPE_PMESII!$B$3:$B$62,"CONSTRAINT"),IFERROR(INDEX(ASCOPE_PMESII!$C$3:$C$62,_xlfn.AGGREGATE(15,6,(ROW(ASCOPE_PMESII!$B$3:$B$62)-ROW(ASCOPE_PMESII!$B$3)+1)/(ASCOPE_PMESII!$B$3:$B$62="CONSTRAINT"),31)),""),IF(31&lt;=(COUNTIF(ASCOPE_PMESII!$B$3:$B$62,"CONSTRAINT")+COUNTIF(ASCOPE_PMESII!$D$3:$D$62,"CONSTRAINT")),IFERROR(INDEX(ASCOPE_PMESII!$E$3:$E$62,_xlfn.AGGREGATE(15,6,(ROW(ASCOPE_PMESII!$D$3:$D$62)-ROW(ASCOPE_PMESII!$D$3)+1)/(ASCOPE_PMESII!$D$3:$D$62="CONSTRAINT"),31-(COUNTIF(ASCOPE_PMESII!$B$3:$B$62,"CONSTRAINT")))),""),IF(31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31-(COUNTIF(ASCOPE_PMESII!$B$3:$B$62,"CONSTRAINT")+COUNTIF(ASCOPE_PMESII!$D$3:$D$62,"CONSTRAINT")))),""),IF(31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31-(COUNTIF(ASCOPE_PMESII!$B$3:$B$62,"CONSTRAINT")+COUNTIF(ASCOPE_PMESII!$D$3:$D$62,"CONSTRAINT")+COUNTIF(ASCOPE_PMESII!$F$3:$F$62,"CONSTRAINT")))),""),IF(31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31-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31-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34" s="21" t="str">
        <f t="array" ref="O34">IFERROR(IF(31&lt;=COUNTIF(ASCOPE_PMESII!$B$3:$B$62,"LIMITATION"),IFERROR(INDEX(ASCOPE_PMESII!$C$3:$C$62,_xlfn.AGGREGATE(15,6,(ROW(ASCOPE_PMESII!$B$3:$B$62)-ROW(ASCOPE_PMESII!$B$3)+1)/(ASCOPE_PMESII!$B$3:$B$62="LIMITATION"),31)),""),IF(31&lt;=(COUNTIF(ASCOPE_PMESII!$B$3:$B$62,"LIMITATION")+COUNTIF(ASCOPE_PMESII!$D$3:$D$62,"LIMITATION")),IFERROR(INDEX(ASCOPE_PMESII!$E$3:$E$62,_xlfn.AGGREGATE(15,6,(ROW(ASCOPE_PMESII!$D$3:$D$62)-ROW(ASCOPE_PMESII!$D$3)+1)/(ASCOPE_PMESII!$D$3:$D$62="LIMITATION"),31-(COUNTIF(ASCOPE_PMESII!$B$3:$B$62,"LIMITATION")))),""),IF(31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31-(COUNTIF(ASCOPE_PMESII!$B$3:$B$62,"LIMITATION")+COUNTIF(ASCOPE_PMESII!$D$3:$D$62,"LIMITATION")))),""),IF(31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31-(COUNTIF(ASCOPE_PMESII!$B$3:$B$62,"LIMITATION")+COUNTIF(ASCOPE_PMESII!$D$3:$D$62,"LIMITATION")+COUNTIF(ASCOPE_PMESII!$F$3:$F$62,"LIMITATION")))),""),IF(31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31-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31-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34" s="21" t="str">
        <f t="array" ref="P34">IFERROR(IF(31&lt;=COUNTIF(ASCOPE_PMESII!$B$3:$B$62,"CC"),IFERROR(INDEX(ASCOPE_PMESII!$C$3:$C$62,_xlfn.AGGREGATE(15,6,(ROW(ASCOPE_PMESII!$B$3:$B$62)-ROW(ASCOPE_PMESII!$B$3)+1)/(ASCOPE_PMESII!$B$3:$B$62="CC"),31)),""),IF(31&lt;=(COUNTIF(ASCOPE_PMESII!$B$3:$B$62,"CC")+COUNTIF(ASCOPE_PMESII!$D$3:$D$62,"CC")),IFERROR(INDEX(ASCOPE_PMESII!$E$3:$E$62,_xlfn.AGGREGATE(15,6,(ROW(ASCOPE_PMESII!$D$3:$D$62)-ROW(ASCOPE_PMESII!$D$3)+1)/(ASCOPE_PMESII!$D$3:$D$62="CC"),31-(COUNTIF(ASCOPE_PMESII!$B$3:$B$62,"CC")))),""),IF(31&lt;=(COUNTIF(ASCOPE_PMESII!$B$3:$B$62,"CC")+COUNTIF(ASCOPE_PMESII!$D$3:$D$62,"CC")+COUNTIF(ASCOPE_PMESII!$F$3:$F$62,"CC")),IFERROR(INDEX(ASCOPE_PMESII!$G$3:$G$62,_xlfn.AGGREGATE(15,6,(ROW(ASCOPE_PMESII!$F$3:$F$62)-ROW(ASCOPE_PMESII!$F$3)+1)/(ASCOPE_PMESII!$F$3:$F$62="CC"),31-(COUNTIF(ASCOPE_PMESII!$B$3:$B$62,"CC")+COUNTIF(ASCOPE_PMESII!$D$3:$D$62,"CC")))),""),IF(31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31-(COUNTIF(ASCOPE_PMESII!$B$3:$B$62,"CC")+COUNTIF(ASCOPE_PMESII!$D$3:$D$62,"CC")+COUNTIF(ASCOPE_PMESII!$F$3:$F$62,"CC")))),""),IF(31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31-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31-(COUNTIF(ASCOPE_PMESII!$B$3:$B$62,"CC")+COUNTIF(ASCOPE_PMESII!$D$3:$D$62,"CC")+COUNTIF(ASCOPE_PMESII!$F$3:$F$62,"CC")+COUNTIF(ASCOPE_PMESII!$H$3:$H$62,"CC")+COUNTIF(ASCOPE_PMESII!$J$3:$J$62,"CC")))),"")))))),"")</f>
        <v>Hasan's charisma holds disparate factions together</v>
      </c>
      <c r="Q34" s="21" t="str">
        <f t="array" ref="Q34">IFERROR(IF(31&lt;=COUNTIF(ASCOPE_PMESII!$B$3:$B$62,"CR"),IFERROR(INDEX(ASCOPE_PMESII!$C$3:$C$62,_xlfn.AGGREGATE(15,6,(ROW(ASCOPE_PMESII!$B$3:$B$62)-ROW(ASCOPE_PMESII!$B$3)+1)/(ASCOPE_PMESII!$B$3:$B$62="CR"),31)),""),IF(31&lt;=(COUNTIF(ASCOPE_PMESII!$B$3:$B$62,"CR")+COUNTIF(ASCOPE_PMESII!$D$3:$D$62,"CR")),IFERROR(INDEX(ASCOPE_PMESII!$E$3:$E$62,_xlfn.AGGREGATE(15,6,(ROW(ASCOPE_PMESII!$D$3:$D$62)-ROW(ASCOPE_PMESII!$D$3)+1)/(ASCOPE_PMESII!$D$3:$D$62="CR"),31-(COUNTIF(ASCOPE_PMESII!$B$3:$B$62,"CR")))),""),IF(31&lt;=(COUNTIF(ASCOPE_PMESII!$B$3:$B$62,"CR")+COUNTIF(ASCOPE_PMESII!$D$3:$D$62,"CR")+COUNTIF(ASCOPE_PMESII!$F$3:$F$62,"CR")),IFERROR(INDEX(ASCOPE_PMESII!$G$3:$G$62,_xlfn.AGGREGATE(15,6,(ROW(ASCOPE_PMESII!$F$3:$F$62)-ROW(ASCOPE_PMESII!$F$3)+1)/(ASCOPE_PMESII!$F$3:$F$62="CR"),31-(COUNTIF(ASCOPE_PMESII!$B$3:$B$62,"CR")+COUNTIF(ASCOPE_PMESII!$D$3:$D$62,"CR")))),""),IF(31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31-(COUNTIF(ASCOPE_PMESII!$B$3:$B$62,"CR")+COUNTIF(ASCOPE_PMESII!$D$3:$D$62,"CR")+COUNTIF(ASCOPE_PMESII!$F$3:$F$62,"CR")))),""),IF(31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31-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31-(COUNTIF(ASCOPE_PMESII!$B$3:$B$62,"CR")+COUNTIF(ASCOPE_PMESII!$D$3:$D$62,"CR")+COUNTIF(ASCOPE_PMESII!$F$3:$F$62,"CR")+COUNTIF(ASCOPE_PMESII!$H$3:$H$62,"CR")+COUNTIF(ASCOPE_PMESII!$J$3:$J$62,"CR")))),"")))))),"")</f>
        <v>Rapid warning order to access decision sequence</v>
      </c>
      <c r="R34" s="94" t="str">
        <f t="array" ref="R34">IFERROR(IF(31&lt;=COUNTIF(ASCOPE_PMESII!$B$3:$B$62,"PCS"),IFERROR(INDEX(ASCOPE_PMESII!$C$3:$C$62,_xlfn.AGGREGATE(15,6,(ROW(ASCOPE_PMESII!$B$3:$B$62)-ROW(ASCOPE_PMESII!$B$3)+1)/(ASCOPE_PMESII!$B$3:$B$62="PCS"),31)),""),IF(31&lt;=(COUNTIF(ASCOPE_PMESII!$B$3:$B$62,"PCS")+COUNTIF(ASCOPE_PMESII!$D$3:$D$62,"PCS")),IFERROR(INDEX(ASCOPE_PMESII!$E$3:$E$62,_xlfn.AGGREGATE(15,6,(ROW(ASCOPE_PMESII!$D$3:$D$62)-ROW(ASCOPE_PMESII!$D$3)+1)/(ASCOPE_PMESII!$D$3:$D$62="PCS"),31-(COUNTIF(ASCOPE_PMESII!$B$3:$B$62,"PCS")))),""),IF(31&lt;=(COUNTIF(ASCOPE_PMESII!$B$3:$B$62,"PCS")+COUNTIF(ASCOPE_PMESII!$D$3:$D$62,"PCS")+COUNTIF(ASCOPE_PMESII!$F$3:$F$62,"PCS")),IFERROR(INDEX(ASCOPE_PMESII!$G$3:$G$62,_xlfn.AGGREGATE(15,6,(ROW(ASCOPE_PMESII!$F$3:$F$62)-ROW(ASCOPE_PMESII!$F$3)+1)/(ASCOPE_PMESII!$F$3:$F$62="PCS"),31-(COUNTIF(ASCOPE_PMESII!$B$3:$B$62,"PCS")+COUNTIF(ASCOPE_PMESII!$D$3:$D$62,"PCS")))),""),IF(31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31-(COUNTIF(ASCOPE_PMESII!$B$3:$B$62,"PCS")+COUNTIF(ASCOPE_PMESII!$D$3:$D$62,"PCS")+COUNTIF(ASCOPE_PMESII!$F$3:$F$62,"PCS")))),""),IF(31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31-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31-(COUNTIF(ASCOPE_PMESII!$B$3:$B$62,"PCS")+COUNTIF(ASCOPE_PMESII!$D$3:$D$62,"PCS")+COUNTIF(ASCOPE_PMESII!$F$3:$F$62,"PCS")+COUNTIF(ASCOPE_PMESII!$H$3:$H$62,"PCS")+COUNTIF(ASCOPE_PMESII!$J$3:$J$62,"PCS")))),"")))))),"")</f>
        <v/>
      </c>
    </row>
    <row r="35" spans="1:18" ht="34.5" customHeight="1">
      <c r="A35" s="22" t="str">
        <f t="array" ref="A35">IFERROR(IF(32&lt;=COUNTIF(ASCOPE_PMESII!$B$3:$B$62,"OE"),IFERROR(INDEX(ASCOPE_PMESII!$C$3:$C$62,_xlfn.AGGREGATE(15,6,(ROW(ASCOPE_PMESII!$B$3:$B$62)-ROW(ASCOPE_PMESII!$B$3)+1)/(ASCOPE_PMESII!$B$3:$B$62="OE"),32)),""),IF(32&lt;=(COUNTIF(ASCOPE_PMESII!$B$3:$B$62,"OE")+COUNTIF(ASCOPE_PMESII!$D$3:$D$62,"OE")),IFERROR(INDEX(ASCOPE_PMESII!$E$3:$E$62,_xlfn.AGGREGATE(15,6,(ROW(ASCOPE_PMESII!$D$3:$D$62)-ROW(ASCOPE_PMESII!$D$3)+1)/(ASCOPE_PMESII!$D$3:$D$62="OE"),32-(COUNTIF(ASCOPE_PMESII!$B$3:$B$62,"OE")))),""),IF(32&lt;=(COUNTIF(ASCOPE_PMESII!$B$3:$B$62,"OE")+COUNTIF(ASCOPE_PMESII!$D$3:$D$62,"OE")+COUNTIF(ASCOPE_PMESII!$F$3:$F$62,"OE")),IFERROR(INDEX(ASCOPE_PMESII!$G$3:$G$62,_xlfn.AGGREGATE(15,6,(ROW(ASCOPE_PMESII!$F$3:$F$62)-ROW(ASCOPE_PMESII!$F$3)+1)/(ASCOPE_PMESII!$F$3:$F$62="OE"),32-(COUNTIF(ASCOPE_PMESII!$B$3:$B$62,"OE")+COUNTIF(ASCOPE_PMESII!$D$3:$D$62,"OE")))),""),IF(32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32-(COUNTIF(ASCOPE_PMESII!$B$3:$B$62,"OE")+COUNTIF(ASCOPE_PMESII!$D$3:$D$62,"OE")+COUNTIF(ASCOPE_PMESII!$F$3:$F$62,"OE")))),""),IF(32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32-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32-(COUNTIF(ASCOPE_PMESII!$B$3:$B$62,"OE")+COUNTIF(ASCOPE_PMESII!$D$3:$D$62,"OE")+COUNTIF(ASCOPE_PMESII!$F$3:$F$62,"OE")+COUNTIF(ASCOPE_PMESII!$H$3:$H$62,"OE")+COUNTIF(ASCOPE_PMESII!$J$3:$J$62,"OE")))),"")))))),"")</f>
        <v/>
      </c>
      <c r="B35" s="22" t="str">
        <f t="array" ref="B35">IFERROR(IF(32&lt;=COUNTIF(ASCOPE_PMESII!$B$3:$B$62,"OA"),IFERROR(INDEX(ASCOPE_PMESII!$C$3:$C$62,_xlfn.AGGREGATE(15,6,(ROW(ASCOPE_PMESII!$B$3:$B$62)-ROW(ASCOPE_PMESII!$B$3)+1)/(ASCOPE_PMESII!$B$3:$B$62="OA"),32)),""),IF(32&lt;=(COUNTIF(ASCOPE_PMESII!$B$3:$B$62,"OA")+COUNTIF(ASCOPE_PMESII!$D$3:$D$62,"OA")),IFERROR(INDEX(ASCOPE_PMESII!$E$3:$E$62,_xlfn.AGGREGATE(15,6,(ROW(ASCOPE_PMESII!$D$3:$D$62)-ROW(ASCOPE_PMESII!$D$3)+1)/(ASCOPE_PMESII!$D$3:$D$62="OA"),32-(COUNTIF(ASCOPE_PMESII!$B$3:$B$62,"OA")))),""),IF(32&lt;=(COUNTIF(ASCOPE_PMESII!$B$3:$B$62,"OA")+COUNTIF(ASCOPE_PMESII!$D$3:$D$62,"OA")+COUNTIF(ASCOPE_PMESII!$F$3:$F$62,"OA")),IFERROR(INDEX(ASCOPE_PMESII!$G$3:$G$62,_xlfn.AGGREGATE(15,6,(ROW(ASCOPE_PMESII!$F$3:$F$62)-ROW(ASCOPE_PMESII!$F$3)+1)/(ASCOPE_PMESII!$F$3:$F$62="OA"),32-(COUNTIF(ASCOPE_PMESII!$B$3:$B$62,"OA")+COUNTIF(ASCOPE_PMESII!$D$3:$D$62,"OA")))),""),IF(32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32-(COUNTIF(ASCOPE_PMESII!$B$3:$B$62,"OA")+COUNTIF(ASCOPE_PMESII!$D$3:$D$62,"OA")+COUNTIF(ASCOPE_PMESII!$F$3:$F$62,"OA")))),""),IF(32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32-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32-(COUNTIF(ASCOPE_PMESII!$B$3:$B$62,"OA")+COUNTIF(ASCOPE_PMESII!$D$3:$D$62,"OA")+COUNTIF(ASCOPE_PMESII!$F$3:$F$62,"OA")+COUNTIF(ASCOPE_PMESII!$H$3:$H$62,"OA")+COUNTIF(ASCOPE_PMESII!$J$3:$J$62,"OA")))),"")))))),"")</f>
        <v/>
      </c>
      <c r="C35" s="22" t="str">
        <f t="array" ref="C35">IFERROR(IF(32&lt;=COUNTIF(ASCOPE_PMESII!$B$3:$B$62,"RISK"),IFERROR(INDEX(ASCOPE_PMESII!$C$3:$C$62,_xlfn.AGGREGATE(15,6,(ROW(ASCOPE_PMESII!$B$3:$B$62)-ROW(ASCOPE_PMESII!$B$3)+1)/(ASCOPE_PMESII!$B$3:$B$62="RISK"),32)),""),IF(32&lt;=(COUNTIF(ASCOPE_PMESII!$B$3:$B$62,"RISK")+COUNTIF(ASCOPE_PMESII!$D$3:$D$62,"RISK")),IFERROR(INDEX(ASCOPE_PMESII!$E$3:$E$62,_xlfn.AGGREGATE(15,6,(ROW(ASCOPE_PMESII!$D$3:$D$62)-ROW(ASCOPE_PMESII!$D$3)+1)/(ASCOPE_PMESII!$D$3:$D$62="RISK"),32-(COUNTIF(ASCOPE_PMESII!$B$3:$B$62,"RISK")))),""),IF(32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32-(COUNTIF(ASCOPE_PMESII!$B$3:$B$62,"RISK")+COUNTIF(ASCOPE_PMESII!$D$3:$D$62,"RISK")))),""),IF(32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32-(COUNTIF(ASCOPE_PMESII!$B$3:$B$62,"RISK")+COUNTIF(ASCOPE_PMESII!$D$3:$D$62,"RISK")+COUNTIF(ASCOPE_PMESII!$F$3:$F$62,"RISK")))),""),IF(32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32-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32-(COUNTIF(ASCOPE_PMESII!$B$3:$B$62,"RISK")+COUNTIF(ASCOPE_PMESII!$D$3:$D$62,"RISK")+COUNTIF(ASCOPE_PMESII!$F$3:$F$62,"RISK")+COUNTIF(ASCOPE_PMESII!$H$3:$H$62,"RISK")+COUNTIF(ASCOPE_PMESII!$J$3:$J$62,"RISK")))),"")))))),"")</f>
        <v>Late response lets IRS seize energy infrastructure</v>
      </c>
      <c r="D35" s="22" t="str">
        <f t="array" ref="D35">IFERROR(IF(32&lt;=COUNTIF(ASCOPE_PMESII!$B$3:$B$62,"CV"),IFERROR(INDEX(ASCOPE_PMESII!$C$3:$C$62,_xlfn.AGGREGATE(15,6,(ROW(ASCOPE_PMESII!$B$3:$B$62)-ROW(ASCOPE_PMESII!$B$3)+1)/(ASCOPE_PMESII!$B$3:$B$62="CV"),32)),""),IF(32&lt;=(COUNTIF(ASCOPE_PMESII!$B$3:$B$62,"CV")+COUNTIF(ASCOPE_PMESII!$D$3:$D$62,"CV")),IFERROR(INDEX(ASCOPE_PMESII!$E$3:$E$62,_xlfn.AGGREGATE(15,6,(ROW(ASCOPE_PMESII!$D$3:$D$62)-ROW(ASCOPE_PMESII!$D$3)+1)/(ASCOPE_PMESII!$D$3:$D$62="CV"),32-(COUNTIF(ASCOPE_PMESII!$B$3:$B$62,"CV")))),""),IF(32&lt;=(COUNTIF(ASCOPE_PMESII!$B$3:$B$62,"CV")+COUNTIF(ASCOPE_PMESII!$D$3:$D$62,"CV")+COUNTIF(ASCOPE_PMESII!$F$3:$F$62,"CV")),IFERROR(INDEX(ASCOPE_PMESII!$G$3:$G$62,_xlfn.AGGREGATE(15,6,(ROW(ASCOPE_PMESII!$F$3:$F$62)-ROW(ASCOPE_PMESII!$F$3)+1)/(ASCOPE_PMESII!$F$3:$F$62="CV"),32-(COUNTIF(ASCOPE_PMESII!$B$3:$B$62,"CV")+COUNTIF(ASCOPE_PMESII!$D$3:$D$62,"CV")))),""),IF(32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32-(COUNTIF(ASCOPE_PMESII!$B$3:$B$62,"CV")+COUNTIF(ASCOPE_PMESII!$D$3:$D$62,"CV")+COUNTIF(ASCOPE_PMESII!$F$3:$F$62,"CV")))),""),IF(32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32-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32-(COUNTIF(ASCOPE_PMESII!$B$3:$B$62,"CV")+COUNTIF(ASCOPE_PMESII!$D$3:$D$62,"CV")+COUNTIF(ASCOPE_PMESII!$F$3:$F$62,"CV")+COUNTIF(ASCOPE_PMESII!$H$3:$H$62,"CV")+COUNTIF(ASCOPE_PMESII!$J$3:$J$62,"CV")))),"")))))),"")</f>
        <v>IRS coalition contains incompatible political factions</v>
      </c>
      <c r="E35" s="22" t="str">
        <f t="array" ref="E35">IFERROR(IF(32&lt;=COUNTIF(ASCOPE_PMESII!$B$3:$B$62,"COR"),IFERROR(INDEX(ASCOPE_PMESII!$C$3:$C$62,_xlfn.AGGREGATE(15,6,(ROW(ASCOPE_PMESII!$B$3:$B$62)-ROW(ASCOPE_PMESII!$B$3)+1)/(ASCOPE_PMESII!$B$3:$B$62="COR"),32)),""),IF(32&lt;=(COUNTIF(ASCOPE_PMESII!$B$3:$B$62,"COR")+COUNTIF(ASCOPE_PMESII!$D$3:$D$62,"COR")),IFERROR(INDEX(ASCOPE_PMESII!$E$3:$E$62,_xlfn.AGGREGATE(15,6,(ROW(ASCOPE_PMESII!$D$3:$D$62)-ROW(ASCOPE_PMESII!$D$3)+1)/(ASCOPE_PMESII!$D$3:$D$62="COR"),32-(COUNTIF(ASCOPE_PMESII!$B$3:$B$62,"COR")))),""),IF(32&lt;=(COUNTIF(ASCOPE_PMESII!$B$3:$B$62,"COR")+COUNTIF(ASCOPE_PMESII!$D$3:$D$62,"COR")+COUNTIF(ASCOPE_PMESII!$F$3:$F$62,"COR")),IFERROR(INDEX(ASCOPE_PMESII!$G$3:$G$62,_xlfn.AGGREGATE(15,6,(ROW(ASCOPE_PMESII!$F$3:$F$62)-ROW(ASCOPE_PMESII!$F$3)+1)/(ASCOPE_PMESII!$F$3:$F$62="COR"),32-(COUNTIF(ASCOPE_PMESII!$B$3:$B$62,"COR")+COUNTIF(ASCOPE_PMESII!$D$3:$D$62,"COR")))),""),IF(32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32-(COUNTIF(ASCOPE_PMESII!$B$3:$B$62,"COR")+COUNTIF(ASCOPE_PMESII!$D$3:$D$62,"COR")+COUNTIF(ASCOPE_PMESII!$F$3:$F$62,"COR")))),""),IF(32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32-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32-(COUNTIF(ASCOPE_PMESII!$B$3:$B$62,"COR")+COUNTIF(ASCOPE_PMESII!$D$3:$D$62,"COR")+COUNTIF(ASCOPE_PMESII!$F$3:$F$62,"COR")+COUNTIF(ASCOPE_PMESII!$H$3:$H$62,"COR")+COUNTIF(ASCOPE_PMESII!$J$3:$J$62,"COR")))),"")))))),"")</f>
        <v>Incident response cell active before first kinetic action</v>
      </c>
      <c r="F35" s="22" t="str">
        <f t="array" ref="F35">IFERROR(IF(32&lt;=COUNTIF(ASCOPE_PMESII!$B$3:$B$62,"REQT"),IFERROR(INDEX(ASCOPE_PMESII!$C$3:$C$62,_xlfn.AGGREGATE(15,6,(ROW(ASCOPE_PMESII!$B$3:$B$62)-ROW(ASCOPE_PMESII!$B$3)+1)/(ASCOPE_PMESII!$B$3:$B$62="REQT"),32)),""),IF(32&lt;=(COUNTIF(ASCOPE_PMESII!$B$3:$B$62,"REQT")+COUNTIF(ASCOPE_PMESII!$D$3:$D$62,"REQT")),IFERROR(INDEX(ASCOPE_PMESII!$E$3:$E$62,_xlfn.AGGREGATE(15,6,(ROW(ASCOPE_PMESII!$D$3:$D$62)-ROW(ASCOPE_PMESII!$D$3)+1)/(ASCOPE_PMESII!$D$3:$D$62="REQT"),32-(COUNTIF(ASCOPE_PMESII!$B$3:$B$62,"REQT")))),""),IF(32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32-(COUNTIF(ASCOPE_PMESII!$B$3:$B$62,"REQT")+COUNTIF(ASCOPE_PMESII!$D$3:$D$62,"REQT")))),""),IF(32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32-(COUNTIF(ASCOPE_PMESII!$B$3:$B$62,"REQT")+COUNTIF(ASCOPE_PMESII!$D$3:$D$62,"REQT")+COUNTIF(ASCOPE_PMESII!$F$3:$F$62,"REQT")))),""),IF(32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32-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32-(COUNTIF(ASCOPE_PMESII!$B$3:$B$62,"REQT")+COUNTIF(ASCOPE_PMESII!$D$3:$D$62,"REQT")+COUNTIF(ASCOPE_PMESII!$F$3:$F$62,"REQT")+COUNTIF(ASCOPE_PMESII!$H$3:$H$62,"REQT")+COUNTIF(ASCOPE_PMESII!$J$3:$J$62,"REQT")))),"")))))),"")</f>
        <v/>
      </c>
      <c r="G35" s="22" t="str">
        <f t="array" ref="G35">IFERROR(IF(32&lt;=COUNTIF(ASCOPE_PMESII!$B$3:$B$62,"REST"),IFERROR(INDEX(ASCOPE_PMESII!$C$3:$C$62,_xlfn.AGGREGATE(15,6,(ROW(ASCOPE_PMESII!$B$3:$B$62)-ROW(ASCOPE_PMESII!$B$3)+1)/(ASCOPE_PMESII!$B$3:$B$62="REST"),32)),""),IF(32&lt;=(COUNTIF(ASCOPE_PMESII!$B$3:$B$62,"REST")+COUNTIF(ASCOPE_PMESII!$D$3:$D$62,"REST")),IFERROR(INDEX(ASCOPE_PMESII!$E$3:$E$62,_xlfn.AGGREGATE(15,6,(ROW(ASCOPE_PMESII!$D$3:$D$62)-ROW(ASCOPE_PMESII!$D$3)+1)/(ASCOPE_PMESII!$D$3:$D$62="REST"),32-(COUNTIF(ASCOPE_PMESII!$B$3:$B$62,"REST")))),""),IF(32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32-(COUNTIF(ASCOPE_PMESII!$B$3:$B$62,"REST")+COUNTIF(ASCOPE_PMESII!$D$3:$D$62,"REST")))),""),IF(32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32-(COUNTIF(ASCOPE_PMESII!$B$3:$B$62,"REST")+COUNTIF(ASCOPE_PMESII!$D$3:$D$62,"REST")+COUNTIF(ASCOPE_PMESII!$F$3:$F$62,"REST")))),""),IF(32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32-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32-(COUNTIF(ASCOPE_PMESII!$B$3:$B$62,"REST")+COUNTIF(ASCOPE_PMESII!$D$3:$D$62,"REST")+COUNTIF(ASCOPE_PMESII!$F$3:$F$62,"REST")+COUNTIF(ASCOPE_PMESII!$H$3:$H$62,"REST")+COUNTIF(ASCOPE_PMESII!$J$3:$J$62,"REST")))),"")))))),"")</f>
        <v/>
      </c>
      <c r="H35" s="22" t="str">
        <f t="array" ref="H35">IFERROR(IF(32&lt;=COUNTIF(ASCOPE_PMESII!$B$3:$B$62,"KCD-MUST"),IFERROR(INDEX(ASCOPE_PMESII!$C$3:$C$62,_xlfn.AGGREGATE(15,6,(ROW(ASCOPE_PMESII!$B$3:$B$62)-ROW(ASCOPE_PMESII!$B$3)+1)/(ASCOPE_PMESII!$B$3:$B$62="KCD-MUST"),32)),""),IF(32&lt;=(COUNTIF(ASCOPE_PMESII!$B$3:$B$62,"KCD-MUST")+COUNTIF(ASCOPE_PMESII!$D$3:$D$62,"KCD-MUST")),IFERROR(INDEX(ASCOPE_PMESII!$E$3:$E$62,_xlfn.AGGREGATE(15,6,(ROW(ASCOPE_PMESII!$D$3:$D$62)-ROW(ASCOPE_PMESII!$D$3)+1)/(ASCOPE_PMESII!$D$3:$D$62="KCD-MUST"),32-(COUNTIF(ASCOPE_PMESII!$B$3:$B$62,"KCD-MUST")))),""),IF(32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32-(COUNTIF(ASCOPE_PMESII!$B$3:$B$62,"KCD-MUST")+COUNTIF(ASCOPE_PMESII!$D$3:$D$62,"KCD-MUST")))),""),IF(32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32-(COUNTIF(ASCOPE_PMESII!$B$3:$B$62,"KCD-MUST")+COUNTIF(ASCOPE_PMESII!$D$3:$D$62,"KCD-MUST")+COUNTIF(ASCOPE_PMESII!$F$3:$F$62,"KCD-MUST")))),""),IF(32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32-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32-(COUNTIF(ASCOPE_PMESII!$B$3:$B$62,"KCD-MUST")+COUNTIF(ASCOPE_PMESII!$D$3:$D$62,"KCD-MUST")+COUNTIF(ASCOPE_PMESII!$F$3:$F$62,"KCD-MUST")+COUNTIF(ASCOPE_PMESII!$H$3:$H$62,"KCD-MUST")+COUNTIF(ASCOPE_PMESII!$J$3:$J$62,"KCD-MUST")))),"")))))),"")</f>
        <v>Block offensive before Langsa defence collapses</v>
      </c>
      <c r="I35" s="22" t="str">
        <f t="array" ref="I35">IFERROR(IF(32&lt;=COUNTIF(ASCOPE_PMESII!$B$3:$B$62,"KCD-SHOULD"),IFERROR(INDEX(ASCOPE_PMESII!$C$3:$C$62,_xlfn.AGGREGATE(15,6,(ROW(ASCOPE_PMESII!$B$3:$B$62)-ROW(ASCOPE_PMESII!$B$3)+1)/(ASCOPE_PMESII!$B$3:$B$62="KCD-SHOULD"),32)),""),IF(32&lt;=(COUNTIF(ASCOPE_PMESII!$B$3:$B$62,"KCD-SHOULD")+COUNTIF(ASCOPE_PMESII!$D$3:$D$62,"KCD-SHOULD")),IFERROR(INDEX(ASCOPE_PMESII!$E$3:$E$62,_xlfn.AGGREGATE(15,6,(ROW(ASCOPE_PMESII!$D$3:$D$62)-ROW(ASCOPE_PMESII!$D$3)+1)/(ASCOPE_PMESII!$D$3:$D$62="KCD-SHOULD"),32-(COUNTIF(ASCOPE_PMESII!$B$3:$B$62,"KCD-SHOULD")))),""),IF(32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32-(COUNTIF(ASCOPE_PMESII!$B$3:$B$62,"KCD-SHOULD")+COUNTIF(ASCOPE_PMESII!$D$3:$D$62,"KCD-SHOULD")))),""),IF(32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32-(COUNTIF(ASCOPE_PMESII!$B$3:$B$62,"KCD-SHOULD")+COUNTIF(ASCOPE_PMESII!$D$3:$D$62,"KCD-SHOULD")+COUNTIF(ASCOPE_PMESII!$F$3:$F$62,"KCD-SHOULD")))),""),IF(32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32-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32-(COUNTIF(ASCOPE_PMESII!$B$3:$B$62,"KCD-SHOULD")+COUNTIF(ASCOPE_PMESII!$D$3:$D$62,"KCD-SHOULD")+COUNTIF(ASCOPE_PMESII!$F$3:$F$62,"KCD-SHOULD")+COUNTIF(ASCOPE_PMESII!$H$3:$H$62,"KCD-SHOULD")+COUNTIF(ASCOPE_PMESII!$J$3:$J$62,"KCD-SHOULD")))),"")))))),"")</f>
        <v>Prepare branches for MLCOA and MDCOA</v>
      </c>
      <c r="J35" s="22" t="str">
        <f t="array" ref="J35">IFERROR(IF(32&lt;=COUNTIF(ASCOPE_PMESII!$B$3:$B$62,"KCD-SHOULD NOT"),IFERROR(INDEX(ASCOPE_PMESII!$C$3:$C$62,_xlfn.AGGREGATE(15,6,(ROW(ASCOPE_PMESII!$B$3:$B$62)-ROW(ASCOPE_PMESII!$B$3)+1)/(ASCOPE_PMESII!$B$3:$B$62="KCD-SHOULD NOT"),32)),""),IF(32&lt;=(COUNTIF(ASCOPE_PMESII!$B$3:$B$62,"KCD-SHOULD NOT")+COUNTIF(ASCOPE_PMESII!$D$3:$D$62,"KCD-SHOULD NOT")),IFERROR(INDEX(ASCOPE_PMESII!$E$3:$E$62,_xlfn.AGGREGATE(15,6,(ROW(ASCOPE_PMESII!$D$3:$D$62)-ROW(ASCOPE_PMESII!$D$3)+1)/(ASCOPE_PMESII!$D$3:$D$62="KCD-SHOULD NOT"),32-(COUNTIF(ASCOPE_PMESII!$B$3:$B$62,"KCD-SHOULD NOT")))),""),IF(32&lt;=(COUNTIF(ASCOPE_PMESII!$B$3:$B$62,"KCD-SHOULD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NOT"),32-(COUNTIF(ASCOPE_PMESII!$B$3:$B$62,"KCD-SHOULD NOT")+COUNTIF(ASCOPE_PMESII!$D$3:$D$62,"KCD-SHOULD NOT")))),""),IF(32&lt;=(COUNTIF(ASCOPE_PMESII!$B$3:$B$62,"KCD-SHOULD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NOT"),32-(COUNTIF(ASCOPE_PMESII!$B$3:$B$62,"KCD-SHOULD NOT")+COUNTIF(ASCOPE_PMESII!$D$3:$D$62,"KCD-SHOULD NOT")+COUNTIF(ASCOPE_PMESII!$F$3:$F$62,"KCD-SHOULD NOT")))),""),IF(32&lt;=(COUNTIF(ASCOPE_PMESII!$B$3:$B$62,"KCD-SHOULD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NOT"),32-(COUNTIF(ASCOPE_PMESII!$B$3:$B$62,"KCD-SHOULD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NOT"),32-(COUNTIF(ASCOPE_PMESII!$B$3:$B$62,"KCD-SHOULD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35" s="22" t="str">
        <f t="array" ref="K35">IFERROR(IF(32&lt;=COUNTIF(ASCOPE_PMESII!$B$3:$B$62,"KCD-CANNOT"),IFERROR(INDEX(ASCOPE_PMESII!$C$3:$C$62,_xlfn.AGGREGATE(15,6,(ROW(ASCOPE_PMESII!$B$3:$B$62)-ROW(ASCOPE_PMESII!$B$3)+1)/(ASCOPE_PMESII!$B$3:$B$62="KCD-CANNOT"),32)),""),IF(32&lt;=(COUNTIF(ASCOPE_PMESII!$B$3:$B$62,"KCD-CANNOT")+COUNTIF(ASCOPE_PMESII!$D$3:$D$62,"KCD-CANNOT")),IFERROR(INDEX(ASCOPE_PMESII!$E$3:$E$62,_xlfn.AGGREGATE(15,6,(ROW(ASCOPE_PMESII!$D$3:$D$62)-ROW(ASCOPE_PMESII!$D$3)+1)/(ASCOPE_PMESII!$D$3:$D$62="KCD-CANNOT"),32-(COUNTIF(ASCOPE_PMESII!$B$3:$B$62,"KCD-CANNOT")))),""),IF(32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32-(COUNTIF(ASCOPE_PMESII!$B$3:$B$62,"KCD-CANNOT")+COUNTIF(ASCOPE_PMESII!$D$3:$D$62,"KCD-CANNOT")))),""),IF(32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32-(COUNTIF(ASCOPE_PMESII!$B$3:$B$62,"KCD-CANNOT")+COUNTIF(ASCOPE_PMESII!$D$3:$D$62,"KCD-CANNOT")+COUNTIF(ASCOPE_PMESII!$F$3:$F$62,"KCD-CANNOT")))),""),IF(32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32-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32-(COUNTIF(ASCOPE_PMESII!$B$3:$B$62,"KCD-CANNOT")+COUNTIF(ASCOPE_PMESII!$D$3:$D$62,"KCD-CANNOT")+COUNTIF(ASCOPE_PMESII!$F$3:$F$62,"KCD-CANNOT")+COUNTIF(ASCOPE_PMESII!$H$3:$H$62,"KCD-CANNOT")+COUNTIF(ASCOPE_PMESII!$J$3:$J$62,"KCD-CANNOT")))),"")))))),"")</f>
        <v>Cannot treat naval patrols as routine policing</v>
      </c>
      <c r="L35" s="22" t="str">
        <f t="array" ref="L35">IFERROR(IF(32&lt;=COUNTIF(ASCOPE_PMESII!$B$3:$B$62,"DECISION"),IFERROR(INDEX(ASCOPE_PMESII!$C$3:$C$62,_xlfn.AGGREGATE(15,6,(ROW(ASCOPE_PMESII!$B$3:$B$62)-ROW(ASCOPE_PMESII!$B$3)+1)/(ASCOPE_PMESII!$B$3:$B$62="DECISION"),32)),""),IF(32&lt;=(COUNTIF(ASCOPE_PMESII!$B$3:$B$62,"DECISION")+COUNTIF(ASCOPE_PMESII!$D$3:$D$62,"DECISION")),IFERROR(INDEX(ASCOPE_PMESII!$E$3:$E$62,_xlfn.AGGREGATE(15,6,(ROW(ASCOPE_PMESII!$D$3:$D$62)-ROW(ASCOPE_PMESII!$D$3)+1)/(ASCOPE_PMESII!$D$3:$D$62="DECISION"),32-(COUNTIF(ASCOPE_PMESII!$B$3:$B$62,"DECISION")))),""),IF(32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32-(COUNTIF(ASCOPE_PMESII!$B$3:$B$62,"DECISION")+COUNTIF(ASCOPE_PMESII!$D$3:$D$62,"DECISION")))),""),IF(32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32-(COUNTIF(ASCOPE_PMESII!$B$3:$B$62,"DECISION")+COUNTIF(ASCOPE_PMESII!$D$3:$D$62,"DECISION")+COUNTIF(ASCOPE_PMESII!$F$3:$F$62,"DECISION")))),""),IF(32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32-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32-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35" s="22" t="str">
        <f t="array" ref="M35">IFERROR(IF(32&lt;=COUNTIF(ASCOPE_PMESII!$B$3:$B$62,"ASSUMPTION"),IFERROR(INDEX(ASCOPE_PMESII!$C$3:$C$62,_xlfn.AGGREGATE(15,6,(ROW(ASCOPE_PMESII!$B$3:$B$62)-ROW(ASCOPE_PMESII!$B$3)+1)/(ASCOPE_PMESII!$B$3:$B$62="ASSUMPTION"),32)),""),IF(32&lt;=(COUNTIF(ASCOPE_PMESII!$B$3:$B$62,"ASSUMPTION")+COUNTIF(ASCOPE_PMESII!$D$3:$D$62,"ASSUMPTION")),IFERROR(INDEX(ASCOPE_PMESII!$E$3:$E$62,_xlfn.AGGREGATE(15,6,(ROW(ASCOPE_PMESII!$D$3:$D$62)-ROW(ASCOPE_PMESII!$D$3)+1)/(ASCOPE_PMESII!$D$3:$D$62="ASSUMPTION"),32-(COUNTIF(ASCOPE_PMESII!$B$3:$B$62,"ASSUMPTION")))),""),IF(32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32-(COUNTIF(ASCOPE_PMESII!$B$3:$B$62,"ASSUMPTION")+COUNTIF(ASCOPE_PMESII!$D$3:$D$62,"ASSUMPTION")))),""),IF(32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32-(COUNTIF(ASCOPE_PMESII!$B$3:$B$62,"ASSUMPTION")+COUNTIF(ASCOPE_PMESII!$D$3:$D$62,"ASSUMPTION")+COUNTIF(ASCOPE_PMESII!$F$3:$F$62,"ASSUMPTION")))),""),IF(32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32-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32-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35" s="22" t="str">
        <f t="array" ref="N35">IFERROR(IF(32&lt;=COUNTIF(ASCOPE_PMESII!$B$3:$B$62,"CONSTRAINT"),IFERROR(INDEX(ASCOPE_PMESII!$C$3:$C$62,_xlfn.AGGREGATE(15,6,(ROW(ASCOPE_PMESII!$B$3:$B$62)-ROW(ASCOPE_PMESII!$B$3)+1)/(ASCOPE_PMESII!$B$3:$B$62="CONSTRAINT"),32)),""),IF(32&lt;=(COUNTIF(ASCOPE_PMESII!$B$3:$B$62,"CONSTRAINT")+COUNTIF(ASCOPE_PMESII!$D$3:$D$62,"CONSTRAINT")),IFERROR(INDEX(ASCOPE_PMESII!$E$3:$E$62,_xlfn.AGGREGATE(15,6,(ROW(ASCOPE_PMESII!$D$3:$D$62)-ROW(ASCOPE_PMESII!$D$3)+1)/(ASCOPE_PMESII!$D$3:$D$62="CONSTRAINT"),32-(COUNTIF(ASCOPE_PMESII!$B$3:$B$62,"CONSTRAINT")))),""),IF(32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32-(COUNTIF(ASCOPE_PMESII!$B$3:$B$62,"CONSTRAINT")+COUNTIF(ASCOPE_PMESII!$D$3:$D$62,"CONSTRAINT")))),""),IF(32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32-(COUNTIF(ASCOPE_PMESII!$B$3:$B$62,"CONSTRAINT")+COUNTIF(ASCOPE_PMESII!$D$3:$D$62,"CONSTRAINT")+COUNTIF(ASCOPE_PMESII!$F$3:$F$62,"CONSTRAINT")))),""),IF(32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32-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32-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35" s="22" t="str">
        <f t="array" ref="O35">IFERROR(IF(32&lt;=COUNTIF(ASCOPE_PMESII!$B$3:$B$62,"LIMITATION"),IFERROR(INDEX(ASCOPE_PMESII!$C$3:$C$62,_xlfn.AGGREGATE(15,6,(ROW(ASCOPE_PMESII!$B$3:$B$62)-ROW(ASCOPE_PMESII!$B$3)+1)/(ASCOPE_PMESII!$B$3:$B$62="LIMITATION"),32)),""),IF(32&lt;=(COUNTIF(ASCOPE_PMESII!$B$3:$B$62,"LIMITATION")+COUNTIF(ASCOPE_PMESII!$D$3:$D$62,"LIMITATION")),IFERROR(INDEX(ASCOPE_PMESII!$E$3:$E$62,_xlfn.AGGREGATE(15,6,(ROW(ASCOPE_PMESII!$D$3:$D$62)-ROW(ASCOPE_PMESII!$D$3)+1)/(ASCOPE_PMESII!$D$3:$D$62="LIMITATION"),32-(COUNTIF(ASCOPE_PMESII!$B$3:$B$62,"LIMITATION")))),""),IF(32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32-(COUNTIF(ASCOPE_PMESII!$B$3:$B$62,"LIMITATION")+COUNTIF(ASCOPE_PMESII!$D$3:$D$62,"LIMITATION")))),""),IF(32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32-(COUNTIF(ASCOPE_PMESII!$B$3:$B$62,"LIMITATION")+COUNTIF(ASCOPE_PMESII!$D$3:$D$62,"LIMITATION")+COUNTIF(ASCOPE_PMESII!$F$3:$F$62,"LIMITATION")))),""),IF(32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32-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32-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35" s="22" t="str">
        <f t="array" ref="P35">IFERROR(IF(32&lt;=COUNTIF(ASCOPE_PMESII!$B$3:$B$62,"CC"),IFERROR(INDEX(ASCOPE_PMESII!$C$3:$C$62,_xlfn.AGGREGATE(15,6,(ROW(ASCOPE_PMESII!$B$3:$B$62)-ROW(ASCOPE_PMESII!$B$3)+1)/(ASCOPE_PMESII!$B$3:$B$62="CC"),32)),""),IF(32&lt;=(COUNTIF(ASCOPE_PMESII!$B$3:$B$62,"CC")+COUNTIF(ASCOPE_PMESII!$D$3:$D$62,"CC")),IFERROR(INDEX(ASCOPE_PMESII!$E$3:$E$62,_xlfn.AGGREGATE(15,6,(ROW(ASCOPE_PMESII!$D$3:$D$62)-ROW(ASCOPE_PMESII!$D$3)+1)/(ASCOPE_PMESII!$D$3:$D$62="CC"),32-(COUNTIF(ASCOPE_PMESII!$B$3:$B$62,"CC")))),""),IF(32&lt;=(COUNTIF(ASCOPE_PMESII!$B$3:$B$62,"CC")+COUNTIF(ASCOPE_PMESII!$D$3:$D$62,"CC")+COUNTIF(ASCOPE_PMESII!$F$3:$F$62,"CC")),IFERROR(INDEX(ASCOPE_PMESII!$G$3:$G$62,_xlfn.AGGREGATE(15,6,(ROW(ASCOPE_PMESII!$F$3:$F$62)-ROW(ASCOPE_PMESII!$F$3)+1)/(ASCOPE_PMESII!$F$3:$F$62="CC"),32-(COUNTIF(ASCOPE_PMESII!$B$3:$B$62,"CC")+COUNTIF(ASCOPE_PMESII!$D$3:$D$62,"CC")))),""),IF(32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32-(COUNTIF(ASCOPE_PMESII!$B$3:$B$62,"CC")+COUNTIF(ASCOPE_PMESII!$D$3:$D$62,"CC")+COUNTIF(ASCOPE_PMESII!$F$3:$F$62,"CC")))),""),IF(32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32-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32-(COUNTIF(ASCOPE_PMESII!$B$3:$B$62,"CC")+COUNTIF(ASCOPE_PMESII!$D$3:$D$62,"CC")+COUNTIF(ASCOPE_PMESII!$F$3:$F$62,"CC")+COUNTIF(ASCOPE_PMESII!$H$3:$H$62,"CC")+COUNTIF(ASCOPE_PMESII!$J$3:$J$62,"CC")))),"")))))),"")</f>
        <v>95 percent of KODAM 1 shifted loyalty</v>
      </c>
      <c r="Q35" s="22" t="str">
        <f t="array" ref="Q35">IFERROR(IF(32&lt;=COUNTIF(ASCOPE_PMESII!$B$3:$B$62,"CR"),IFERROR(INDEX(ASCOPE_PMESII!$C$3:$C$62,_xlfn.AGGREGATE(15,6,(ROW(ASCOPE_PMESII!$B$3:$B$62)-ROW(ASCOPE_PMESII!$B$3)+1)/(ASCOPE_PMESII!$B$3:$B$62="CR"),32)),""),IF(32&lt;=(COUNTIF(ASCOPE_PMESII!$B$3:$B$62,"CR")+COUNTIF(ASCOPE_PMESII!$D$3:$D$62,"CR")),IFERROR(INDEX(ASCOPE_PMESII!$E$3:$E$62,_xlfn.AGGREGATE(15,6,(ROW(ASCOPE_PMESII!$D$3:$D$62)-ROW(ASCOPE_PMESII!$D$3)+1)/(ASCOPE_PMESII!$D$3:$D$62="CR"),32-(COUNTIF(ASCOPE_PMESII!$B$3:$B$62,"CR")))),""),IF(32&lt;=(COUNTIF(ASCOPE_PMESII!$B$3:$B$62,"CR")+COUNTIF(ASCOPE_PMESII!$D$3:$D$62,"CR")+COUNTIF(ASCOPE_PMESII!$F$3:$F$62,"CR")),IFERROR(INDEX(ASCOPE_PMESII!$G$3:$G$62,_xlfn.AGGREGATE(15,6,(ROW(ASCOPE_PMESII!$F$3:$F$62)-ROW(ASCOPE_PMESII!$F$3)+1)/(ASCOPE_PMESII!$F$3:$F$62="CR"),32-(COUNTIF(ASCOPE_PMESII!$B$3:$B$62,"CR")+COUNTIF(ASCOPE_PMESII!$D$3:$D$62,"CR")))),""),IF(32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32-(COUNTIF(ASCOPE_PMESII!$B$3:$B$62,"CR")+COUNTIF(ASCOPE_PMESII!$D$3:$D$62,"CR")+COUNTIF(ASCOPE_PMESII!$F$3:$F$62,"CR")))),""),IF(32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32-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32-(COUNTIF(ASCOPE_PMESII!$B$3:$B$62,"CR")+COUNTIF(ASCOPE_PMESII!$D$3:$D$62,"CR")+COUNTIF(ASCOPE_PMESII!$F$3:$F$62,"CR")+COUNTIF(ASCOPE_PMESII!$H$3:$H$62,"CR")+COUNTIF(ASCOPE_PMESII!$J$3:$J$62,"CR")))),"")))))),"")</f>
        <v>Indications: artillery, staging, naval sorties, bridging</v>
      </c>
      <c r="R35" s="95" t="str">
        <f t="array" ref="R35">IFERROR(IF(32&lt;=COUNTIF(ASCOPE_PMESII!$B$3:$B$62,"PCS"),IFERROR(INDEX(ASCOPE_PMESII!$C$3:$C$62,_xlfn.AGGREGATE(15,6,(ROW(ASCOPE_PMESII!$B$3:$B$62)-ROW(ASCOPE_PMESII!$B$3)+1)/(ASCOPE_PMESII!$B$3:$B$62="PCS"),32)),""),IF(32&lt;=(COUNTIF(ASCOPE_PMESII!$B$3:$B$62,"PCS")+COUNTIF(ASCOPE_PMESII!$D$3:$D$62,"PCS")),IFERROR(INDEX(ASCOPE_PMESII!$E$3:$E$62,_xlfn.AGGREGATE(15,6,(ROW(ASCOPE_PMESII!$D$3:$D$62)-ROW(ASCOPE_PMESII!$D$3)+1)/(ASCOPE_PMESII!$D$3:$D$62="PCS"),32-(COUNTIF(ASCOPE_PMESII!$B$3:$B$62,"PCS")))),""),IF(32&lt;=(COUNTIF(ASCOPE_PMESII!$B$3:$B$62,"PCS")+COUNTIF(ASCOPE_PMESII!$D$3:$D$62,"PCS")+COUNTIF(ASCOPE_PMESII!$F$3:$F$62,"PCS")),IFERROR(INDEX(ASCOPE_PMESII!$G$3:$G$62,_xlfn.AGGREGATE(15,6,(ROW(ASCOPE_PMESII!$F$3:$F$62)-ROW(ASCOPE_PMESII!$F$3)+1)/(ASCOPE_PMESII!$F$3:$F$62="PCS"),32-(COUNTIF(ASCOPE_PMESII!$B$3:$B$62,"PCS")+COUNTIF(ASCOPE_PMESII!$D$3:$D$62,"PCS")))),""),IF(32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32-(COUNTIF(ASCOPE_PMESII!$B$3:$B$62,"PCS")+COUNTIF(ASCOPE_PMESII!$D$3:$D$62,"PCS")+COUNTIF(ASCOPE_PMESII!$F$3:$F$62,"PCS")))),""),IF(32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32-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32-(COUNTIF(ASCOPE_PMESII!$B$3:$B$62,"PCS")+COUNTIF(ASCOPE_PMESII!$D$3:$D$62,"PCS")+COUNTIF(ASCOPE_PMESII!$F$3:$F$62,"PCS")+COUNTIF(ASCOPE_PMESII!$H$3:$H$62,"PCS")+COUNTIF(ASCOPE_PMESII!$J$3:$J$62,"PCS")))),"")))))),"")</f>
        <v/>
      </c>
    </row>
    <row r="36" spans="1:18" ht="34.5" customHeight="1">
      <c r="A36" s="21" t="str">
        <f t="array" ref="A36">IFERROR(IF(33&lt;=COUNTIF(ASCOPE_PMESII!$B$3:$B$62,"OE"),IFERROR(INDEX(ASCOPE_PMESII!$C$3:$C$62,_xlfn.AGGREGATE(15,6,(ROW(ASCOPE_PMESII!$B$3:$B$62)-ROW(ASCOPE_PMESII!$B$3)+1)/(ASCOPE_PMESII!$B$3:$B$62="OE"),33)),""),IF(33&lt;=(COUNTIF(ASCOPE_PMESII!$B$3:$B$62,"OE")+COUNTIF(ASCOPE_PMESII!$D$3:$D$62,"OE")),IFERROR(INDEX(ASCOPE_PMESII!$E$3:$E$62,_xlfn.AGGREGATE(15,6,(ROW(ASCOPE_PMESII!$D$3:$D$62)-ROW(ASCOPE_PMESII!$D$3)+1)/(ASCOPE_PMESII!$D$3:$D$62="OE"),33-(COUNTIF(ASCOPE_PMESII!$B$3:$B$62,"OE")))),""),IF(33&lt;=(COUNTIF(ASCOPE_PMESII!$B$3:$B$62,"OE")+COUNTIF(ASCOPE_PMESII!$D$3:$D$62,"OE")+COUNTIF(ASCOPE_PMESII!$F$3:$F$62,"OE")),IFERROR(INDEX(ASCOPE_PMESII!$G$3:$G$62,_xlfn.AGGREGATE(15,6,(ROW(ASCOPE_PMESII!$F$3:$F$62)-ROW(ASCOPE_PMESII!$F$3)+1)/(ASCOPE_PMESII!$F$3:$F$62="OE"),33-(COUNTIF(ASCOPE_PMESII!$B$3:$B$62,"OE")+COUNTIF(ASCOPE_PMESII!$D$3:$D$62,"OE")))),""),IF(33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33-(COUNTIF(ASCOPE_PMESII!$B$3:$B$62,"OE")+COUNTIF(ASCOPE_PMESII!$D$3:$D$62,"OE")+COUNTIF(ASCOPE_PMESII!$F$3:$F$62,"OE")))),""),IF(33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33-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33-(COUNTIF(ASCOPE_PMESII!$B$3:$B$62,"OE")+COUNTIF(ASCOPE_PMESII!$D$3:$D$62,"OE")+COUNTIF(ASCOPE_PMESII!$F$3:$F$62,"OE")+COUNTIF(ASCOPE_PMESII!$H$3:$H$62,"OE")+COUNTIF(ASCOPE_PMESII!$J$3:$J$62,"OE")))),"")))))),"")</f>
        <v/>
      </c>
      <c r="B36" s="21" t="str">
        <f t="array" ref="B36">IFERROR(IF(33&lt;=COUNTIF(ASCOPE_PMESII!$B$3:$B$62,"OA"),IFERROR(INDEX(ASCOPE_PMESII!$C$3:$C$62,_xlfn.AGGREGATE(15,6,(ROW(ASCOPE_PMESII!$B$3:$B$62)-ROW(ASCOPE_PMESII!$B$3)+1)/(ASCOPE_PMESII!$B$3:$B$62="OA"),33)),""),IF(33&lt;=(COUNTIF(ASCOPE_PMESII!$B$3:$B$62,"OA")+COUNTIF(ASCOPE_PMESII!$D$3:$D$62,"OA")),IFERROR(INDEX(ASCOPE_PMESII!$E$3:$E$62,_xlfn.AGGREGATE(15,6,(ROW(ASCOPE_PMESII!$D$3:$D$62)-ROW(ASCOPE_PMESII!$D$3)+1)/(ASCOPE_PMESII!$D$3:$D$62="OA"),33-(COUNTIF(ASCOPE_PMESII!$B$3:$B$62,"OA")))),""),IF(33&lt;=(COUNTIF(ASCOPE_PMESII!$B$3:$B$62,"OA")+COUNTIF(ASCOPE_PMESII!$D$3:$D$62,"OA")+COUNTIF(ASCOPE_PMESII!$F$3:$F$62,"OA")),IFERROR(INDEX(ASCOPE_PMESII!$G$3:$G$62,_xlfn.AGGREGATE(15,6,(ROW(ASCOPE_PMESII!$F$3:$F$62)-ROW(ASCOPE_PMESII!$F$3)+1)/(ASCOPE_PMESII!$F$3:$F$62="OA"),33-(COUNTIF(ASCOPE_PMESII!$B$3:$B$62,"OA")+COUNTIF(ASCOPE_PMESII!$D$3:$D$62,"OA")))),""),IF(33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33-(COUNTIF(ASCOPE_PMESII!$B$3:$B$62,"OA")+COUNTIF(ASCOPE_PMESII!$D$3:$D$62,"OA")+COUNTIF(ASCOPE_PMESII!$F$3:$F$62,"OA")))),""),IF(33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33-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33-(COUNTIF(ASCOPE_PMESII!$B$3:$B$62,"OA")+COUNTIF(ASCOPE_PMESII!$D$3:$D$62,"OA")+COUNTIF(ASCOPE_PMESII!$F$3:$F$62,"OA")+COUNTIF(ASCOPE_PMESII!$H$3:$H$62,"OA")+COUNTIF(ASCOPE_PMESII!$J$3:$J$62,"OA")))),"")))))),"")</f>
        <v/>
      </c>
      <c r="C36" s="21" t="str">
        <f t="array" ref="C36">IFERROR(IF(33&lt;=COUNTIF(ASCOPE_PMESII!$B$3:$B$62,"RISK"),IFERROR(INDEX(ASCOPE_PMESII!$C$3:$C$62,_xlfn.AGGREGATE(15,6,(ROW(ASCOPE_PMESII!$B$3:$B$62)-ROW(ASCOPE_PMESII!$B$3)+1)/(ASCOPE_PMESII!$B$3:$B$62="RISK"),33)),""),IF(33&lt;=(COUNTIF(ASCOPE_PMESII!$B$3:$B$62,"RISK")+COUNTIF(ASCOPE_PMESII!$D$3:$D$62,"RISK")),IFERROR(INDEX(ASCOPE_PMESII!$E$3:$E$62,_xlfn.AGGREGATE(15,6,(ROW(ASCOPE_PMESII!$D$3:$D$62)-ROW(ASCOPE_PMESII!$D$3)+1)/(ASCOPE_PMESII!$D$3:$D$62="RISK"),33-(COUNTIF(ASCOPE_PMESII!$B$3:$B$62,"RISK")))),""),IF(33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33-(COUNTIF(ASCOPE_PMESII!$B$3:$B$62,"RISK")+COUNTIF(ASCOPE_PMESII!$D$3:$D$62,"RISK")))),""),IF(33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33-(COUNTIF(ASCOPE_PMESII!$B$3:$B$62,"RISK")+COUNTIF(ASCOPE_PMESII!$D$3:$D$62,"RISK")+COUNTIF(ASCOPE_PMESII!$F$3:$F$62,"RISK")))),""),IF(33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33-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33-(COUNTIF(ASCOPE_PMESII!$B$3:$B$62,"RISK")+COUNTIF(ASCOPE_PMESII!$D$3:$D$62,"RISK")+COUNTIF(ASCOPE_PMESII!$F$3:$F$62,"RISK")+COUNTIF(ASCOPE_PMESII!$H$3:$H$62,"RISK")+COUNTIF(ASCOPE_PMESII!$J$3:$J$62,"RISK")))),"")))))),"")</f>
        <v>Insurance reaction may close trade beyond JOA</v>
      </c>
      <c r="D36" s="21" t="str">
        <f t="array" ref="D36">IFERROR(IF(33&lt;=COUNTIF(ASCOPE_PMESII!$B$3:$B$62,"CV"),IFERROR(INDEX(ASCOPE_PMESII!$C$3:$C$62,_xlfn.AGGREGATE(15,6,(ROW(ASCOPE_PMESII!$B$3:$B$62)-ROW(ASCOPE_PMESII!$B$3)+1)/(ASCOPE_PMESII!$B$3:$B$62="CV"),33)),""),IF(33&lt;=(COUNTIF(ASCOPE_PMESII!$B$3:$B$62,"CV")+COUNTIF(ASCOPE_PMESII!$D$3:$D$62,"CV")),IFERROR(INDEX(ASCOPE_PMESII!$E$3:$E$62,_xlfn.AGGREGATE(15,6,(ROW(ASCOPE_PMESII!$D$3:$D$62)-ROW(ASCOPE_PMESII!$D$3)+1)/(ASCOPE_PMESII!$D$3:$D$62="CV"),33-(COUNTIF(ASCOPE_PMESII!$B$3:$B$62,"CV")))),""),IF(33&lt;=(COUNTIF(ASCOPE_PMESII!$B$3:$B$62,"CV")+COUNTIF(ASCOPE_PMESII!$D$3:$D$62,"CV")+COUNTIF(ASCOPE_PMESII!$F$3:$F$62,"CV")),IFERROR(INDEX(ASCOPE_PMESII!$G$3:$G$62,_xlfn.AGGREGATE(15,6,(ROW(ASCOPE_PMESII!$F$3:$F$62)-ROW(ASCOPE_PMESII!$F$3)+1)/(ASCOPE_PMESII!$F$3:$F$62="CV"),33-(COUNTIF(ASCOPE_PMESII!$B$3:$B$62,"CV")+COUNTIF(ASCOPE_PMESII!$D$3:$D$62,"CV")))),""),IF(33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33-(COUNTIF(ASCOPE_PMESII!$B$3:$B$62,"CV")+COUNTIF(ASCOPE_PMESII!$D$3:$D$62,"CV")+COUNTIF(ASCOPE_PMESII!$F$3:$F$62,"CV")))),""),IF(33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33-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33-(COUNTIF(ASCOPE_PMESII!$B$3:$B$62,"CV")+COUNTIF(ASCOPE_PMESII!$D$3:$D$62,"CV")+COUNTIF(ASCOPE_PMESII!$F$3:$F$62,"CV")+COUNTIF(ASCOPE_PMESII!$H$3:$H$62,"CV")+COUNTIF(ASCOPE_PMESII!$J$3:$J$62,"CV")))),"")))))),"")</f>
        <v>KODAM 1 loyalty is Hasan-dependent</v>
      </c>
      <c r="E36" s="21" t="str">
        <f t="array" ref="E36">IFERROR(IF(33&lt;=COUNTIF(ASCOPE_PMESII!$B$3:$B$62,"COR"),IFERROR(INDEX(ASCOPE_PMESII!$C$3:$C$62,_xlfn.AGGREGATE(15,6,(ROW(ASCOPE_PMESII!$B$3:$B$62)-ROW(ASCOPE_PMESII!$B$3)+1)/(ASCOPE_PMESII!$B$3:$B$62="COR"),33)),""),IF(33&lt;=(COUNTIF(ASCOPE_PMESII!$B$3:$B$62,"COR")+COUNTIF(ASCOPE_PMESII!$D$3:$D$62,"COR")),IFERROR(INDEX(ASCOPE_PMESII!$E$3:$E$62,_xlfn.AGGREGATE(15,6,(ROW(ASCOPE_PMESII!$D$3:$D$62)-ROW(ASCOPE_PMESII!$D$3)+1)/(ASCOPE_PMESII!$D$3:$D$62="COR"),33-(COUNTIF(ASCOPE_PMESII!$B$3:$B$62,"COR")))),""),IF(33&lt;=(COUNTIF(ASCOPE_PMESII!$B$3:$B$62,"COR")+COUNTIF(ASCOPE_PMESII!$D$3:$D$62,"COR")+COUNTIF(ASCOPE_PMESII!$F$3:$F$62,"COR")),IFERROR(INDEX(ASCOPE_PMESII!$G$3:$G$62,_xlfn.AGGREGATE(15,6,(ROW(ASCOPE_PMESII!$F$3:$F$62)-ROW(ASCOPE_PMESII!$F$3)+1)/(ASCOPE_PMESII!$F$3:$F$62="COR"),33-(COUNTIF(ASCOPE_PMESII!$B$3:$B$62,"COR")+COUNTIF(ASCOPE_PMESII!$D$3:$D$62,"COR")))),""),IF(33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33-(COUNTIF(ASCOPE_PMESII!$B$3:$B$62,"COR")+COUNTIF(ASCOPE_PMESII!$D$3:$D$62,"COR")+COUNTIF(ASCOPE_PMESII!$F$3:$F$62,"COR")))),""),IF(33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33-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33-(COUNTIF(ASCOPE_PMESII!$B$3:$B$62,"COR")+COUNTIF(ASCOPE_PMESII!$D$3:$D$62,"COR")+COUNTIF(ASCOPE_PMESII!$F$3:$F$62,"COR")+COUNTIF(ASCOPE_PMESII!$H$3:$H$62,"COR")+COUNTIF(ASCOPE_PMESII!$J$3:$J$62,"COR")))),"")))))),"")</f>
        <v>Deny early IRS diplomatic normalisation</v>
      </c>
      <c r="F36" s="21" t="str">
        <f t="array" ref="F36">IFERROR(IF(33&lt;=COUNTIF(ASCOPE_PMESII!$B$3:$B$62,"REQT"),IFERROR(INDEX(ASCOPE_PMESII!$C$3:$C$62,_xlfn.AGGREGATE(15,6,(ROW(ASCOPE_PMESII!$B$3:$B$62)-ROW(ASCOPE_PMESII!$B$3)+1)/(ASCOPE_PMESII!$B$3:$B$62="REQT"),33)),""),IF(33&lt;=(COUNTIF(ASCOPE_PMESII!$B$3:$B$62,"REQT")+COUNTIF(ASCOPE_PMESII!$D$3:$D$62,"REQT")),IFERROR(INDEX(ASCOPE_PMESII!$E$3:$E$62,_xlfn.AGGREGATE(15,6,(ROW(ASCOPE_PMESII!$D$3:$D$62)-ROW(ASCOPE_PMESII!$D$3)+1)/(ASCOPE_PMESII!$D$3:$D$62="REQT"),33-(COUNTIF(ASCOPE_PMESII!$B$3:$B$62,"REQT")))),""),IF(33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33-(COUNTIF(ASCOPE_PMESII!$B$3:$B$62,"REQT")+COUNTIF(ASCOPE_PMESII!$D$3:$D$62,"REQT")))),""),IF(33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33-(COUNTIF(ASCOPE_PMESII!$B$3:$B$62,"REQT")+COUNTIF(ASCOPE_PMESII!$D$3:$D$62,"REQT")+COUNTIF(ASCOPE_PMESII!$F$3:$F$62,"REQT")))),""),IF(33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33-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33-(COUNTIF(ASCOPE_PMESII!$B$3:$B$62,"REQT")+COUNTIF(ASCOPE_PMESII!$D$3:$D$62,"REQT")+COUNTIF(ASCOPE_PMESII!$F$3:$F$62,"REQT")+COUNTIF(ASCOPE_PMESII!$H$3:$H$62,"REQT")+COUNTIF(ASCOPE_PMESII!$J$3:$J$62,"REQT")))),"")))))),"")</f>
        <v/>
      </c>
      <c r="G36" s="21" t="str">
        <f t="array" ref="G36">IFERROR(IF(33&lt;=COUNTIF(ASCOPE_PMESII!$B$3:$B$62,"REST"),IFERROR(INDEX(ASCOPE_PMESII!$C$3:$C$62,_xlfn.AGGREGATE(15,6,(ROW(ASCOPE_PMESII!$B$3:$B$62)-ROW(ASCOPE_PMESII!$B$3)+1)/(ASCOPE_PMESII!$B$3:$B$62="REST"),33)),""),IF(33&lt;=(COUNTIF(ASCOPE_PMESII!$B$3:$B$62,"REST")+COUNTIF(ASCOPE_PMESII!$D$3:$D$62,"REST")),IFERROR(INDEX(ASCOPE_PMESII!$E$3:$E$62,_xlfn.AGGREGATE(15,6,(ROW(ASCOPE_PMESII!$D$3:$D$62)-ROW(ASCOPE_PMESII!$D$3)+1)/(ASCOPE_PMESII!$D$3:$D$62="REST"),33-(COUNTIF(ASCOPE_PMESII!$B$3:$B$62,"REST")))),""),IF(33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33-(COUNTIF(ASCOPE_PMESII!$B$3:$B$62,"REST")+COUNTIF(ASCOPE_PMESII!$D$3:$D$62,"REST")))),""),IF(33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33-(COUNTIF(ASCOPE_PMESII!$B$3:$B$62,"REST")+COUNTIF(ASCOPE_PMESII!$D$3:$D$62,"REST")+COUNTIF(ASCOPE_PMESII!$F$3:$F$62,"REST")))),""),IF(33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33-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33-(COUNTIF(ASCOPE_PMESII!$B$3:$B$62,"REST")+COUNTIF(ASCOPE_PMESII!$D$3:$D$62,"REST")+COUNTIF(ASCOPE_PMESII!$F$3:$F$62,"REST")+COUNTIF(ASCOPE_PMESII!$H$3:$H$62,"REST")+COUNTIF(ASCOPE_PMESII!$J$3:$J$62,"REST")))),"")))))),"")</f>
        <v/>
      </c>
      <c r="H36" s="21" t="str">
        <f t="array" ref="H36">IFERROR(IF(33&lt;=COUNTIF(ASCOPE_PMESII!$B$3:$B$62,"KCD-MUST"),IFERROR(INDEX(ASCOPE_PMESII!$C$3:$C$62,_xlfn.AGGREGATE(15,6,(ROW(ASCOPE_PMESII!$B$3:$B$62)-ROW(ASCOPE_PMESII!$B$3)+1)/(ASCOPE_PMESII!$B$3:$B$62="KCD-MUST"),33)),""),IF(33&lt;=(COUNTIF(ASCOPE_PMESII!$B$3:$B$62,"KCD-MUST")+COUNTIF(ASCOPE_PMESII!$D$3:$D$62,"KCD-MUST")),IFERROR(INDEX(ASCOPE_PMESII!$E$3:$E$62,_xlfn.AGGREGATE(15,6,(ROW(ASCOPE_PMESII!$D$3:$D$62)-ROW(ASCOPE_PMESII!$D$3)+1)/(ASCOPE_PMESII!$D$3:$D$62="KCD-MUST"),33-(COUNTIF(ASCOPE_PMESII!$B$3:$B$62,"KCD-MUST")))),""),IF(33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33-(COUNTIF(ASCOPE_PMESII!$B$3:$B$62,"KCD-MUST")+COUNTIF(ASCOPE_PMESII!$D$3:$D$62,"KCD-MUST")))),""),IF(33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33-(COUNTIF(ASCOPE_PMESII!$B$3:$B$62,"KCD-MUST")+COUNTIF(ASCOPE_PMESII!$D$3:$D$62,"KCD-MUST")+COUNTIF(ASCOPE_PMESII!$F$3:$F$62,"KCD-MUST")))),""),IF(33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33-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33-(COUNTIF(ASCOPE_PMESII!$B$3:$B$62,"KCD-MUST")+COUNTIF(ASCOPE_PMESII!$D$3:$D$62,"KCD-MUST")+COUNTIF(ASCOPE_PMESII!$F$3:$F$62,"KCD-MUST")+COUNTIF(ASCOPE_PMESII!$H$3:$H$62,"KCD-MUST")+COUNTIF(ASCOPE_PMESII!$J$3:$J$62,"KCD-MUST")))),"")))))),"")</f>
        <v>Control economic narrative before coercive tariffs bite</v>
      </c>
      <c r="I36" s="21" t="str">
        <f t="array" ref="I36">IFERROR(IF(33&lt;=COUNTIF(ASCOPE_PMESII!$B$3:$B$62,"KCD-SHOULD"),IFERROR(INDEX(ASCOPE_PMESII!$C$3:$C$62,_xlfn.AGGREGATE(15,6,(ROW(ASCOPE_PMESII!$B$3:$B$62)-ROW(ASCOPE_PMESII!$B$3)+1)/(ASCOPE_PMESII!$B$3:$B$62="KCD-SHOULD"),33)),""),IF(33&lt;=(COUNTIF(ASCOPE_PMESII!$B$3:$B$62,"KCD-SHOULD")+COUNTIF(ASCOPE_PMESII!$D$3:$D$62,"KCD-SHOULD")),IFERROR(INDEX(ASCOPE_PMESII!$E$3:$E$62,_xlfn.AGGREGATE(15,6,(ROW(ASCOPE_PMESII!$D$3:$D$62)-ROW(ASCOPE_PMESII!$D$3)+1)/(ASCOPE_PMESII!$D$3:$D$62="KCD-SHOULD"),33-(COUNTIF(ASCOPE_PMESII!$B$3:$B$62,"KCD-SHOULD")))),""),IF(33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33-(COUNTIF(ASCOPE_PMESII!$B$3:$B$62,"KCD-SHOULD")+COUNTIF(ASCOPE_PMESII!$D$3:$D$62,"KCD-SHOULD")))),""),IF(33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33-(COUNTIF(ASCOPE_PMESII!$B$3:$B$62,"KCD-SHOULD")+COUNTIF(ASCOPE_PMESII!$D$3:$D$62,"KCD-SHOULD")+COUNTIF(ASCOPE_PMESII!$F$3:$F$62,"KCD-SHOULD")))),""),IF(33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33-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33-(COUNTIF(ASCOPE_PMESII!$B$3:$B$62,"KCD-SHOULD")+COUNTIF(ASCOPE_PMESII!$D$3:$D$62,"KCD-SHOULD")+COUNTIF(ASCOPE_PMESII!$F$3:$F$62,"KCD-SHOULD")+COUNTIF(ASCOPE_PMESII!$H$3:$H$62,"KCD-SHOULD")+COUNTIF(ASCOPE_PMESII!$J$3:$J$62,"KCD-SHOULD")))),"")))))),"")</f>
        <v>Synchronise interdiction with public legal explanation</v>
      </c>
      <c r="J36" s="21" t="str">
        <f t="array" ref="J36">IFERROR(IF(33&lt;=COUNTIF(ASCOPE_PMESII!$B$3:$B$62,"KCD-SHOULD NOT"),IFERROR(INDEX(ASCOPE_PMESII!$C$3:$C$62,_xlfn.AGGREGATE(15,6,(ROW(ASCOPE_PMESII!$B$3:$B$62)-ROW(ASCOPE_PMESII!$B$3)+1)/(ASCOPE_PMESII!$B$3:$B$62="KCD-SHOULD NOT"),33)),""),IF(33&lt;=(COUNTIF(ASCOPE_PMESII!$B$3:$B$62,"KCD-SHOULD NOT")+COUNTIF(ASCOPE_PMESII!$D$3:$D$62,"KCD-SHOULD NOT")),IFERROR(INDEX(ASCOPE_PMESII!$E$3:$E$62,_xlfn.AGGREGATE(15,6,(ROW(ASCOPE_PMESII!$D$3:$D$62)-ROW(ASCOPE_PMESII!$D$3)+1)/(ASCOPE_PMESII!$D$3:$D$62="KCD-SHOULD NOT"),33-(COUNTIF(ASCOPE_PMESII!$B$3:$B$62,"KCD-SHOULD NOT")))),""),IF(33&lt;=(COUNTIF(ASCOPE_PMESII!$B$3:$B$62,"KCD-SHOULD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NOT"),33-(COUNTIF(ASCOPE_PMESII!$B$3:$B$62,"KCD-SHOULD NOT")+COUNTIF(ASCOPE_PMESII!$D$3:$D$62,"KCD-SHOULD NOT")))),""),IF(33&lt;=(COUNTIF(ASCOPE_PMESII!$B$3:$B$62,"KCD-SHOULD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NOT"),33-(COUNTIF(ASCOPE_PMESII!$B$3:$B$62,"KCD-SHOULD NOT")+COUNTIF(ASCOPE_PMESII!$D$3:$D$62,"KCD-SHOULD NOT")+COUNTIF(ASCOPE_PMESII!$F$3:$F$62,"KCD-SHOULD NOT")))),""),IF(33&lt;=(COUNTIF(ASCOPE_PMESII!$B$3:$B$62,"KCD-SHOULD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NOT"),33-(COUNTIF(ASCOPE_PMESII!$B$3:$B$62,"KCD-SHOULD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NOT"),33-(COUNTIF(ASCOPE_PMESII!$B$3:$B$62,"KCD-SHOULD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36" s="21" t="str">
        <f t="array" ref="K36">IFERROR(IF(33&lt;=COUNTIF(ASCOPE_PMESII!$B$3:$B$62,"KCD-CANNOT"),IFERROR(INDEX(ASCOPE_PMESII!$C$3:$C$62,_xlfn.AGGREGATE(15,6,(ROW(ASCOPE_PMESII!$B$3:$B$62)-ROW(ASCOPE_PMESII!$B$3)+1)/(ASCOPE_PMESII!$B$3:$B$62="KCD-CANNOT"),33)),""),IF(33&lt;=(COUNTIF(ASCOPE_PMESII!$B$3:$B$62,"KCD-CANNOT")+COUNTIF(ASCOPE_PMESII!$D$3:$D$62,"KCD-CANNOT")),IFERROR(INDEX(ASCOPE_PMESII!$E$3:$E$62,_xlfn.AGGREGATE(15,6,(ROW(ASCOPE_PMESII!$D$3:$D$62)-ROW(ASCOPE_PMESII!$D$3)+1)/(ASCOPE_PMESII!$D$3:$D$62="KCD-CANNOT"),33-(COUNTIF(ASCOPE_PMESII!$B$3:$B$62,"KCD-CANNOT")))),""),IF(33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33-(COUNTIF(ASCOPE_PMESII!$B$3:$B$62,"KCD-CANNOT")+COUNTIF(ASCOPE_PMESII!$D$3:$D$62,"KCD-CANNOT")))),""),IF(33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33-(COUNTIF(ASCOPE_PMESII!$B$3:$B$62,"KCD-CANNOT")+COUNTIF(ASCOPE_PMESII!$D$3:$D$62,"KCD-CANNOT")+COUNTIF(ASCOPE_PMESII!$F$3:$F$62,"KCD-CANNOT")))),""),IF(33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33-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33-(COUNTIF(ASCOPE_PMESII!$B$3:$B$62,"KCD-CANNOT")+COUNTIF(ASCOPE_PMESII!$D$3:$D$62,"KCD-CANNOT")+COUNTIF(ASCOPE_PMESII!$F$3:$F$62,"KCD-CANNOT")+COUNTIF(ASCOPE_PMESII!$H$3:$H$62,"KCD-CANNOT")+COUNTIF(ASCOPE_PMESII!$J$3:$J$62,"KCD-CANNOT")))),"")))))),"")</f>
        <v>Cannot allow IRS to sell stability-for-recognition</v>
      </c>
      <c r="L36" s="21" t="str">
        <f t="array" ref="L36">IFERROR(IF(33&lt;=COUNTIF(ASCOPE_PMESII!$B$3:$B$62,"DECISION"),IFERROR(INDEX(ASCOPE_PMESII!$C$3:$C$62,_xlfn.AGGREGATE(15,6,(ROW(ASCOPE_PMESII!$B$3:$B$62)-ROW(ASCOPE_PMESII!$B$3)+1)/(ASCOPE_PMESII!$B$3:$B$62="DECISION"),33)),""),IF(33&lt;=(COUNTIF(ASCOPE_PMESII!$B$3:$B$62,"DECISION")+COUNTIF(ASCOPE_PMESII!$D$3:$D$62,"DECISION")),IFERROR(INDEX(ASCOPE_PMESII!$E$3:$E$62,_xlfn.AGGREGATE(15,6,(ROW(ASCOPE_PMESII!$D$3:$D$62)-ROW(ASCOPE_PMESII!$D$3)+1)/(ASCOPE_PMESII!$D$3:$D$62="DECISION"),33-(COUNTIF(ASCOPE_PMESII!$B$3:$B$62,"DECISION")))),""),IF(33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33-(COUNTIF(ASCOPE_PMESII!$B$3:$B$62,"DECISION")+COUNTIF(ASCOPE_PMESII!$D$3:$D$62,"DECISION")))),""),IF(33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33-(COUNTIF(ASCOPE_PMESII!$B$3:$B$62,"DECISION")+COUNTIF(ASCOPE_PMESII!$D$3:$D$62,"DECISION")+COUNTIF(ASCOPE_PMESII!$F$3:$F$62,"DECISION")))),""),IF(33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33-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33-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36" s="21" t="str">
        <f t="array" ref="M36">IFERROR(IF(33&lt;=COUNTIF(ASCOPE_PMESII!$B$3:$B$62,"ASSUMPTION"),IFERROR(INDEX(ASCOPE_PMESII!$C$3:$C$62,_xlfn.AGGREGATE(15,6,(ROW(ASCOPE_PMESII!$B$3:$B$62)-ROW(ASCOPE_PMESII!$B$3)+1)/(ASCOPE_PMESII!$B$3:$B$62="ASSUMPTION"),33)),""),IF(33&lt;=(COUNTIF(ASCOPE_PMESII!$B$3:$B$62,"ASSUMPTION")+COUNTIF(ASCOPE_PMESII!$D$3:$D$62,"ASSUMPTION")),IFERROR(INDEX(ASCOPE_PMESII!$E$3:$E$62,_xlfn.AGGREGATE(15,6,(ROW(ASCOPE_PMESII!$D$3:$D$62)-ROW(ASCOPE_PMESII!$D$3)+1)/(ASCOPE_PMESII!$D$3:$D$62="ASSUMPTION"),33-(COUNTIF(ASCOPE_PMESII!$B$3:$B$62,"ASSUMPTION")))),""),IF(33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33-(COUNTIF(ASCOPE_PMESII!$B$3:$B$62,"ASSUMPTION")+COUNTIF(ASCOPE_PMESII!$D$3:$D$62,"ASSUMPTION")))),""),IF(33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33-(COUNTIF(ASCOPE_PMESII!$B$3:$B$62,"ASSUMPTION")+COUNTIF(ASCOPE_PMESII!$D$3:$D$62,"ASSUMPTION")+COUNTIF(ASCOPE_PMESII!$F$3:$F$62,"ASSUMPTION")))),""),IF(33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33-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33-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36" s="21" t="str">
        <f t="array" ref="N36">IFERROR(IF(33&lt;=COUNTIF(ASCOPE_PMESII!$B$3:$B$62,"CONSTRAINT"),IFERROR(INDEX(ASCOPE_PMESII!$C$3:$C$62,_xlfn.AGGREGATE(15,6,(ROW(ASCOPE_PMESII!$B$3:$B$62)-ROW(ASCOPE_PMESII!$B$3)+1)/(ASCOPE_PMESII!$B$3:$B$62="CONSTRAINT"),33)),""),IF(33&lt;=(COUNTIF(ASCOPE_PMESII!$B$3:$B$62,"CONSTRAINT")+COUNTIF(ASCOPE_PMESII!$D$3:$D$62,"CONSTRAINT")),IFERROR(INDEX(ASCOPE_PMESII!$E$3:$E$62,_xlfn.AGGREGATE(15,6,(ROW(ASCOPE_PMESII!$D$3:$D$62)-ROW(ASCOPE_PMESII!$D$3)+1)/(ASCOPE_PMESII!$D$3:$D$62="CONSTRAINT"),33-(COUNTIF(ASCOPE_PMESII!$B$3:$B$62,"CONSTRAINT")))),""),IF(33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33-(COUNTIF(ASCOPE_PMESII!$B$3:$B$62,"CONSTRAINT")+COUNTIF(ASCOPE_PMESII!$D$3:$D$62,"CONSTRAINT")))),""),IF(33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33-(COUNTIF(ASCOPE_PMESII!$B$3:$B$62,"CONSTRAINT")+COUNTIF(ASCOPE_PMESII!$D$3:$D$62,"CONSTRAINT")+COUNTIF(ASCOPE_PMESII!$F$3:$F$62,"CONSTRAINT")))),""),IF(33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33-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33-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36" s="21" t="str">
        <f t="array" ref="O36">IFERROR(IF(33&lt;=COUNTIF(ASCOPE_PMESII!$B$3:$B$62,"LIMITATION"),IFERROR(INDEX(ASCOPE_PMESII!$C$3:$C$62,_xlfn.AGGREGATE(15,6,(ROW(ASCOPE_PMESII!$B$3:$B$62)-ROW(ASCOPE_PMESII!$B$3)+1)/(ASCOPE_PMESII!$B$3:$B$62="LIMITATION"),33)),""),IF(33&lt;=(COUNTIF(ASCOPE_PMESII!$B$3:$B$62,"LIMITATION")+COUNTIF(ASCOPE_PMESII!$D$3:$D$62,"LIMITATION")),IFERROR(INDEX(ASCOPE_PMESII!$E$3:$E$62,_xlfn.AGGREGATE(15,6,(ROW(ASCOPE_PMESII!$D$3:$D$62)-ROW(ASCOPE_PMESII!$D$3)+1)/(ASCOPE_PMESII!$D$3:$D$62="LIMITATION"),33-(COUNTIF(ASCOPE_PMESII!$B$3:$B$62,"LIMITATION")))),""),IF(33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33-(COUNTIF(ASCOPE_PMESII!$B$3:$B$62,"LIMITATION")+COUNTIF(ASCOPE_PMESII!$D$3:$D$62,"LIMITATION")))),""),IF(33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33-(COUNTIF(ASCOPE_PMESII!$B$3:$B$62,"LIMITATION")+COUNTIF(ASCOPE_PMESII!$D$3:$D$62,"LIMITATION")+COUNTIF(ASCOPE_PMESII!$F$3:$F$62,"LIMITATION")))),""),IF(33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33-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33-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36" s="21" t="str">
        <f t="array" ref="P36">IFERROR(IF(33&lt;=COUNTIF(ASCOPE_PMESII!$B$3:$B$62,"CC"),IFERROR(INDEX(ASCOPE_PMESII!$C$3:$C$62,_xlfn.AGGREGATE(15,6,(ROW(ASCOPE_PMESII!$B$3:$B$62)-ROW(ASCOPE_PMESII!$B$3)+1)/(ASCOPE_PMESII!$B$3:$B$62="CC"),33)),""),IF(33&lt;=(COUNTIF(ASCOPE_PMESII!$B$3:$B$62,"CC")+COUNTIF(ASCOPE_PMESII!$D$3:$D$62,"CC")),IFERROR(INDEX(ASCOPE_PMESII!$E$3:$E$62,_xlfn.AGGREGATE(15,6,(ROW(ASCOPE_PMESII!$D$3:$D$62)-ROW(ASCOPE_PMESII!$D$3)+1)/(ASCOPE_PMESII!$D$3:$D$62="CC"),33-(COUNTIF(ASCOPE_PMESII!$B$3:$B$62,"CC")))),""),IF(33&lt;=(COUNTIF(ASCOPE_PMESII!$B$3:$B$62,"CC")+COUNTIF(ASCOPE_PMESII!$D$3:$D$62,"CC")+COUNTIF(ASCOPE_PMESII!$F$3:$F$62,"CC")),IFERROR(INDEX(ASCOPE_PMESII!$G$3:$G$62,_xlfn.AGGREGATE(15,6,(ROW(ASCOPE_PMESII!$F$3:$F$62)-ROW(ASCOPE_PMESII!$F$3)+1)/(ASCOPE_PMESII!$F$3:$F$62="CC"),33-(COUNTIF(ASCOPE_PMESII!$B$3:$B$62,"CC")+COUNTIF(ASCOPE_PMESII!$D$3:$D$62,"CC")))),""),IF(33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33-(COUNTIF(ASCOPE_PMESII!$B$3:$B$62,"CC")+COUNTIF(ASCOPE_PMESII!$D$3:$D$62,"CC")+COUNTIF(ASCOPE_PMESII!$F$3:$F$62,"CC")))),""),IF(33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33-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33-(COUNTIF(ASCOPE_PMESII!$B$3:$B$62,"CC")+COUNTIF(ASCOPE_PMESII!$D$3:$D$62,"CC")+COUNTIF(ASCOPE_PMESII!$F$3:$F$62,"CC")+COUNTIF(ASCOPE_PMESII!$H$3:$H$62,"CC")+COUNTIF(ASCOPE_PMESII!$J$3:$J$62,"CC")))),"")))))),"")</f>
        <v>Workers can enable sabotage or continuity</v>
      </c>
      <c r="Q36" s="21" t="str">
        <f t="array" ref="Q36">IFERROR(IF(33&lt;=COUNTIF(ASCOPE_PMESII!$B$3:$B$62,"CR"),IFERROR(INDEX(ASCOPE_PMESII!$C$3:$C$62,_xlfn.AGGREGATE(15,6,(ROW(ASCOPE_PMESII!$B$3:$B$62)-ROW(ASCOPE_PMESII!$B$3)+1)/(ASCOPE_PMESII!$B$3:$B$62="CR"),33)),""),IF(33&lt;=(COUNTIF(ASCOPE_PMESII!$B$3:$B$62,"CR")+COUNTIF(ASCOPE_PMESII!$D$3:$D$62,"CR")),IFERROR(INDEX(ASCOPE_PMESII!$E$3:$E$62,_xlfn.AGGREGATE(15,6,(ROW(ASCOPE_PMESII!$D$3:$D$62)-ROW(ASCOPE_PMESII!$D$3)+1)/(ASCOPE_PMESII!$D$3:$D$62="CR"),33-(COUNTIF(ASCOPE_PMESII!$B$3:$B$62,"CR")))),""),IF(33&lt;=(COUNTIF(ASCOPE_PMESII!$B$3:$B$62,"CR")+COUNTIF(ASCOPE_PMESII!$D$3:$D$62,"CR")+COUNTIF(ASCOPE_PMESII!$F$3:$F$62,"CR")),IFERROR(INDEX(ASCOPE_PMESII!$G$3:$G$62,_xlfn.AGGREGATE(15,6,(ROW(ASCOPE_PMESII!$F$3:$F$62)-ROW(ASCOPE_PMESII!$F$3)+1)/(ASCOPE_PMESII!$F$3:$F$62="CR"),33-(COUNTIF(ASCOPE_PMESII!$B$3:$B$62,"CR")+COUNTIF(ASCOPE_PMESII!$D$3:$D$62,"CR")))),""),IF(33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33-(COUNTIF(ASCOPE_PMESII!$B$3:$B$62,"CR")+COUNTIF(ASCOPE_PMESII!$D$3:$D$62,"CR")+COUNTIF(ASCOPE_PMESII!$F$3:$F$62,"CR")))),""),IF(33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33-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33-(COUNTIF(ASCOPE_PMESII!$B$3:$B$62,"CR")+COUNTIF(ASCOPE_PMESII!$D$3:$D$62,"CR")+COUNTIF(ASCOPE_PMESII!$F$3:$F$62,"CR")+COUNTIF(ASCOPE_PMESII!$H$3:$H$62,"CR")+COUNTIF(ASCOPE_PMESII!$J$3:$J$62,"CR")))),"")))))),"")</f>
        <v>Shipping advisory and sanctions packages required</v>
      </c>
      <c r="R36" s="94" t="str">
        <f t="array" ref="R36">IFERROR(IF(33&lt;=COUNTIF(ASCOPE_PMESII!$B$3:$B$62,"PCS"),IFERROR(INDEX(ASCOPE_PMESII!$C$3:$C$62,_xlfn.AGGREGATE(15,6,(ROW(ASCOPE_PMESII!$B$3:$B$62)-ROW(ASCOPE_PMESII!$B$3)+1)/(ASCOPE_PMESII!$B$3:$B$62="PCS"),33)),""),IF(33&lt;=(COUNTIF(ASCOPE_PMESII!$B$3:$B$62,"PCS")+COUNTIF(ASCOPE_PMESII!$D$3:$D$62,"PCS")),IFERROR(INDEX(ASCOPE_PMESII!$E$3:$E$62,_xlfn.AGGREGATE(15,6,(ROW(ASCOPE_PMESII!$D$3:$D$62)-ROW(ASCOPE_PMESII!$D$3)+1)/(ASCOPE_PMESII!$D$3:$D$62="PCS"),33-(COUNTIF(ASCOPE_PMESII!$B$3:$B$62,"PCS")))),""),IF(33&lt;=(COUNTIF(ASCOPE_PMESII!$B$3:$B$62,"PCS")+COUNTIF(ASCOPE_PMESII!$D$3:$D$62,"PCS")+COUNTIF(ASCOPE_PMESII!$F$3:$F$62,"PCS")),IFERROR(INDEX(ASCOPE_PMESII!$G$3:$G$62,_xlfn.AGGREGATE(15,6,(ROW(ASCOPE_PMESII!$F$3:$F$62)-ROW(ASCOPE_PMESII!$F$3)+1)/(ASCOPE_PMESII!$F$3:$F$62="PCS"),33-(COUNTIF(ASCOPE_PMESII!$B$3:$B$62,"PCS")+COUNTIF(ASCOPE_PMESII!$D$3:$D$62,"PCS")))),""),IF(33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33-(COUNTIF(ASCOPE_PMESII!$B$3:$B$62,"PCS")+COUNTIF(ASCOPE_PMESII!$D$3:$D$62,"PCS")+COUNTIF(ASCOPE_PMESII!$F$3:$F$62,"PCS")))),""),IF(33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33-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33-(COUNTIF(ASCOPE_PMESII!$B$3:$B$62,"PCS")+COUNTIF(ASCOPE_PMESII!$D$3:$D$62,"PCS")+COUNTIF(ASCOPE_PMESII!$F$3:$F$62,"PCS")+COUNTIF(ASCOPE_PMESII!$H$3:$H$62,"PCS")+COUNTIF(ASCOPE_PMESII!$J$3:$J$62,"PCS")))),"")))))),"")</f>
        <v/>
      </c>
    </row>
    <row r="37" spans="1:18" ht="34.5" customHeight="1">
      <c r="A37" s="22" t="str">
        <f t="array" ref="A37">IFERROR(IF(34&lt;=COUNTIF(ASCOPE_PMESII!$B$3:$B$62,"OE"),IFERROR(INDEX(ASCOPE_PMESII!$C$3:$C$62,_xlfn.AGGREGATE(15,6,(ROW(ASCOPE_PMESII!$B$3:$B$62)-ROW(ASCOPE_PMESII!$B$3)+1)/(ASCOPE_PMESII!$B$3:$B$62="OE"),34)),""),IF(34&lt;=(COUNTIF(ASCOPE_PMESII!$B$3:$B$62,"OE")+COUNTIF(ASCOPE_PMESII!$D$3:$D$62,"OE")),IFERROR(INDEX(ASCOPE_PMESII!$E$3:$E$62,_xlfn.AGGREGATE(15,6,(ROW(ASCOPE_PMESII!$D$3:$D$62)-ROW(ASCOPE_PMESII!$D$3)+1)/(ASCOPE_PMESII!$D$3:$D$62="OE"),34-(COUNTIF(ASCOPE_PMESII!$B$3:$B$62,"OE")))),""),IF(34&lt;=(COUNTIF(ASCOPE_PMESII!$B$3:$B$62,"OE")+COUNTIF(ASCOPE_PMESII!$D$3:$D$62,"OE")+COUNTIF(ASCOPE_PMESII!$F$3:$F$62,"OE")),IFERROR(INDEX(ASCOPE_PMESII!$G$3:$G$62,_xlfn.AGGREGATE(15,6,(ROW(ASCOPE_PMESII!$F$3:$F$62)-ROW(ASCOPE_PMESII!$F$3)+1)/(ASCOPE_PMESII!$F$3:$F$62="OE"),34-(COUNTIF(ASCOPE_PMESII!$B$3:$B$62,"OE")+COUNTIF(ASCOPE_PMESII!$D$3:$D$62,"OE")))),""),IF(34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34-(COUNTIF(ASCOPE_PMESII!$B$3:$B$62,"OE")+COUNTIF(ASCOPE_PMESII!$D$3:$D$62,"OE")+COUNTIF(ASCOPE_PMESII!$F$3:$F$62,"OE")))),""),IF(34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34-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34-(COUNTIF(ASCOPE_PMESII!$B$3:$B$62,"OE")+COUNTIF(ASCOPE_PMESII!$D$3:$D$62,"OE")+COUNTIF(ASCOPE_PMESII!$F$3:$F$62,"OE")+COUNTIF(ASCOPE_PMESII!$H$3:$H$62,"OE")+COUNTIF(ASCOPE_PMESII!$J$3:$J$62,"OE")))),"")))))),"")</f>
        <v/>
      </c>
      <c r="B37" s="22" t="str">
        <f t="array" ref="B37">IFERROR(IF(34&lt;=COUNTIF(ASCOPE_PMESII!$B$3:$B$62,"OA"),IFERROR(INDEX(ASCOPE_PMESII!$C$3:$C$62,_xlfn.AGGREGATE(15,6,(ROW(ASCOPE_PMESII!$B$3:$B$62)-ROW(ASCOPE_PMESII!$B$3)+1)/(ASCOPE_PMESII!$B$3:$B$62="OA"),34)),""),IF(34&lt;=(COUNTIF(ASCOPE_PMESII!$B$3:$B$62,"OA")+COUNTIF(ASCOPE_PMESII!$D$3:$D$62,"OA")),IFERROR(INDEX(ASCOPE_PMESII!$E$3:$E$62,_xlfn.AGGREGATE(15,6,(ROW(ASCOPE_PMESII!$D$3:$D$62)-ROW(ASCOPE_PMESII!$D$3)+1)/(ASCOPE_PMESII!$D$3:$D$62="OA"),34-(COUNTIF(ASCOPE_PMESII!$B$3:$B$62,"OA")))),""),IF(34&lt;=(COUNTIF(ASCOPE_PMESII!$B$3:$B$62,"OA")+COUNTIF(ASCOPE_PMESII!$D$3:$D$62,"OA")+COUNTIF(ASCOPE_PMESII!$F$3:$F$62,"OA")),IFERROR(INDEX(ASCOPE_PMESII!$G$3:$G$62,_xlfn.AGGREGATE(15,6,(ROW(ASCOPE_PMESII!$F$3:$F$62)-ROW(ASCOPE_PMESII!$F$3)+1)/(ASCOPE_PMESII!$F$3:$F$62="OA"),34-(COUNTIF(ASCOPE_PMESII!$B$3:$B$62,"OA")+COUNTIF(ASCOPE_PMESII!$D$3:$D$62,"OA")))),""),IF(34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34-(COUNTIF(ASCOPE_PMESII!$B$3:$B$62,"OA")+COUNTIF(ASCOPE_PMESII!$D$3:$D$62,"OA")+COUNTIF(ASCOPE_PMESII!$F$3:$F$62,"OA")))),""),IF(34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34-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34-(COUNTIF(ASCOPE_PMESII!$B$3:$B$62,"OA")+COUNTIF(ASCOPE_PMESII!$D$3:$D$62,"OA")+COUNTIF(ASCOPE_PMESII!$F$3:$F$62,"OA")+COUNTIF(ASCOPE_PMESII!$H$3:$H$62,"OA")+COUNTIF(ASCOPE_PMESII!$J$3:$J$62,"OA")))),"")))))),"")</f>
        <v/>
      </c>
      <c r="C37" s="22" t="str">
        <f t="array" ref="C37">IFERROR(IF(34&lt;=COUNTIF(ASCOPE_PMESII!$B$3:$B$62,"RISK"),IFERROR(INDEX(ASCOPE_PMESII!$C$3:$C$62,_xlfn.AGGREGATE(15,6,(ROW(ASCOPE_PMESII!$B$3:$B$62)-ROW(ASCOPE_PMESII!$B$3)+1)/(ASCOPE_PMESII!$B$3:$B$62="RISK"),34)),""),IF(34&lt;=(COUNTIF(ASCOPE_PMESII!$B$3:$B$62,"RISK")+COUNTIF(ASCOPE_PMESII!$D$3:$D$62,"RISK")),IFERROR(INDEX(ASCOPE_PMESII!$E$3:$E$62,_xlfn.AGGREGATE(15,6,(ROW(ASCOPE_PMESII!$D$3:$D$62)-ROW(ASCOPE_PMESII!$D$3)+1)/(ASCOPE_PMESII!$D$3:$D$62="RISK"),34-(COUNTIF(ASCOPE_PMESII!$B$3:$B$62,"RISK")))),""),IF(34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34-(COUNTIF(ASCOPE_PMESII!$B$3:$B$62,"RISK")+COUNTIF(ASCOPE_PMESII!$D$3:$D$62,"RISK")))),""),IF(34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34-(COUNTIF(ASCOPE_PMESII!$B$3:$B$62,"RISK")+COUNTIF(ASCOPE_PMESII!$D$3:$D$62,"RISK")+COUNTIF(ASCOPE_PMESII!$F$3:$F$62,"RISK")))),""),IF(34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34-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34-(COUNTIF(ASCOPE_PMESII!$B$3:$B$62,"RISK")+COUNTIF(ASCOPE_PMESII!$D$3:$D$62,"RISK")+COUNTIF(ASCOPE_PMESII!$F$3:$F$62,"RISK")+COUNTIF(ASCOPE_PMESII!$H$3:$H$62,"RISK")+COUNTIF(ASCOPE_PMESII!$J$3:$J$62,"RISK")))),"")))))),"")</f>
        <v>HA failure becomes NATO legitimacy failure</v>
      </c>
      <c r="D37" s="22" t="str">
        <f t="array" ref="D37">IFERROR(IF(34&lt;=COUNTIF(ASCOPE_PMESII!$B$3:$B$62,"CV"),IFERROR(INDEX(ASCOPE_PMESII!$C$3:$C$62,_xlfn.AGGREGATE(15,6,(ROW(ASCOPE_PMESII!$B$3:$B$62)-ROW(ASCOPE_PMESII!$B$3)+1)/(ASCOPE_PMESII!$B$3:$B$62="CV"),34)),""),IF(34&lt;=(COUNTIF(ASCOPE_PMESII!$B$3:$B$62,"CV")+COUNTIF(ASCOPE_PMESII!$D$3:$D$62,"CV")),IFERROR(INDEX(ASCOPE_PMESII!$E$3:$E$62,_xlfn.AGGREGATE(15,6,(ROW(ASCOPE_PMESII!$D$3:$D$62)-ROW(ASCOPE_PMESII!$D$3)+1)/(ASCOPE_PMESII!$D$3:$D$62="CV"),34-(COUNTIF(ASCOPE_PMESII!$B$3:$B$62,"CV")))),""),IF(34&lt;=(COUNTIF(ASCOPE_PMESII!$B$3:$B$62,"CV")+COUNTIF(ASCOPE_PMESII!$D$3:$D$62,"CV")+COUNTIF(ASCOPE_PMESII!$F$3:$F$62,"CV")),IFERROR(INDEX(ASCOPE_PMESII!$G$3:$G$62,_xlfn.AGGREGATE(15,6,(ROW(ASCOPE_PMESII!$F$3:$F$62)-ROW(ASCOPE_PMESII!$F$3)+1)/(ASCOPE_PMESII!$F$3:$F$62="CV"),34-(COUNTIF(ASCOPE_PMESII!$B$3:$B$62,"CV")+COUNTIF(ASCOPE_PMESII!$D$3:$D$62,"CV")))),""),IF(34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34-(COUNTIF(ASCOPE_PMESII!$B$3:$B$62,"CV")+COUNTIF(ASCOPE_PMESII!$D$3:$D$62,"CV")+COUNTIF(ASCOPE_PMESII!$F$3:$F$62,"CV")))),""),IF(34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34-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34-(COUNTIF(ASCOPE_PMESII!$B$3:$B$62,"CV")+COUNTIF(ASCOPE_PMESII!$D$3:$D$62,"CV")+COUNTIF(ASCOPE_PMESII!$F$3:$F$62,"CV")+COUNTIF(ASCOPE_PMESII!$H$3:$H$62,"CV")+COUNTIF(ASCOPE_PMESII!$J$3:$J$62,"CV")))),"")))))),"")</f>
        <v>Razil corruption and Ahmad competence create seams</v>
      </c>
      <c r="E37" s="22" t="str">
        <f t="array" ref="E37">IFERROR(IF(34&lt;=COUNTIF(ASCOPE_PMESII!$B$3:$B$62,"COR"),IFERROR(INDEX(ASCOPE_PMESII!$C$3:$C$62,_xlfn.AGGREGATE(15,6,(ROW(ASCOPE_PMESII!$B$3:$B$62)-ROW(ASCOPE_PMESII!$B$3)+1)/(ASCOPE_PMESII!$B$3:$B$62="COR"),34)),""),IF(34&lt;=(COUNTIF(ASCOPE_PMESII!$B$3:$B$62,"COR")+COUNTIF(ASCOPE_PMESII!$D$3:$D$62,"COR")),IFERROR(INDEX(ASCOPE_PMESII!$E$3:$E$62,_xlfn.AGGREGATE(15,6,(ROW(ASCOPE_PMESII!$D$3:$D$62)-ROW(ASCOPE_PMESII!$D$3)+1)/(ASCOPE_PMESII!$D$3:$D$62="COR"),34-(COUNTIF(ASCOPE_PMESII!$B$3:$B$62,"COR")))),""),IF(34&lt;=(COUNTIF(ASCOPE_PMESII!$B$3:$B$62,"COR")+COUNTIF(ASCOPE_PMESII!$D$3:$D$62,"COR")+COUNTIF(ASCOPE_PMESII!$F$3:$F$62,"COR")),IFERROR(INDEX(ASCOPE_PMESII!$G$3:$G$62,_xlfn.AGGREGATE(15,6,(ROW(ASCOPE_PMESII!$F$3:$F$62)-ROW(ASCOPE_PMESII!$F$3)+1)/(ASCOPE_PMESII!$F$3:$F$62="COR"),34-(COUNTIF(ASCOPE_PMESII!$B$3:$B$62,"COR")+COUNTIF(ASCOPE_PMESII!$D$3:$D$62,"COR")))),""),IF(34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34-(COUNTIF(ASCOPE_PMESII!$B$3:$B$62,"COR")+COUNTIF(ASCOPE_PMESII!$D$3:$D$62,"COR")+COUNTIF(ASCOPE_PMESII!$F$3:$F$62,"COR")))),""),IF(34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34-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34-(COUNTIF(ASCOPE_PMESII!$B$3:$B$62,"COR")+COUNTIF(ASCOPE_PMESII!$D$3:$D$62,"COR")+COUNTIF(ASCOPE_PMESII!$F$3:$F$62,"COR")+COUNTIF(ASCOPE_PMESII!$H$3:$H$62,"COR")+COUNTIF(ASCOPE_PMESII!$J$3:$J$62,"COR")))),"")))))),"")</f>
        <v>Trigger points must cue pre-emptive interdiction</v>
      </c>
      <c r="F37" s="22" t="str">
        <f t="array" ref="F37">IFERROR(IF(34&lt;=COUNTIF(ASCOPE_PMESII!$B$3:$B$62,"REQT"),IFERROR(INDEX(ASCOPE_PMESII!$C$3:$C$62,_xlfn.AGGREGATE(15,6,(ROW(ASCOPE_PMESII!$B$3:$B$62)-ROW(ASCOPE_PMESII!$B$3)+1)/(ASCOPE_PMESII!$B$3:$B$62="REQT"),34)),""),IF(34&lt;=(COUNTIF(ASCOPE_PMESII!$B$3:$B$62,"REQT")+COUNTIF(ASCOPE_PMESII!$D$3:$D$62,"REQT")),IFERROR(INDEX(ASCOPE_PMESII!$E$3:$E$62,_xlfn.AGGREGATE(15,6,(ROW(ASCOPE_PMESII!$D$3:$D$62)-ROW(ASCOPE_PMESII!$D$3)+1)/(ASCOPE_PMESII!$D$3:$D$62="REQT"),34-(COUNTIF(ASCOPE_PMESII!$B$3:$B$62,"REQT")))),""),IF(34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34-(COUNTIF(ASCOPE_PMESII!$B$3:$B$62,"REQT")+COUNTIF(ASCOPE_PMESII!$D$3:$D$62,"REQT")))),""),IF(34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34-(COUNTIF(ASCOPE_PMESII!$B$3:$B$62,"REQT")+COUNTIF(ASCOPE_PMESII!$D$3:$D$62,"REQT")+COUNTIF(ASCOPE_PMESII!$F$3:$F$62,"REQT")))),""),IF(34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34-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34-(COUNTIF(ASCOPE_PMESII!$B$3:$B$62,"REQT")+COUNTIF(ASCOPE_PMESII!$D$3:$D$62,"REQT")+COUNTIF(ASCOPE_PMESII!$F$3:$F$62,"REQT")+COUNTIF(ASCOPE_PMESII!$H$3:$H$62,"REQT")+COUNTIF(ASCOPE_PMESII!$J$3:$J$62,"REQT")))),"")))))),"")</f>
        <v/>
      </c>
      <c r="G37" s="22" t="str">
        <f t="array" ref="G37">IFERROR(IF(34&lt;=COUNTIF(ASCOPE_PMESII!$B$3:$B$62,"REST"),IFERROR(INDEX(ASCOPE_PMESII!$C$3:$C$62,_xlfn.AGGREGATE(15,6,(ROW(ASCOPE_PMESII!$B$3:$B$62)-ROW(ASCOPE_PMESII!$B$3)+1)/(ASCOPE_PMESII!$B$3:$B$62="REST"),34)),""),IF(34&lt;=(COUNTIF(ASCOPE_PMESII!$B$3:$B$62,"REST")+COUNTIF(ASCOPE_PMESII!$D$3:$D$62,"REST")),IFERROR(INDEX(ASCOPE_PMESII!$E$3:$E$62,_xlfn.AGGREGATE(15,6,(ROW(ASCOPE_PMESII!$D$3:$D$62)-ROW(ASCOPE_PMESII!$D$3)+1)/(ASCOPE_PMESII!$D$3:$D$62="REST"),34-(COUNTIF(ASCOPE_PMESII!$B$3:$B$62,"REST")))),""),IF(34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34-(COUNTIF(ASCOPE_PMESII!$B$3:$B$62,"REST")+COUNTIF(ASCOPE_PMESII!$D$3:$D$62,"REST")))),""),IF(34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34-(COUNTIF(ASCOPE_PMESII!$B$3:$B$62,"REST")+COUNTIF(ASCOPE_PMESII!$D$3:$D$62,"REST")+COUNTIF(ASCOPE_PMESII!$F$3:$F$62,"REST")))),""),IF(34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34-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34-(COUNTIF(ASCOPE_PMESII!$B$3:$B$62,"REST")+COUNTIF(ASCOPE_PMESII!$D$3:$D$62,"REST")+COUNTIF(ASCOPE_PMESII!$F$3:$F$62,"REST")+COUNTIF(ASCOPE_PMESII!$H$3:$H$62,"REST")+COUNTIF(ASCOPE_PMESII!$J$3:$J$62,"REST")))),"")))))),"")</f>
        <v/>
      </c>
      <c r="H37" s="22" t="str">
        <f t="array" ref="H37">IFERROR(IF(34&lt;=COUNTIF(ASCOPE_PMESII!$B$3:$B$62,"KCD-MUST"),IFERROR(INDEX(ASCOPE_PMESII!$C$3:$C$62,_xlfn.AGGREGATE(15,6,(ROW(ASCOPE_PMESII!$B$3:$B$62)-ROW(ASCOPE_PMESII!$B$3)+1)/(ASCOPE_PMESII!$B$3:$B$62="KCD-MUST"),34)),""),IF(34&lt;=(COUNTIF(ASCOPE_PMESII!$B$3:$B$62,"KCD-MUST")+COUNTIF(ASCOPE_PMESII!$D$3:$D$62,"KCD-MUST")),IFERROR(INDEX(ASCOPE_PMESII!$E$3:$E$62,_xlfn.AGGREGATE(15,6,(ROW(ASCOPE_PMESII!$D$3:$D$62)-ROW(ASCOPE_PMESII!$D$3)+1)/(ASCOPE_PMESII!$D$3:$D$62="KCD-MUST"),34-(COUNTIF(ASCOPE_PMESII!$B$3:$B$62,"KCD-MUST")))),""),IF(34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34-(COUNTIF(ASCOPE_PMESII!$B$3:$B$62,"KCD-MUST")+COUNTIF(ASCOPE_PMESII!$D$3:$D$62,"KCD-MUST")))),""),IF(34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34-(COUNTIF(ASCOPE_PMESII!$B$3:$B$62,"KCD-MUST")+COUNTIF(ASCOPE_PMESII!$D$3:$D$62,"KCD-MUST")+COUNTIF(ASCOPE_PMESII!$F$3:$F$62,"KCD-MUST")))),""),IF(34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34-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34-(COUNTIF(ASCOPE_PMESII!$B$3:$B$62,"KCD-MUST")+COUNTIF(ASCOPE_PMESII!$D$3:$D$62,"KCD-MUST")+COUNTIF(ASCOPE_PMESII!$F$3:$F$62,"KCD-MUST")+COUNTIF(ASCOPE_PMESII!$H$3:$H$62,"KCD-MUST")+COUNTIF(ASCOPE_PMESII!$J$3:$J$62,"KCD-MUST")))),"")))))),"")</f>
        <v>Pre-plan civilian harm response before operations</v>
      </c>
      <c r="I37" s="22" t="str">
        <f t="array" ref="I37">IFERROR(IF(34&lt;=COUNTIF(ASCOPE_PMESII!$B$3:$B$62,"KCD-SHOULD"),IFERROR(INDEX(ASCOPE_PMESII!$C$3:$C$62,_xlfn.AGGREGATE(15,6,(ROW(ASCOPE_PMESII!$B$3:$B$62)-ROW(ASCOPE_PMESII!$B$3)+1)/(ASCOPE_PMESII!$B$3:$B$62="KCD-SHOULD"),34)),""),IF(34&lt;=(COUNTIF(ASCOPE_PMESII!$B$3:$B$62,"KCD-SHOULD")+COUNTIF(ASCOPE_PMESII!$D$3:$D$62,"KCD-SHOULD")),IFERROR(INDEX(ASCOPE_PMESII!$E$3:$E$62,_xlfn.AGGREGATE(15,6,(ROW(ASCOPE_PMESII!$D$3:$D$62)-ROW(ASCOPE_PMESII!$D$3)+1)/(ASCOPE_PMESII!$D$3:$D$62="KCD-SHOULD"),34-(COUNTIF(ASCOPE_PMESII!$B$3:$B$62,"KCD-SHOULD")))),""),IF(34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34-(COUNTIF(ASCOPE_PMESII!$B$3:$B$62,"KCD-SHOULD")+COUNTIF(ASCOPE_PMESII!$D$3:$D$62,"KCD-SHOULD")))),""),IF(34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34-(COUNTIF(ASCOPE_PMESII!$B$3:$B$62,"KCD-SHOULD")+COUNTIF(ASCOPE_PMESII!$D$3:$D$62,"KCD-SHOULD")+COUNTIF(ASCOPE_PMESII!$F$3:$F$62,"KCD-SHOULD")))),""),IF(34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34-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34-(COUNTIF(ASCOPE_PMESII!$B$3:$B$62,"KCD-SHOULD")+COUNTIF(ASCOPE_PMESII!$D$3:$D$62,"KCD-SHOULD")+COUNTIF(ASCOPE_PMESII!$F$3:$F$62,"KCD-SHOULD")+COUNTIF(ASCOPE_PMESII!$H$3:$H$62,"KCD-SHOULD")+COUNTIF(ASCOPE_PMESII!$J$3:$J$62,"KCD-SHOULD")))),"")))))),"")</f>
        <v>Use evidence capture at first contact</v>
      </c>
      <c r="J37" s="22" t="str">
        <f t="array" ref="J37">IFERROR(IF(34&lt;=COUNTIF(ASCOPE_PMESII!$B$3:$B$62,"KCD-SHOULD NOT"),IFERROR(INDEX(ASCOPE_PMESII!$C$3:$C$62,_xlfn.AGGREGATE(15,6,(ROW(ASCOPE_PMESII!$B$3:$B$62)-ROW(ASCOPE_PMESII!$B$3)+1)/(ASCOPE_PMESII!$B$3:$B$62="KCD-SHOULD NOT"),34)),""),IF(34&lt;=(COUNTIF(ASCOPE_PMESII!$B$3:$B$62,"KCD-SHOULD NOT")+COUNTIF(ASCOPE_PMESII!$D$3:$D$62,"KCD-SHOULD NOT")),IFERROR(INDEX(ASCOPE_PMESII!$E$3:$E$62,_xlfn.AGGREGATE(15,6,(ROW(ASCOPE_PMESII!$D$3:$D$62)-ROW(ASCOPE_PMESII!$D$3)+1)/(ASCOPE_PMESII!$D$3:$D$62="KCD-SHOULD NOT"),34-(COUNTIF(ASCOPE_PMESII!$B$3:$B$62,"KCD-SHOULD NOT")))),""),IF(34&lt;=(COUNTIF(ASCOPE_PMESII!$B$3:$B$62,"KCD-SHOULD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NOT"),34-(COUNTIF(ASCOPE_PMESII!$B$3:$B$62,"KCD-SHOULD NOT")+COUNTIF(ASCOPE_PMESII!$D$3:$D$62,"KCD-SHOULD NOT")))),""),IF(34&lt;=(COUNTIF(ASCOPE_PMESII!$B$3:$B$62,"KCD-SHOULD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NOT"),34-(COUNTIF(ASCOPE_PMESII!$B$3:$B$62,"KCD-SHOULD NOT")+COUNTIF(ASCOPE_PMESII!$D$3:$D$62,"KCD-SHOULD NOT")+COUNTIF(ASCOPE_PMESII!$F$3:$F$62,"KCD-SHOULD NOT")))),""),IF(34&lt;=(COUNTIF(ASCOPE_PMESII!$B$3:$B$62,"KCD-SHOULD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NOT"),34-(COUNTIF(ASCOPE_PMESII!$B$3:$B$62,"KCD-SHOULD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NOT"),34-(COUNTIF(ASCOPE_PMESII!$B$3:$B$62,"KCD-SHOULD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37" s="22" t="str">
        <f t="array" ref="K37">IFERROR(IF(34&lt;=COUNTIF(ASCOPE_PMESII!$B$3:$B$62,"KCD-CANNOT"),IFERROR(INDEX(ASCOPE_PMESII!$C$3:$C$62,_xlfn.AGGREGATE(15,6,(ROW(ASCOPE_PMESII!$B$3:$B$62)-ROW(ASCOPE_PMESII!$B$3)+1)/(ASCOPE_PMESII!$B$3:$B$62="KCD-CANNOT"),34)),""),IF(34&lt;=(COUNTIF(ASCOPE_PMESII!$B$3:$B$62,"KCD-CANNOT")+COUNTIF(ASCOPE_PMESII!$D$3:$D$62,"KCD-CANNOT")),IFERROR(INDEX(ASCOPE_PMESII!$E$3:$E$62,_xlfn.AGGREGATE(15,6,(ROW(ASCOPE_PMESII!$D$3:$D$62)-ROW(ASCOPE_PMESII!$D$3)+1)/(ASCOPE_PMESII!$D$3:$D$62="KCD-CANNOT"),34-(COUNTIF(ASCOPE_PMESII!$B$3:$B$62,"KCD-CANNOT")))),""),IF(34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34-(COUNTIF(ASCOPE_PMESII!$B$3:$B$62,"KCD-CANNOT")+COUNTIF(ASCOPE_PMESII!$D$3:$D$62,"KCD-CANNOT")))),""),IF(34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34-(COUNTIF(ASCOPE_PMESII!$B$3:$B$62,"KCD-CANNOT")+COUNTIF(ASCOPE_PMESII!$D$3:$D$62,"KCD-CANNOT")+COUNTIF(ASCOPE_PMESII!$F$3:$F$62,"KCD-CANNOT")))),""),IF(34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34-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34-(COUNTIF(ASCOPE_PMESII!$B$3:$B$62,"KCD-CANNOT")+COUNTIF(ASCOPE_PMESII!$D$3:$D$62,"KCD-CANNOT")+COUNTIF(ASCOPE_PMESII!$F$3:$F$62,"KCD-CANNOT")+COUNTIF(ASCOPE_PMESII!$H$3:$H$62,"KCD-CANNOT")+COUNTIF(ASCOPE_PMESII!$J$3:$J$62,"KCD-CANNOT")))),"")))))),"")</f>
        <v>Cannot wait for displacement before HA coordination</v>
      </c>
      <c r="L37" s="22" t="str">
        <f t="array" ref="L37">IFERROR(IF(34&lt;=COUNTIF(ASCOPE_PMESII!$B$3:$B$62,"DECISION"),IFERROR(INDEX(ASCOPE_PMESII!$C$3:$C$62,_xlfn.AGGREGATE(15,6,(ROW(ASCOPE_PMESII!$B$3:$B$62)-ROW(ASCOPE_PMESII!$B$3)+1)/(ASCOPE_PMESII!$B$3:$B$62="DECISION"),34)),""),IF(34&lt;=(COUNTIF(ASCOPE_PMESII!$B$3:$B$62,"DECISION")+COUNTIF(ASCOPE_PMESII!$D$3:$D$62,"DECISION")),IFERROR(INDEX(ASCOPE_PMESII!$E$3:$E$62,_xlfn.AGGREGATE(15,6,(ROW(ASCOPE_PMESII!$D$3:$D$62)-ROW(ASCOPE_PMESII!$D$3)+1)/(ASCOPE_PMESII!$D$3:$D$62="DECISION"),34-(COUNTIF(ASCOPE_PMESII!$B$3:$B$62,"DECISION")))),""),IF(34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34-(COUNTIF(ASCOPE_PMESII!$B$3:$B$62,"DECISION")+COUNTIF(ASCOPE_PMESII!$D$3:$D$62,"DECISION")))),""),IF(34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34-(COUNTIF(ASCOPE_PMESII!$B$3:$B$62,"DECISION")+COUNTIF(ASCOPE_PMESII!$D$3:$D$62,"DECISION")+COUNTIF(ASCOPE_PMESII!$F$3:$F$62,"DECISION")))),""),IF(34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34-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34-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37" s="22" t="str">
        <f t="array" ref="M37">IFERROR(IF(34&lt;=COUNTIF(ASCOPE_PMESII!$B$3:$B$62,"ASSUMPTION"),IFERROR(INDEX(ASCOPE_PMESII!$C$3:$C$62,_xlfn.AGGREGATE(15,6,(ROW(ASCOPE_PMESII!$B$3:$B$62)-ROW(ASCOPE_PMESII!$B$3)+1)/(ASCOPE_PMESII!$B$3:$B$62="ASSUMPTION"),34)),""),IF(34&lt;=(COUNTIF(ASCOPE_PMESII!$B$3:$B$62,"ASSUMPTION")+COUNTIF(ASCOPE_PMESII!$D$3:$D$62,"ASSUMPTION")),IFERROR(INDEX(ASCOPE_PMESII!$E$3:$E$62,_xlfn.AGGREGATE(15,6,(ROW(ASCOPE_PMESII!$D$3:$D$62)-ROW(ASCOPE_PMESII!$D$3)+1)/(ASCOPE_PMESII!$D$3:$D$62="ASSUMPTION"),34-(COUNTIF(ASCOPE_PMESII!$B$3:$B$62,"ASSUMPTION")))),""),IF(34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34-(COUNTIF(ASCOPE_PMESII!$B$3:$B$62,"ASSUMPTION")+COUNTIF(ASCOPE_PMESII!$D$3:$D$62,"ASSUMPTION")))),""),IF(34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34-(COUNTIF(ASCOPE_PMESII!$B$3:$B$62,"ASSUMPTION")+COUNTIF(ASCOPE_PMESII!$D$3:$D$62,"ASSUMPTION")+COUNTIF(ASCOPE_PMESII!$F$3:$F$62,"ASSUMPTION")))),""),IF(34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34-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34-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37" s="22" t="str">
        <f t="array" ref="N37">IFERROR(IF(34&lt;=COUNTIF(ASCOPE_PMESII!$B$3:$B$62,"CONSTRAINT"),IFERROR(INDEX(ASCOPE_PMESII!$C$3:$C$62,_xlfn.AGGREGATE(15,6,(ROW(ASCOPE_PMESII!$B$3:$B$62)-ROW(ASCOPE_PMESII!$B$3)+1)/(ASCOPE_PMESII!$B$3:$B$62="CONSTRAINT"),34)),""),IF(34&lt;=(COUNTIF(ASCOPE_PMESII!$B$3:$B$62,"CONSTRAINT")+COUNTIF(ASCOPE_PMESII!$D$3:$D$62,"CONSTRAINT")),IFERROR(INDEX(ASCOPE_PMESII!$E$3:$E$62,_xlfn.AGGREGATE(15,6,(ROW(ASCOPE_PMESII!$D$3:$D$62)-ROW(ASCOPE_PMESII!$D$3)+1)/(ASCOPE_PMESII!$D$3:$D$62="CONSTRAINT"),34-(COUNTIF(ASCOPE_PMESII!$B$3:$B$62,"CONSTRAINT")))),""),IF(34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34-(COUNTIF(ASCOPE_PMESII!$B$3:$B$62,"CONSTRAINT")+COUNTIF(ASCOPE_PMESII!$D$3:$D$62,"CONSTRAINT")))),""),IF(34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34-(COUNTIF(ASCOPE_PMESII!$B$3:$B$62,"CONSTRAINT")+COUNTIF(ASCOPE_PMESII!$D$3:$D$62,"CONSTRAINT")+COUNTIF(ASCOPE_PMESII!$F$3:$F$62,"CONSTRAINT")))),""),IF(34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34-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34-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37" s="22" t="str">
        <f t="array" ref="O37">IFERROR(IF(34&lt;=COUNTIF(ASCOPE_PMESII!$B$3:$B$62,"LIMITATION"),IFERROR(INDEX(ASCOPE_PMESII!$C$3:$C$62,_xlfn.AGGREGATE(15,6,(ROW(ASCOPE_PMESII!$B$3:$B$62)-ROW(ASCOPE_PMESII!$B$3)+1)/(ASCOPE_PMESII!$B$3:$B$62="LIMITATION"),34)),""),IF(34&lt;=(COUNTIF(ASCOPE_PMESII!$B$3:$B$62,"LIMITATION")+COUNTIF(ASCOPE_PMESII!$D$3:$D$62,"LIMITATION")),IFERROR(INDEX(ASCOPE_PMESII!$E$3:$E$62,_xlfn.AGGREGATE(15,6,(ROW(ASCOPE_PMESII!$D$3:$D$62)-ROW(ASCOPE_PMESII!$D$3)+1)/(ASCOPE_PMESII!$D$3:$D$62="LIMITATION"),34-(COUNTIF(ASCOPE_PMESII!$B$3:$B$62,"LIMITATION")))),""),IF(34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34-(COUNTIF(ASCOPE_PMESII!$B$3:$B$62,"LIMITATION")+COUNTIF(ASCOPE_PMESII!$D$3:$D$62,"LIMITATION")))),""),IF(34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34-(COUNTIF(ASCOPE_PMESII!$B$3:$B$62,"LIMITATION")+COUNTIF(ASCOPE_PMESII!$D$3:$D$62,"LIMITATION")+COUNTIF(ASCOPE_PMESII!$F$3:$F$62,"LIMITATION")))),""),IF(34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34-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34-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37" s="22" t="str">
        <f t="array" ref="P37">IFERROR(IF(34&lt;=COUNTIF(ASCOPE_PMESII!$B$3:$B$62,"CC"),IFERROR(INDEX(ASCOPE_PMESII!$C$3:$C$62,_xlfn.AGGREGATE(15,6,(ROW(ASCOPE_PMESII!$B$3:$B$62)-ROW(ASCOPE_PMESII!$B$3)+1)/(ASCOPE_PMESII!$B$3:$B$62="CC"),34)),""),IF(34&lt;=(COUNTIF(ASCOPE_PMESII!$B$3:$B$62,"CC")+COUNTIF(ASCOPE_PMESII!$D$3:$D$62,"CC")),IFERROR(INDEX(ASCOPE_PMESII!$E$3:$E$62,_xlfn.AGGREGATE(15,6,(ROW(ASCOPE_PMESII!$D$3:$D$62)-ROW(ASCOPE_PMESII!$D$3)+1)/(ASCOPE_PMESII!$D$3:$D$62="CC"),34-(COUNTIF(ASCOPE_PMESII!$B$3:$B$62,"CC")))),""),IF(34&lt;=(COUNTIF(ASCOPE_PMESII!$B$3:$B$62,"CC")+COUNTIF(ASCOPE_PMESII!$D$3:$D$62,"CC")+COUNTIF(ASCOPE_PMESII!$F$3:$F$62,"CC")),IFERROR(INDEX(ASCOPE_PMESII!$G$3:$G$62,_xlfn.AGGREGATE(15,6,(ROW(ASCOPE_PMESII!$F$3:$F$62)-ROW(ASCOPE_PMESII!$F$3)+1)/(ASCOPE_PMESII!$F$3:$F$62="CC"),34-(COUNTIF(ASCOPE_PMESII!$B$3:$B$62,"CC")+COUNTIF(ASCOPE_PMESII!$D$3:$D$62,"CC")))),""),IF(34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34-(COUNTIF(ASCOPE_PMESII!$B$3:$B$62,"CC")+COUNTIF(ASCOPE_PMESII!$D$3:$D$62,"CC")+COUNTIF(ASCOPE_PMESII!$F$3:$F$62,"CC")))),""),IF(34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34-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34-(COUNTIF(ASCOPE_PMESII!$B$3:$B$62,"CC")+COUNTIF(ASCOPE_PMESII!$D$3:$D$62,"CC")+COUNTIF(ASCOPE_PMESII!$F$3:$F$62,"CC")+COUNTIF(ASCOPE_PMESII!$H$3:$H$62,"CC")+COUNTIF(ASCOPE_PMESII!$J$3:$J$62,"CC")))),"")))))),"")</f>
        <v>NATO publics demand restraint and nationals' safety</v>
      </c>
      <c r="Q37" s="22" t="str">
        <f t="array" ref="Q37">IFERROR(IF(34&lt;=COUNTIF(ASCOPE_PMESII!$B$3:$B$62,"CR"),IFERROR(INDEX(ASCOPE_PMESII!$C$3:$C$62,_xlfn.AGGREGATE(15,6,(ROW(ASCOPE_PMESII!$B$3:$B$62)-ROW(ASCOPE_PMESII!$B$3)+1)/(ASCOPE_PMESII!$B$3:$B$62="CR"),34)),""),IF(34&lt;=(COUNTIF(ASCOPE_PMESII!$B$3:$B$62,"CR")+COUNTIF(ASCOPE_PMESII!$D$3:$D$62,"CR")),IFERROR(INDEX(ASCOPE_PMESII!$E$3:$E$62,_xlfn.AGGREGATE(15,6,(ROW(ASCOPE_PMESII!$D$3:$D$62)-ROW(ASCOPE_PMESII!$D$3)+1)/(ASCOPE_PMESII!$D$3:$D$62="CR"),34-(COUNTIF(ASCOPE_PMESII!$B$3:$B$62,"CR")))),""),IF(34&lt;=(COUNTIF(ASCOPE_PMESII!$B$3:$B$62,"CR")+COUNTIF(ASCOPE_PMESII!$D$3:$D$62,"CR")+COUNTIF(ASCOPE_PMESII!$F$3:$F$62,"CR")),IFERROR(INDEX(ASCOPE_PMESII!$G$3:$G$62,_xlfn.AGGREGATE(15,6,(ROW(ASCOPE_PMESII!$F$3:$F$62)-ROW(ASCOPE_PMESII!$F$3)+1)/(ASCOPE_PMESII!$F$3:$F$62="CR"),34-(COUNTIF(ASCOPE_PMESII!$B$3:$B$62,"CR")+COUNTIF(ASCOPE_PMESII!$D$3:$D$62,"CR")))),""),IF(34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34-(COUNTIF(ASCOPE_PMESII!$B$3:$B$62,"CR")+COUNTIF(ASCOPE_PMESII!$D$3:$D$62,"CR")+COUNTIF(ASCOPE_PMESII!$F$3:$F$62,"CR")))),""),IF(34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34-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34-(COUNTIF(ASCOPE_PMESII!$B$3:$B$62,"CR")+COUNTIF(ASCOPE_PMESII!$D$3:$D$62,"CR")+COUNTIF(ASCOPE_PMESII!$F$3:$F$62,"CR")+COUNTIF(ASCOPE_PMESII!$H$3:$H$62,"CR")+COUNTIF(ASCOPE_PMESII!$J$3:$J$62,"CR")))),"")))))),"")</f>
        <v>IDP tracking, medical and camp coordination required</v>
      </c>
      <c r="R37" s="95" t="str">
        <f t="array" ref="R37">IFERROR(IF(34&lt;=COUNTIF(ASCOPE_PMESII!$B$3:$B$62,"PCS"),IFERROR(INDEX(ASCOPE_PMESII!$C$3:$C$62,_xlfn.AGGREGATE(15,6,(ROW(ASCOPE_PMESII!$B$3:$B$62)-ROW(ASCOPE_PMESII!$B$3)+1)/(ASCOPE_PMESII!$B$3:$B$62="PCS"),34)),""),IF(34&lt;=(COUNTIF(ASCOPE_PMESII!$B$3:$B$62,"PCS")+COUNTIF(ASCOPE_PMESII!$D$3:$D$62,"PCS")),IFERROR(INDEX(ASCOPE_PMESII!$E$3:$E$62,_xlfn.AGGREGATE(15,6,(ROW(ASCOPE_PMESII!$D$3:$D$62)-ROW(ASCOPE_PMESII!$D$3)+1)/(ASCOPE_PMESII!$D$3:$D$62="PCS"),34-(COUNTIF(ASCOPE_PMESII!$B$3:$B$62,"PCS")))),""),IF(34&lt;=(COUNTIF(ASCOPE_PMESII!$B$3:$B$62,"PCS")+COUNTIF(ASCOPE_PMESII!$D$3:$D$62,"PCS")+COUNTIF(ASCOPE_PMESII!$F$3:$F$62,"PCS")),IFERROR(INDEX(ASCOPE_PMESII!$G$3:$G$62,_xlfn.AGGREGATE(15,6,(ROW(ASCOPE_PMESII!$F$3:$F$62)-ROW(ASCOPE_PMESII!$F$3)+1)/(ASCOPE_PMESII!$F$3:$F$62="PCS"),34-(COUNTIF(ASCOPE_PMESII!$B$3:$B$62,"PCS")+COUNTIF(ASCOPE_PMESII!$D$3:$D$62,"PCS")))),""),IF(34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34-(COUNTIF(ASCOPE_PMESII!$B$3:$B$62,"PCS")+COUNTIF(ASCOPE_PMESII!$D$3:$D$62,"PCS")+COUNTIF(ASCOPE_PMESII!$F$3:$F$62,"PCS")))),""),IF(34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34-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34-(COUNTIF(ASCOPE_PMESII!$B$3:$B$62,"PCS")+COUNTIF(ASCOPE_PMESII!$D$3:$D$62,"PCS")+COUNTIF(ASCOPE_PMESII!$F$3:$F$62,"PCS")+COUNTIF(ASCOPE_PMESII!$H$3:$H$62,"PCS")+COUNTIF(ASCOPE_PMESII!$J$3:$J$62,"PCS")))),"")))))),"")</f>
        <v/>
      </c>
    </row>
    <row r="38" spans="1:18" ht="34.5" customHeight="1">
      <c r="A38" s="21" t="str">
        <f t="array" ref="A38">IFERROR(IF(35&lt;=COUNTIF(ASCOPE_PMESII!$B$3:$B$62,"OE"),IFERROR(INDEX(ASCOPE_PMESII!$C$3:$C$62,_xlfn.AGGREGATE(15,6,(ROW(ASCOPE_PMESII!$B$3:$B$62)-ROW(ASCOPE_PMESII!$B$3)+1)/(ASCOPE_PMESII!$B$3:$B$62="OE"),35)),""),IF(35&lt;=(COUNTIF(ASCOPE_PMESII!$B$3:$B$62,"OE")+COUNTIF(ASCOPE_PMESII!$D$3:$D$62,"OE")),IFERROR(INDEX(ASCOPE_PMESII!$E$3:$E$62,_xlfn.AGGREGATE(15,6,(ROW(ASCOPE_PMESII!$D$3:$D$62)-ROW(ASCOPE_PMESII!$D$3)+1)/(ASCOPE_PMESII!$D$3:$D$62="OE"),35-(COUNTIF(ASCOPE_PMESII!$B$3:$B$62,"OE")))),""),IF(35&lt;=(COUNTIF(ASCOPE_PMESII!$B$3:$B$62,"OE")+COUNTIF(ASCOPE_PMESII!$D$3:$D$62,"OE")+COUNTIF(ASCOPE_PMESII!$F$3:$F$62,"OE")),IFERROR(INDEX(ASCOPE_PMESII!$G$3:$G$62,_xlfn.AGGREGATE(15,6,(ROW(ASCOPE_PMESII!$F$3:$F$62)-ROW(ASCOPE_PMESII!$F$3)+1)/(ASCOPE_PMESII!$F$3:$F$62="OE"),35-(COUNTIF(ASCOPE_PMESII!$B$3:$B$62,"OE")+COUNTIF(ASCOPE_PMESII!$D$3:$D$62,"OE")))),""),IF(35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35-(COUNTIF(ASCOPE_PMESII!$B$3:$B$62,"OE")+COUNTIF(ASCOPE_PMESII!$D$3:$D$62,"OE")+COUNTIF(ASCOPE_PMESII!$F$3:$F$62,"OE")))),""),IF(35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35-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35-(COUNTIF(ASCOPE_PMESII!$B$3:$B$62,"OE")+COUNTIF(ASCOPE_PMESII!$D$3:$D$62,"OE")+COUNTIF(ASCOPE_PMESII!$F$3:$F$62,"OE")+COUNTIF(ASCOPE_PMESII!$H$3:$H$62,"OE")+COUNTIF(ASCOPE_PMESII!$J$3:$J$62,"OE")))),"")))))),"")</f>
        <v/>
      </c>
      <c r="B38" s="21" t="str">
        <f t="array" ref="B38">IFERROR(IF(35&lt;=COUNTIF(ASCOPE_PMESII!$B$3:$B$62,"OA"),IFERROR(INDEX(ASCOPE_PMESII!$C$3:$C$62,_xlfn.AGGREGATE(15,6,(ROW(ASCOPE_PMESII!$B$3:$B$62)-ROW(ASCOPE_PMESII!$B$3)+1)/(ASCOPE_PMESII!$B$3:$B$62="OA"),35)),""),IF(35&lt;=(COUNTIF(ASCOPE_PMESII!$B$3:$B$62,"OA")+COUNTIF(ASCOPE_PMESII!$D$3:$D$62,"OA")),IFERROR(INDEX(ASCOPE_PMESII!$E$3:$E$62,_xlfn.AGGREGATE(15,6,(ROW(ASCOPE_PMESII!$D$3:$D$62)-ROW(ASCOPE_PMESII!$D$3)+1)/(ASCOPE_PMESII!$D$3:$D$62="OA"),35-(COUNTIF(ASCOPE_PMESII!$B$3:$B$62,"OA")))),""),IF(35&lt;=(COUNTIF(ASCOPE_PMESII!$B$3:$B$62,"OA")+COUNTIF(ASCOPE_PMESII!$D$3:$D$62,"OA")+COUNTIF(ASCOPE_PMESII!$F$3:$F$62,"OA")),IFERROR(INDEX(ASCOPE_PMESII!$G$3:$G$62,_xlfn.AGGREGATE(15,6,(ROW(ASCOPE_PMESII!$F$3:$F$62)-ROW(ASCOPE_PMESII!$F$3)+1)/(ASCOPE_PMESII!$F$3:$F$62="OA"),35-(COUNTIF(ASCOPE_PMESII!$B$3:$B$62,"OA")+COUNTIF(ASCOPE_PMESII!$D$3:$D$62,"OA")))),""),IF(35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35-(COUNTIF(ASCOPE_PMESII!$B$3:$B$62,"OA")+COUNTIF(ASCOPE_PMESII!$D$3:$D$62,"OA")+COUNTIF(ASCOPE_PMESII!$F$3:$F$62,"OA")))),""),IF(35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35-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35-(COUNTIF(ASCOPE_PMESII!$B$3:$B$62,"OA")+COUNTIF(ASCOPE_PMESII!$D$3:$D$62,"OA")+COUNTIF(ASCOPE_PMESII!$F$3:$F$62,"OA")+COUNTIF(ASCOPE_PMESII!$H$3:$H$62,"OA")+COUNTIF(ASCOPE_PMESII!$J$3:$J$62,"OA")))),"")))))),"")</f>
        <v/>
      </c>
      <c r="C38" s="21" t="str">
        <f t="array" ref="C38">IFERROR(IF(35&lt;=COUNTIF(ASCOPE_PMESII!$B$3:$B$62,"RISK"),IFERROR(INDEX(ASCOPE_PMESII!$C$3:$C$62,_xlfn.AGGREGATE(15,6,(ROW(ASCOPE_PMESII!$B$3:$B$62)-ROW(ASCOPE_PMESII!$B$3)+1)/(ASCOPE_PMESII!$B$3:$B$62="RISK"),35)),""),IF(35&lt;=(COUNTIF(ASCOPE_PMESII!$B$3:$B$62,"RISK")+COUNTIF(ASCOPE_PMESII!$D$3:$D$62,"RISK")),IFERROR(INDEX(ASCOPE_PMESII!$E$3:$E$62,_xlfn.AGGREGATE(15,6,(ROW(ASCOPE_PMESII!$D$3:$D$62)-ROW(ASCOPE_PMESII!$D$3)+1)/(ASCOPE_PMESII!$D$3:$D$62="RISK"),35-(COUNTIF(ASCOPE_PMESII!$B$3:$B$62,"RISK")))),""),IF(35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35-(COUNTIF(ASCOPE_PMESII!$B$3:$B$62,"RISK")+COUNTIF(ASCOPE_PMESII!$D$3:$D$62,"RISK")))),""),IF(35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35-(COUNTIF(ASCOPE_PMESII!$B$3:$B$62,"RISK")+COUNTIF(ASCOPE_PMESII!$D$3:$D$62,"RISK")+COUNTIF(ASCOPE_PMESII!$F$3:$F$62,"RISK")))),""),IF(35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35-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35-(COUNTIF(ASCOPE_PMESII!$B$3:$B$62,"RISK")+COUNTIF(ASCOPE_PMESII!$D$3:$D$62,"RISK")+COUNTIF(ASCOPE_PMESII!$F$3:$F$62,"RISK")+COUNTIF(ASCOPE_PMESII!$H$3:$H$62,"RISK")+COUNTIF(ASCOPE_PMESII!$J$3:$J$62,"RISK")))),"")))))),"")</f>
        <v>Protraction shifts advantage to IRS</v>
      </c>
      <c r="D38" s="21" t="str">
        <f t="array" ref="D38">IFERROR(IF(35&lt;=COUNTIF(ASCOPE_PMESII!$B$3:$B$62,"CV"),IFERROR(INDEX(ASCOPE_PMESII!$C$3:$C$62,_xlfn.AGGREGATE(15,6,(ROW(ASCOPE_PMESII!$B$3:$B$62)-ROW(ASCOPE_PMESII!$B$3)+1)/(ASCOPE_PMESII!$B$3:$B$62="CV"),35)),""),IF(35&lt;=(COUNTIF(ASCOPE_PMESII!$B$3:$B$62,"CV")+COUNTIF(ASCOPE_PMESII!$D$3:$D$62,"CV")),IFERROR(INDEX(ASCOPE_PMESII!$E$3:$E$62,_xlfn.AGGREGATE(15,6,(ROW(ASCOPE_PMESII!$D$3:$D$62)-ROW(ASCOPE_PMESII!$D$3)+1)/(ASCOPE_PMESII!$D$3:$D$62="CV"),35-(COUNTIF(ASCOPE_PMESII!$B$3:$B$62,"CV")))),""),IF(35&lt;=(COUNTIF(ASCOPE_PMESII!$B$3:$B$62,"CV")+COUNTIF(ASCOPE_PMESII!$D$3:$D$62,"CV")+COUNTIF(ASCOPE_PMESII!$F$3:$F$62,"CV")),IFERROR(INDEX(ASCOPE_PMESII!$G$3:$G$62,_xlfn.AGGREGATE(15,6,(ROW(ASCOPE_PMESII!$F$3:$F$62)-ROW(ASCOPE_PMESII!$F$3)+1)/(ASCOPE_PMESII!$F$3:$F$62="CV"),35-(COUNTIF(ASCOPE_PMESII!$B$3:$B$62,"CV")+COUNTIF(ASCOPE_PMESII!$D$3:$D$62,"CV")))),""),IF(35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35-(COUNTIF(ASCOPE_PMESII!$B$3:$B$62,"CV")+COUNTIF(ASCOPE_PMESII!$D$3:$D$62,"CV")+COUNTIF(ASCOPE_PMESII!$F$3:$F$62,"CV")))),""),IF(35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35-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35-(COUNTIF(ASCOPE_PMESII!$B$3:$B$62,"CV")+COUNTIF(ASCOPE_PMESII!$D$3:$D$62,"CV")+COUNTIF(ASCOPE_PMESII!$F$3:$F$62,"CV")+COUNTIF(ASCOPE_PMESII!$H$3:$H$62,"CV")+COUNTIF(ASCOPE_PMESII!$J$3:$J$62,"CV")))),"")))))),"")</f>
        <v>TCOs, NK and Chinese-linked actors support IRS</v>
      </c>
      <c r="E38" s="21" t="str">
        <f t="array" ref="E38">IFERROR(IF(35&lt;=COUNTIF(ASCOPE_PMESII!$B$3:$B$62,"COR"),IFERROR(INDEX(ASCOPE_PMESII!$C$3:$C$62,_xlfn.AGGREGATE(15,6,(ROW(ASCOPE_PMESII!$B$3:$B$62)-ROW(ASCOPE_PMESII!$B$3)+1)/(ASCOPE_PMESII!$B$3:$B$62="COR"),35)),""),IF(35&lt;=(COUNTIF(ASCOPE_PMESII!$B$3:$B$62,"COR")+COUNTIF(ASCOPE_PMESII!$D$3:$D$62,"COR")),IFERROR(INDEX(ASCOPE_PMESII!$E$3:$E$62,_xlfn.AGGREGATE(15,6,(ROW(ASCOPE_PMESII!$D$3:$D$62)-ROW(ASCOPE_PMESII!$D$3)+1)/(ASCOPE_PMESII!$D$3:$D$62="COR"),35-(COUNTIF(ASCOPE_PMESII!$B$3:$B$62,"COR")))),""),IF(35&lt;=(COUNTIF(ASCOPE_PMESII!$B$3:$B$62,"COR")+COUNTIF(ASCOPE_PMESII!$D$3:$D$62,"COR")+COUNTIF(ASCOPE_PMESII!$F$3:$F$62,"COR")),IFERROR(INDEX(ASCOPE_PMESII!$G$3:$G$62,_xlfn.AGGREGATE(15,6,(ROW(ASCOPE_PMESII!$F$3:$F$62)-ROW(ASCOPE_PMESII!$F$3)+1)/(ASCOPE_PMESII!$F$3:$F$62="COR"),35-(COUNTIF(ASCOPE_PMESII!$B$3:$B$62,"COR")+COUNTIF(ASCOPE_PMESII!$D$3:$D$62,"COR")))),""),IF(35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35-(COUNTIF(ASCOPE_PMESII!$B$3:$B$62,"COR")+COUNTIF(ASCOPE_PMESII!$D$3:$D$62,"COR")+COUNTIF(ASCOPE_PMESII!$F$3:$F$62,"COR")))),""),IF(35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35-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35-(COUNTIF(ASCOPE_PMESII!$B$3:$B$62,"COR")+COUNTIF(ASCOPE_PMESII!$D$3:$D$62,"COR")+COUNTIF(ASCOPE_PMESII!$F$3:$F$62,"COR")+COUNTIF(ASCOPE_PMESII!$H$3:$H$62,"COR")+COUNTIF(ASCOPE_PMESII!$J$3:$J$62,"COR")))),"")))))),"")</f>
        <v>Pre-empt tariff announcements and port seizures</v>
      </c>
      <c r="F38" s="21" t="str">
        <f t="array" ref="F38">IFERROR(IF(35&lt;=COUNTIF(ASCOPE_PMESII!$B$3:$B$62,"REQT"),IFERROR(INDEX(ASCOPE_PMESII!$C$3:$C$62,_xlfn.AGGREGATE(15,6,(ROW(ASCOPE_PMESII!$B$3:$B$62)-ROW(ASCOPE_PMESII!$B$3)+1)/(ASCOPE_PMESII!$B$3:$B$62="REQT"),35)),""),IF(35&lt;=(COUNTIF(ASCOPE_PMESII!$B$3:$B$62,"REQT")+COUNTIF(ASCOPE_PMESII!$D$3:$D$62,"REQT")),IFERROR(INDEX(ASCOPE_PMESII!$E$3:$E$62,_xlfn.AGGREGATE(15,6,(ROW(ASCOPE_PMESII!$D$3:$D$62)-ROW(ASCOPE_PMESII!$D$3)+1)/(ASCOPE_PMESII!$D$3:$D$62="REQT"),35-(COUNTIF(ASCOPE_PMESII!$B$3:$B$62,"REQT")))),""),IF(35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35-(COUNTIF(ASCOPE_PMESII!$B$3:$B$62,"REQT")+COUNTIF(ASCOPE_PMESII!$D$3:$D$62,"REQT")))),""),IF(35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35-(COUNTIF(ASCOPE_PMESII!$B$3:$B$62,"REQT")+COUNTIF(ASCOPE_PMESII!$D$3:$D$62,"REQT")+COUNTIF(ASCOPE_PMESII!$F$3:$F$62,"REQT")))),""),IF(35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35-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35-(COUNTIF(ASCOPE_PMESII!$B$3:$B$62,"REQT")+COUNTIF(ASCOPE_PMESII!$D$3:$D$62,"REQT")+COUNTIF(ASCOPE_PMESII!$F$3:$F$62,"REQT")+COUNTIF(ASCOPE_PMESII!$H$3:$H$62,"REQT")+COUNTIF(ASCOPE_PMESII!$J$3:$J$62,"REQT")))),"")))))),"")</f>
        <v/>
      </c>
      <c r="G38" s="21" t="str">
        <f t="array" ref="G38">IFERROR(IF(35&lt;=COUNTIF(ASCOPE_PMESII!$B$3:$B$62,"REST"),IFERROR(INDEX(ASCOPE_PMESII!$C$3:$C$62,_xlfn.AGGREGATE(15,6,(ROW(ASCOPE_PMESII!$B$3:$B$62)-ROW(ASCOPE_PMESII!$B$3)+1)/(ASCOPE_PMESII!$B$3:$B$62="REST"),35)),""),IF(35&lt;=(COUNTIF(ASCOPE_PMESII!$B$3:$B$62,"REST")+COUNTIF(ASCOPE_PMESII!$D$3:$D$62,"REST")),IFERROR(INDEX(ASCOPE_PMESII!$E$3:$E$62,_xlfn.AGGREGATE(15,6,(ROW(ASCOPE_PMESII!$D$3:$D$62)-ROW(ASCOPE_PMESII!$D$3)+1)/(ASCOPE_PMESII!$D$3:$D$62="REST"),35-(COUNTIF(ASCOPE_PMESII!$B$3:$B$62,"REST")))),""),IF(35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35-(COUNTIF(ASCOPE_PMESII!$B$3:$B$62,"REST")+COUNTIF(ASCOPE_PMESII!$D$3:$D$62,"REST")))),""),IF(35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35-(COUNTIF(ASCOPE_PMESII!$B$3:$B$62,"REST")+COUNTIF(ASCOPE_PMESII!$D$3:$D$62,"REST")+COUNTIF(ASCOPE_PMESII!$F$3:$F$62,"REST")))),""),IF(35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35-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35-(COUNTIF(ASCOPE_PMESII!$B$3:$B$62,"REST")+COUNTIF(ASCOPE_PMESII!$D$3:$D$62,"REST")+COUNTIF(ASCOPE_PMESII!$F$3:$F$62,"REST")+COUNTIF(ASCOPE_PMESII!$H$3:$H$62,"REST")+COUNTIF(ASCOPE_PMESII!$J$3:$J$62,"REST")))),"")))))),"")</f>
        <v/>
      </c>
      <c r="H38" s="21" t="str">
        <f t="array" ref="H38">IFERROR(IF(35&lt;=COUNTIF(ASCOPE_PMESII!$B$3:$B$62,"KCD-MUST"),IFERROR(INDEX(ASCOPE_PMESII!$C$3:$C$62,_xlfn.AGGREGATE(15,6,(ROW(ASCOPE_PMESII!$B$3:$B$62)-ROW(ASCOPE_PMESII!$B$3)+1)/(ASCOPE_PMESII!$B$3:$B$62="KCD-MUST"),35)),""),IF(35&lt;=(COUNTIF(ASCOPE_PMESII!$B$3:$B$62,"KCD-MUST")+COUNTIF(ASCOPE_PMESII!$D$3:$D$62,"KCD-MUST")),IFERROR(INDEX(ASCOPE_PMESII!$E$3:$E$62,_xlfn.AGGREGATE(15,6,(ROW(ASCOPE_PMESII!$D$3:$D$62)-ROW(ASCOPE_PMESII!$D$3)+1)/(ASCOPE_PMESII!$D$3:$D$62="KCD-MUST"),35-(COUNTIF(ASCOPE_PMESII!$B$3:$B$62,"KCD-MUST")))),""),IF(35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35-(COUNTIF(ASCOPE_PMESII!$B$3:$B$62,"KCD-MUST")+COUNTIF(ASCOPE_PMESII!$D$3:$D$62,"KCD-MUST")))),""),IF(35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35-(COUNTIF(ASCOPE_PMESII!$B$3:$B$62,"KCD-MUST")+COUNTIF(ASCOPE_PMESII!$D$3:$D$62,"KCD-MUST")+COUNTIF(ASCOPE_PMESII!$F$3:$F$62,"KCD-MUST")))),""),IF(35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35-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35-(COUNTIF(ASCOPE_PMESII!$B$3:$B$62,"KCD-MUST")+COUNTIF(ASCOPE_PMESII!$D$3:$D$62,"KCD-MUST")+COUNTIF(ASCOPE_PMESII!$F$3:$F$62,"KCD-MUST")+COUNTIF(ASCOPE_PMESII!$H$3:$H$62,"KCD-MUST")+COUNTIF(ASCOPE_PMESII!$J$3:$J$62,"KCD-MUST")))),"")))))),"")</f>
        <v>Prepare branches for bridge, port and POL sabotage</v>
      </c>
      <c r="I38" s="21" t="str">
        <f t="array" ref="I38">IFERROR(IF(35&lt;=COUNTIF(ASCOPE_PMESII!$B$3:$B$62,"KCD-SHOULD"),IFERROR(INDEX(ASCOPE_PMESII!$C$3:$C$62,_xlfn.AGGREGATE(15,6,(ROW(ASCOPE_PMESII!$B$3:$B$62)-ROW(ASCOPE_PMESII!$B$3)+1)/(ASCOPE_PMESII!$B$3:$B$62="KCD-SHOULD"),35)),""),IF(35&lt;=(COUNTIF(ASCOPE_PMESII!$B$3:$B$62,"KCD-SHOULD")+COUNTIF(ASCOPE_PMESII!$D$3:$D$62,"KCD-SHOULD")),IFERROR(INDEX(ASCOPE_PMESII!$E$3:$E$62,_xlfn.AGGREGATE(15,6,(ROW(ASCOPE_PMESII!$D$3:$D$62)-ROW(ASCOPE_PMESII!$D$3)+1)/(ASCOPE_PMESII!$D$3:$D$62="KCD-SHOULD"),35-(COUNTIF(ASCOPE_PMESII!$B$3:$B$62,"KCD-SHOULD")))),""),IF(35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35-(COUNTIF(ASCOPE_PMESII!$B$3:$B$62,"KCD-SHOULD")+COUNTIF(ASCOPE_PMESII!$D$3:$D$62,"KCD-SHOULD")))),""),IF(35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35-(COUNTIF(ASCOPE_PMESII!$B$3:$B$62,"KCD-SHOULD")+COUNTIF(ASCOPE_PMESII!$D$3:$D$62,"KCD-SHOULD")+COUNTIF(ASCOPE_PMESII!$F$3:$F$62,"KCD-SHOULD")))),""),IF(35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35-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35-(COUNTIF(ASCOPE_PMESII!$B$3:$B$62,"KCD-SHOULD")+COUNTIF(ASCOPE_PMESII!$D$3:$D$62,"KCD-SHOULD")+COUNTIF(ASCOPE_PMESII!$F$3:$F$62,"KCD-SHOULD")+COUNTIF(ASCOPE_PMESII!$H$3:$H$62,"KCD-SHOULD")+COUNTIF(ASCOPE_PMESII!$J$3:$J$62,"KCD-SHOULD")))),"")))))),"")</f>
        <v>Pre-position repair and EOD assets</v>
      </c>
      <c r="J38" s="21" t="str">
        <f t="array" ref="J38">IFERROR(IF(35&lt;=COUNTIF(ASCOPE_PMESII!$B$3:$B$62,"KCD-SHOULD NOT"),IFERROR(INDEX(ASCOPE_PMESII!$C$3:$C$62,_xlfn.AGGREGATE(15,6,(ROW(ASCOPE_PMESII!$B$3:$B$62)-ROW(ASCOPE_PMESII!$B$3)+1)/(ASCOPE_PMESII!$B$3:$B$62="KCD-SHOULD NOT"),35)),""),IF(35&lt;=(COUNTIF(ASCOPE_PMESII!$B$3:$B$62,"KCD-SHOULD NOT")+COUNTIF(ASCOPE_PMESII!$D$3:$D$62,"KCD-SHOULD NOT")),IFERROR(INDEX(ASCOPE_PMESII!$E$3:$E$62,_xlfn.AGGREGATE(15,6,(ROW(ASCOPE_PMESII!$D$3:$D$62)-ROW(ASCOPE_PMESII!$D$3)+1)/(ASCOPE_PMESII!$D$3:$D$62="KCD-SHOULD NOT"),35-(COUNTIF(ASCOPE_PMESII!$B$3:$B$62,"KCD-SHOULD NOT")))),""),IF(35&lt;=(COUNTIF(ASCOPE_PMESII!$B$3:$B$62,"KCD-SHOULD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NOT"),35-(COUNTIF(ASCOPE_PMESII!$B$3:$B$62,"KCD-SHOULD NOT")+COUNTIF(ASCOPE_PMESII!$D$3:$D$62,"KCD-SHOULD NOT")))),""),IF(35&lt;=(COUNTIF(ASCOPE_PMESII!$B$3:$B$62,"KCD-SHOULD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NOT"),35-(COUNTIF(ASCOPE_PMESII!$B$3:$B$62,"KCD-SHOULD NOT")+COUNTIF(ASCOPE_PMESII!$D$3:$D$62,"KCD-SHOULD NOT")+COUNTIF(ASCOPE_PMESII!$F$3:$F$62,"KCD-SHOULD NOT")))),""),IF(35&lt;=(COUNTIF(ASCOPE_PMESII!$B$3:$B$62,"KCD-SHOULD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NOT"),35-(COUNTIF(ASCOPE_PMESII!$B$3:$B$62,"KCD-SHOULD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NOT"),35-(COUNTIF(ASCOPE_PMESII!$B$3:$B$62,"KCD-SHOULD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38" s="21" t="str">
        <f t="array" ref="K38">IFERROR(IF(35&lt;=COUNTIF(ASCOPE_PMESII!$B$3:$B$62,"KCD-CANNOT"),IFERROR(INDEX(ASCOPE_PMESII!$C$3:$C$62,_xlfn.AGGREGATE(15,6,(ROW(ASCOPE_PMESII!$B$3:$B$62)-ROW(ASCOPE_PMESII!$B$3)+1)/(ASCOPE_PMESII!$B$3:$B$62="KCD-CANNOT"),35)),""),IF(35&lt;=(COUNTIF(ASCOPE_PMESII!$B$3:$B$62,"KCD-CANNOT")+COUNTIF(ASCOPE_PMESII!$D$3:$D$62,"KCD-CANNOT")),IFERROR(INDEX(ASCOPE_PMESII!$E$3:$E$62,_xlfn.AGGREGATE(15,6,(ROW(ASCOPE_PMESII!$D$3:$D$62)-ROW(ASCOPE_PMESII!$D$3)+1)/(ASCOPE_PMESII!$D$3:$D$62="KCD-CANNOT"),35-(COUNTIF(ASCOPE_PMESII!$B$3:$B$62,"KCD-CANNOT")))),""),IF(35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35-(COUNTIF(ASCOPE_PMESII!$B$3:$B$62,"KCD-CANNOT")+COUNTIF(ASCOPE_PMESII!$D$3:$D$62,"KCD-CANNOT")))),""),IF(35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35-(COUNTIF(ASCOPE_PMESII!$B$3:$B$62,"KCD-CANNOT")+COUNTIF(ASCOPE_PMESII!$D$3:$D$62,"KCD-CANNOT")+COUNTIF(ASCOPE_PMESII!$F$3:$F$62,"KCD-CANNOT")))),""),IF(35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35-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35-(COUNTIF(ASCOPE_PMESII!$B$3:$B$62,"KCD-CANNOT")+COUNTIF(ASCOPE_PMESII!$D$3:$D$62,"KCD-CANNOT")+COUNTIF(ASCOPE_PMESII!$F$3:$F$62,"KCD-CANNOT")+COUNTIF(ASCOPE_PMESII!$H$3:$H$62,"KCD-CANNOT")+COUNTIF(ASCOPE_PMESII!$J$3:$J$62,"KCD-CANNOT")))),"")))))),"")</f>
        <v>Cannot assume captured infrastructure remains usable</v>
      </c>
      <c r="L38" s="21" t="str">
        <f t="array" ref="L38">IFERROR(IF(35&lt;=COUNTIF(ASCOPE_PMESII!$B$3:$B$62,"DECISION"),IFERROR(INDEX(ASCOPE_PMESII!$C$3:$C$62,_xlfn.AGGREGATE(15,6,(ROW(ASCOPE_PMESII!$B$3:$B$62)-ROW(ASCOPE_PMESII!$B$3)+1)/(ASCOPE_PMESII!$B$3:$B$62="DECISION"),35)),""),IF(35&lt;=(COUNTIF(ASCOPE_PMESII!$B$3:$B$62,"DECISION")+COUNTIF(ASCOPE_PMESII!$D$3:$D$62,"DECISION")),IFERROR(INDEX(ASCOPE_PMESII!$E$3:$E$62,_xlfn.AGGREGATE(15,6,(ROW(ASCOPE_PMESII!$D$3:$D$62)-ROW(ASCOPE_PMESII!$D$3)+1)/(ASCOPE_PMESII!$D$3:$D$62="DECISION"),35-(COUNTIF(ASCOPE_PMESII!$B$3:$B$62,"DECISION")))),""),IF(35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35-(COUNTIF(ASCOPE_PMESII!$B$3:$B$62,"DECISION")+COUNTIF(ASCOPE_PMESII!$D$3:$D$62,"DECISION")))),""),IF(35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35-(COUNTIF(ASCOPE_PMESII!$B$3:$B$62,"DECISION")+COUNTIF(ASCOPE_PMESII!$D$3:$D$62,"DECISION")+COUNTIF(ASCOPE_PMESII!$F$3:$F$62,"DECISION")))),""),IF(35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35-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35-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38" s="21" t="str">
        <f t="array" ref="M38">IFERROR(IF(35&lt;=COUNTIF(ASCOPE_PMESII!$B$3:$B$62,"ASSUMPTION"),IFERROR(INDEX(ASCOPE_PMESII!$C$3:$C$62,_xlfn.AGGREGATE(15,6,(ROW(ASCOPE_PMESII!$B$3:$B$62)-ROW(ASCOPE_PMESII!$B$3)+1)/(ASCOPE_PMESII!$B$3:$B$62="ASSUMPTION"),35)),""),IF(35&lt;=(COUNTIF(ASCOPE_PMESII!$B$3:$B$62,"ASSUMPTION")+COUNTIF(ASCOPE_PMESII!$D$3:$D$62,"ASSUMPTION")),IFERROR(INDEX(ASCOPE_PMESII!$E$3:$E$62,_xlfn.AGGREGATE(15,6,(ROW(ASCOPE_PMESII!$D$3:$D$62)-ROW(ASCOPE_PMESII!$D$3)+1)/(ASCOPE_PMESII!$D$3:$D$62="ASSUMPTION"),35-(COUNTIF(ASCOPE_PMESII!$B$3:$B$62,"ASSUMPTION")))),""),IF(35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35-(COUNTIF(ASCOPE_PMESII!$B$3:$B$62,"ASSUMPTION")+COUNTIF(ASCOPE_PMESII!$D$3:$D$62,"ASSUMPTION")))),""),IF(35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35-(COUNTIF(ASCOPE_PMESII!$B$3:$B$62,"ASSUMPTION")+COUNTIF(ASCOPE_PMESII!$D$3:$D$62,"ASSUMPTION")+COUNTIF(ASCOPE_PMESII!$F$3:$F$62,"ASSUMPTION")))),""),IF(35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35-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35-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38" s="21" t="str">
        <f t="array" ref="N38">IFERROR(IF(35&lt;=COUNTIF(ASCOPE_PMESII!$B$3:$B$62,"CONSTRAINT"),IFERROR(INDEX(ASCOPE_PMESII!$C$3:$C$62,_xlfn.AGGREGATE(15,6,(ROW(ASCOPE_PMESII!$B$3:$B$62)-ROW(ASCOPE_PMESII!$B$3)+1)/(ASCOPE_PMESII!$B$3:$B$62="CONSTRAINT"),35)),""),IF(35&lt;=(COUNTIF(ASCOPE_PMESII!$B$3:$B$62,"CONSTRAINT")+COUNTIF(ASCOPE_PMESII!$D$3:$D$62,"CONSTRAINT")),IFERROR(INDEX(ASCOPE_PMESII!$E$3:$E$62,_xlfn.AGGREGATE(15,6,(ROW(ASCOPE_PMESII!$D$3:$D$62)-ROW(ASCOPE_PMESII!$D$3)+1)/(ASCOPE_PMESII!$D$3:$D$62="CONSTRAINT"),35-(COUNTIF(ASCOPE_PMESII!$B$3:$B$62,"CONSTRAINT")))),""),IF(35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35-(COUNTIF(ASCOPE_PMESII!$B$3:$B$62,"CONSTRAINT")+COUNTIF(ASCOPE_PMESII!$D$3:$D$62,"CONSTRAINT")))),""),IF(35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35-(COUNTIF(ASCOPE_PMESII!$B$3:$B$62,"CONSTRAINT")+COUNTIF(ASCOPE_PMESII!$D$3:$D$62,"CONSTRAINT")+COUNTIF(ASCOPE_PMESII!$F$3:$F$62,"CONSTRAINT")))),""),IF(35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35-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35-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38" s="21" t="str">
        <f t="array" ref="O38">IFERROR(IF(35&lt;=COUNTIF(ASCOPE_PMESII!$B$3:$B$62,"LIMITATION"),IFERROR(INDEX(ASCOPE_PMESII!$C$3:$C$62,_xlfn.AGGREGATE(15,6,(ROW(ASCOPE_PMESII!$B$3:$B$62)-ROW(ASCOPE_PMESII!$B$3)+1)/(ASCOPE_PMESII!$B$3:$B$62="LIMITATION"),35)),""),IF(35&lt;=(COUNTIF(ASCOPE_PMESII!$B$3:$B$62,"LIMITATION")+COUNTIF(ASCOPE_PMESII!$D$3:$D$62,"LIMITATION")),IFERROR(INDEX(ASCOPE_PMESII!$E$3:$E$62,_xlfn.AGGREGATE(15,6,(ROW(ASCOPE_PMESII!$D$3:$D$62)-ROW(ASCOPE_PMESII!$D$3)+1)/(ASCOPE_PMESII!$D$3:$D$62="LIMITATION"),35-(COUNTIF(ASCOPE_PMESII!$B$3:$B$62,"LIMITATION")))),""),IF(35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35-(COUNTIF(ASCOPE_PMESII!$B$3:$B$62,"LIMITATION")+COUNTIF(ASCOPE_PMESII!$D$3:$D$62,"LIMITATION")))),""),IF(35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35-(COUNTIF(ASCOPE_PMESII!$B$3:$B$62,"LIMITATION")+COUNTIF(ASCOPE_PMESII!$D$3:$D$62,"LIMITATION")+COUNTIF(ASCOPE_PMESII!$F$3:$F$62,"LIMITATION")))),""),IF(35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35-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35-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38" s="21" t="str">
        <f t="array" ref="P38">IFERROR(IF(35&lt;=COUNTIF(ASCOPE_PMESII!$B$3:$B$62,"CC"),IFERROR(INDEX(ASCOPE_PMESII!$C$3:$C$62,_xlfn.AGGREGATE(15,6,(ROW(ASCOPE_PMESII!$B$3:$B$62)-ROW(ASCOPE_PMESII!$B$3)+1)/(ASCOPE_PMESII!$B$3:$B$62="CC"),35)),""),IF(35&lt;=(COUNTIF(ASCOPE_PMESII!$B$3:$B$62,"CC")+COUNTIF(ASCOPE_PMESII!$D$3:$D$62,"CC")),IFERROR(INDEX(ASCOPE_PMESII!$E$3:$E$62,_xlfn.AGGREGATE(15,6,(ROW(ASCOPE_PMESII!$D$3:$D$62)-ROW(ASCOPE_PMESII!$D$3)+1)/(ASCOPE_PMESII!$D$3:$D$62="CC"),35-(COUNTIF(ASCOPE_PMESII!$B$3:$B$62,"CC")))),""),IF(35&lt;=(COUNTIF(ASCOPE_PMESII!$B$3:$B$62,"CC")+COUNTIF(ASCOPE_PMESII!$D$3:$D$62,"CC")+COUNTIF(ASCOPE_PMESII!$F$3:$F$62,"CC")),IFERROR(INDEX(ASCOPE_PMESII!$G$3:$G$62,_xlfn.AGGREGATE(15,6,(ROW(ASCOPE_PMESII!$F$3:$F$62)-ROW(ASCOPE_PMESII!$F$3)+1)/(ASCOPE_PMESII!$F$3:$F$62="CC"),35-(COUNTIF(ASCOPE_PMESII!$B$3:$B$62,"CC")+COUNTIF(ASCOPE_PMESII!$D$3:$D$62,"CC")))),""),IF(35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35-(COUNTIF(ASCOPE_PMESII!$B$3:$B$62,"CC")+COUNTIF(ASCOPE_PMESII!$D$3:$D$62,"CC")+COUNTIF(ASCOPE_PMESII!$F$3:$F$62,"CC")))),""),IF(35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35-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35-(COUNTIF(ASCOPE_PMESII!$B$3:$B$62,"CC")+COUNTIF(ASCOPE_PMESII!$D$3:$D$62,"CC")+COUNTIF(ASCOPE_PMESII!$F$3:$F$62,"CC")+COUNTIF(ASCOPE_PMESII!$H$3:$H$62,"CC")+COUNTIF(ASCOPE_PMESII!$J$3:$J$62,"CC")))),"")))))),"")</f>
        <v>Energy workers sustain strategic infrastructure</v>
      </c>
      <c r="Q38" s="21" t="str">
        <f t="array" ref="Q38">IFERROR(IF(35&lt;=COUNTIF(ASCOPE_PMESII!$B$3:$B$62,"CR"),IFERROR(INDEX(ASCOPE_PMESII!$C$3:$C$62,_xlfn.AGGREGATE(15,6,(ROW(ASCOPE_PMESII!$B$3:$B$62)-ROW(ASCOPE_PMESII!$B$3)+1)/(ASCOPE_PMESII!$B$3:$B$62="CR"),35)),""),IF(35&lt;=(COUNTIF(ASCOPE_PMESII!$B$3:$B$62,"CR")+COUNTIF(ASCOPE_PMESII!$D$3:$D$62,"CR")),IFERROR(INDEX(ASCOPE_PMESII!$E$3:$E$62,_xlfn.AGGREGATE(15,6,(ROW(ASCOPE_PMESII!$D$3:$D$62)-ROW(ASCOPE_PMESII!$D$3)+1)/(ASCOPE_PMESII!$D$3:$D$62="CR"),35-(COUNTIF(ASCOPE_PMESII!$B$3:$B$62,"CR")))),""),IF(35&lt;=(COUNTIF(ASCOPE_PMESII!$B$3:$B$62,"CR")+COUNTIF(ASCOPE_PMESII!$D$3:$D$62,"CR")+COUNTIF(ASCOPE_PMESII!$F$3:$F$62,"CR")),IFERROR(INDEX(ASCOPE_PMESII!$G$3:$G$62,_xlfn.AGGREGATE(15,6,(ROW(ASCOPE_PMESII!$F$3:$F$62)-ROW(ASCOPE_PMESII!$F$3)+1)/(ASCOPE_PMESII!$F$3:$F$62="CR"),35-(COUNTIF(ASCOPE_PMESII!$B$3:$B$62,"CR")+COUNTIF(ASCOPE_PMESII!$D$3:$D$62,"CR")))),""),IF(35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35-(COUNTIF(ASCOPE_PMESII!$B$3:$B$62,"CR")+COUNTIF(ASCOPE_PMESII!$D$3:$D$62,"CR")+COUNTIF(ASCOPE_PMESII!$F$3:$F$62,"CR")))),""),IF(35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35-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35-(COUNTIF(ASCOPE_PMESII!$B$3:$B$62,"CR")+COUNTIF(ASCOPE_PMESII!$D$3:$D$62,"CR")+COUNTIF(ASCOPE_PMESII!$F$3:$F$62,"CR")+COUNTIF(ASCOPE_PMESII!$H$3:$H$62,"CR")+COUNTIF(ASCOPE_PMESII!$J$3:$J$62,"CR")))),"")))))),"")</f>
        <v>Weather thresholds tied to branch plans required</v>
      </c>
      <c r="R38" s="94" t="str">
        <f t="array" ref="R38">IFERROR(IF(35&lt;=COUNTIF(ASCOPE_PMESII!$B$3:$B$62,"PCS"),IFERROR(INDEX(ASCOPE_PMESII!$C$3:$C$62,_xlfn.AGGREGATE(15,6,(ROW(ASCOPE_PMESII!$B$3:$B$62)-ROW(ASCOPE_PMESII!$B$3)+1)/(ASCOPE_PMESII!$B$3:$B$62="PCS"),35)),""),IF(35&lt;=(COUNTIF(ASCOPE_PMESII!$B$3:$B$62,"PCS")+COUNTIF(ASCOPE_PMESII!$D$3:$D$62,"PCS")),IFERROR(INDEX(ASCOPE_PMESII!$E$3:$E$62,_xlfn.AGGREGATE(15,6,(ROW(ASCOPE_PMESII!$D$3:$D$62)-ROW(ASCOPE_PMESII!$D$3)+1)/(ASCOPE_PMESII!$D$3:$D$62="PCS"),35-(COUNTIF(ASCOPE_PMESII!$B$3:$B$62,"PCS")))),""),IF(35&lt;=(COUNTIF(ASCOPE_PMESII!$B$3:$B$62,"PCS")+COUNTIF(ASCOPE_PMESII!$D$3:$D$62,"PCS")+COUNTIF(ASCOPE_PMESII!$F$3:$F$62,"PCS")),IFERROR(INDEX(ASCOPE_PMESII!$G$3:$G$62,_xlfn.AGGREGATE(15,6,(ROW(ASCOPE_PMESII!$F$3:$F$62)-ROW(ASCOPE_PMESII!$F$3)+1)/(ASCOPE_PMESII!$F$3:$F$62="PCS"),35-(COUNTIF(ASCOPE_PMESII!$B$3:$B$62,"PCS")+COUNTIF(ASCOPE_PMESII!$D$3:$D$62,"PCS")))),""),IF(35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35-(COUNTIF(ASCOPE_PMESII!$B$3:$B$62,"PCS")+COUNTIF(ASCOPE_PMESII!$D$3:$D$62,"PCS")+COUNTIF(ASCOPE_PMESII!$F$3:$F$62,"PCS")))),""),IF(35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35-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35-(COUNTIF(ASCOPE_PMESII!$B$3:$B$62,"PCS")+COUNTIF(ASCOPE_PMESII!$D$3:$D$62,"PCS")+COUNTIF(ASCOPE_PMESII!$F$3:$F$62,"PCS")+COUNTIF(ASCOPE_PMESII!$H$3:$H$62,"PCS")+COUNTIF(ASCOPE_PMESII!$J$3:$J$62,"PCS")))),"")))))),"")</f>
        <v/>
      </c>
    </row>
    <row r="39" spans="1:18" ht="34.5" customHeight="1">
      <c r="A39" s="22" t="str">
        <f t="array" ref="A39">IFERROR(IF(36&lt;=COUNTIF(ASCOPE_PMESII!$B$3:$B$62,"OE"),IFERROR(INDEX(ASCOPE_PMESII!$C$3:$C$62,_xlfn.AGGREGATE(15,6,(ROW(ASCOPE_PMESII!$B$3:$B$62)-ROW(ASCOPE_PMESII!$B$3)+1)/(ASCOPE_PMESII!$B$3:$B$62="OE"),36)),""),IF(36&lt;=(COUNTIF(ASCOPE_PMESII!$B$3:$B$62,"OE")+COUNTIF(ASCOPE_PMESII!$D$3:$D$62,"OE")),IFERROR(INDEX(ASCOPE_PMESII!$E$3:$E$62,_xlfn.AGGREGATE(15,6,(ROW(ASCOPE_PMESII!$D$3:$D$62)-ROW(ASCOPE_PMESII!$D$3)+1)/(ASCOPE_PMESII!$D$3:$D$62="OE"),36-(COUNTIF(ASCOPE_PMESII!$B$3:$B$62,"OE")))),""),IF(36&lt;=(COUNTIF(ASCOPE_PMESII!$B$3:$B$62,"OE")+COUNTIF(ASCOPE_PMESII!$D$3:$D$62,"OE")+COUNTIF(ASCOPE_PMESII!$F$3:$F$62,"OE")),IFERROR(INDEX(ASCOPE_PMESII!$G$3:$G$62,_xlfn.AGGREGATE(15,6,(ROW(ASCOPE_PMESII!$F$3:$F$62)-ROW(ASCOPE_PMESII!$F$3)+1)/(ASCOPE_PMESII!$F$3:$F$62="OE"),36-(COUNTIF(ASCOPE_PMESII!$B$3:$B$62,"OE")+COUNTIF(ASCOPE_PMESII!$D$3:$D$62,"OE")))),""),IF(36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36-(COUNTIF(ASCOPE_PMESII!$B$3:$B$62,"OE")+COUNTIF(ASCOPE_PMESII!$D$3:$D$62,"OE")+COUNTIF(ASCOPE_PMESII!$F$3:$F$62,"OE")))),""),IF(36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36-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36-(COUNTIF(ASCOPE_PMESII!$B$3:$B$62,"OE")+COUNTIF(ASCOPE_PMESII!$D$3:$D$62,"OE")+COUNTIF(ASCOPE_PMESII!$F$3:$F$62,"OE")+COUNTIF(ASCOPE_PMESII!$H$3:$H$62,"OE")+COUNTIF(ASCOPE_PMESII!$J$3:$J$62,"OE")))),"")))))),"")</f>
        <v/>
      </c>
      <c r="B39" s="22" t="str">
        <f t="array" ref="B39">IFERROR(IF(36&lt;=COUNTIF(ASCOPE_PMESII!$B$3:$B$62,"OA"),IFERROR(INDEX(ASCOPE_PMESII!$C$3:$C$62,_xlfn.AGGREGATE(15,6,(ROW(ASCOPE_PMESII!$B$3:$B$62)-ROW(ASCOPE_PMESII!$B$3)+1)/(ASCOPE_PMESII!$B$3:$B$62="OA"),36)),""),IF(36&lt;=(COUNTIF(ASCOPE_PMESII!$B$3:$B$62,"OA")+COUNTIF(ASCOPE_PMESII!$D$3:$D$62,"OA")),IFERROR(INDEX(ASCOPE_PMESII!$E$3:$E$62,_xlfn.AGGREGATE(15,6,(ROW(ASCOPE_PMESII!$D$3:$D$62)-ROW(ASCOPE_PMESII!$D$3)+1)/(ASCOPE_PMESII!$D$3:$D$62="OA"),36-(COUNTIF(ASCOPE_PMESII!$B$3:$B$62,"OA")))),""),IF(36&lt;=(COUNTIF(ASCOPE_PMESII!$B$3:$B$62,"OA")+COUNTIF(ASCOPE_PMESII!$D$3:$D$62,"OA")+COUNTIF(ASCOPE_PMESII!$F$3:$F$62,"OA")),IFERROR(INDEX(ASCOPE_PMESII!$G$3:$G$62,_xlfn.AGGREGATE(15,6,(ROW(ASCOPE_PMESII!$F$3:$F$62)-ROW(ASCOPE_PMESII!$F$3)+1)/(ASCOPE_PMESII!$F$3:$F$62="OA"),36-(COUNTIF(ASCOPE_PMESII!$B$3:$B$62,"OA")+COUNTIF(ASCOPE_PMESII!$D$3:$D$62,"OA")))),""),IF(36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36-(COUNTIF(ASCOPE_PMESII!$B$3:$B$62,"OA")+COUNTIF(ASCOPE_PMESII!$D$3:$D$62,"OA")+COUNTIF(ASCOPE_PMESII!$F$3:$F$62,"OA")))),""),IF(36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36-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36-(COUNTIF(ASCOPE_PMESII!$B$3:$B$62,"OA")+COUNTIF(ASCOPE_PMESII!$D$3:$D$62,"OA")+COUNTIF(ASCOPE_PMESII!$F$3:$F$62,"OA")+COUNTIF(ASCOPE_PMESII!$H$3:$H$62,"OA")+COUNTIF(ASCOPE_PMESII!$J$3:$J$62,"OA")))),"")))))),"")</f>
        <v/>
      </c>
      <c r="C39" s="22" t="str">
        <f t="array" ref="C39">IFERROR(IF(36&lt;=COUNTIF(ASCOPE_PMESII!$B$3:$B$62,"RISK"),IFERROR(INDEX(ASCOPE_PMESII!$C$3:$C$62,_xlfn.AGGREGATE(15,6,(ROW(ASCOPE_PMESII!$B$3:$B$62)-ROW(ASCOPE_PMESII!$B$3)+1)/(ASCOPE_PMESII!$B$3:$B$62="RISK"),36)),""),IF(36&lt;=(COUNTIF(ASCOPE_PMESII!$B$3:$B$62,"RISK")+COUNTIF(ASCOPE_PMESII!$D$3:$D$62,"RISK")),IFERROR(INDEX(ASCOPE_PMESII!$E$3:$E$62,_xlfn.AGGREGATE(15,6,(ROW(ASCOPE_PMESII!$D$3:$D$62)-ROW(ASCOPE_PMESII!$D$3)+1)/(ASCOPE_PMESII!$D$3:$D$62="RISK"),36-(COUNTIF(ASCOPE_PMESII!$B$3:$B$62,"RISK")))),""),IF(36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36-(COUNTIF(ASCOPE_PMESII!$B$3:$B$62,"RISK")+COUNTIF(ASCOPE_PMESII!$D$3:$D$62,"RISK")))),""),IF(36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36-(COUNTIF(ASCOPE_PMESII!$B$3:$B$62,"RISK")+COUNTIF(ASCOPE_PMESII!$D$3:$D$62,"RISK")+COUNTIF(ASCOPE_PMESII!$F$3:$F$62,"RISK")))),""),IF(36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36-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36-(COUNTIF(ASCOPE_PMESII!$B$3:$B$62,"RISK")+COUNTIF(ASCOPE_PMESII!$D$3:$D$62,"RISK")+COUNTIF(ASCOPE_PMESII!$F$3:$F$62,"RISK")+COUNTIF(ASCOPE_PMESII!$H$3:$H$62,"RISK")+COUNTIF(ASCOPE_PMESII!$J$3:$J$62,"RISK")))),"")))))),"")</f>
        <v>Delayed truth creates conspiracy space</v>
      </c>
      <c r="D39" s="22" t="str">
        <f t="array" ref="D39">IFERROR(IF(36&lt;=COUNTIF(ASCOPE_PMESII!$B$3:$B$62,"CV"),IFERROR(INDEX(ASCOPE_PMESII!$C$3:$C$62,_xlfn.AGGREGATE(15,6,(ROW(ASCOPE_PMESII!$B$3:$B$62)-ROW(ASCOPE_PMESII!$B$3)+1)/(ASCOPE_PMESII!$B$3:$B$62="CV"),36)),""),IF(36&lt;=(COUNTIF(ASCOPE_PMESII!$B$3:$B$62,"CV")+COUNTIF(ASCOPE_PMESII!$D$3:$D$62,"CV")),IFERROR(INDEX(ASCOPE_PMESII!$E$3:$E$62,_xlfn.AGGREGATE(15,6,(ROW(ASCOPE_PMESII!$D$3:$D$62)-ROW(ASCOPE_PMESII!$D$3)+1)/(ASCOPE_PMESII!$D$3:$D$62="CV"),36-(COUNTIF(ASCOPE_PMESII!$B$3:$B$62,"CV")))),""),IF(36&lt;=(COUNTIF(ASCOPE_PMESII!$B$3:$B$62,"CV")+COUNTIF(ASCOPE_PMESII!$D$3:$D$62,"CV")+COUNTIF(ASCOPE_PMESII!$F$3:$F$62,"CV")),IFERROR(INDEX(ASCOPE_PMESII!$G$3:$G$62,_xlfn.AGGREGATE(15,6,(ROW(ASCOPE_PMESII!$F$3:$F$62)-ROW(ASCOPE_PMESII!$F$3)+1)/(ASCOPE_PMESII!$F$3:$F$62="CV"),36-(COUNTIF(ASCOPE_PMESII!$B$3:$B$62,"CV")+COUNTIF(ASCOPE_PMESII!$D$3:$D$62,"CV")))),""),IF(36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36-(COUNTIF(ASCOPE_PMESII!$B$3:$B$62,"CV")+COUNTIF(ASCOPE_PMESII!$D$3:$D$62,"CV")+COUNTIF(ASCOPE_PMESII!$F$3:$F$62,"CV")))),""),IF(36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36-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36-(COUNTIF(ASCOPE_PMESII!$B$3:$B$62,"CV")+COUNTIF(ASCOPE_PMESII!$D$3:$D$62,"CV")+COUNTIF(ASCOPE_PMESII!$F$3:$F$62,"CV")+COUNTIF(ASCOPE_PMESII!$H$3:$H$62,"CV")+COUNTIF(ASCOPE_PMESII!$J$3:$J$62,"CV")))),"")))))),"")</f>
        <v>External finance reduces pressure on Hasan</v>
      </c>
      <c r="E39" s="22" t="str">
        <f t="array" ref="E39">IFERROR(IF(36&lt;=COUNTIF(ASCOPE_PMESII!$B$3:$B$62,"COR"),IFERROR(INDEX(ASCOPE_PMESII!$C$3:$C$62,_xlfn.AGGREGATE(15,6,(ROW(ASCOPE_PMESII!$B$3:$B$62)-ROW(ASCOPE_PMESII!$B$3)+1)/(ASCOPE_PMESII!$B$3:$B$62="COR"),36)),""),IF(36&lt;=(COUNTIF(ASCOPE_PMESII!$B$3:$B$62,"COR")+COUNTIF(ASCOPE_PMESII!$D$3:$D$62,"COR")),IFERROR(INDEX(ASCOPE_PMESII!$E$3:$E$62,_xlfn.AGGREGATE(15,6,(ROW(ASCOPE_PMESII!$D$3:$D$62)-ROW(ASCOPE_PMESII!$D$3)+1)/(ASCOPE_PMESII!$D$3:$D$62="COR"),36-(COUNTIF(ASCOPE_PMESII!$B$3:$B$62,"COR")))),""),IF(36&lt;=(COUNTIF(ASCOPE_PMESII!$B$3:$B$62,"COR")+COUNTIF(ASCOPE_PMESII!$D$3:$D$62,"COR")+COUNTIF(ASCOPE_PMESII!$F$3:$F$62,"COR")),IFERROR(INDEX(ASCOPE_PMESII!$G$3:$G$62,_xlfn.AGGREGATE(15,6,(ROW(ASCOPE_PMESII!$F$3:$F$62)-ROW(ASCOPE_PMESII!$F$3)+1)/(ASCOPE_PMESII!$F$3:$F$62="COR"),36-(COUNTIF(ASCOPE_PMESII!$B$3:$B$62,"COR")+COUNTIF(ASCOPE_PMESII!$D$3:$D$62,"COR")))),""),IF(36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36-(COUNTIF(ASCOPE_PMESII!$B$3:$B$62,"COR")+COUNTIF(ASCOPE_PMESII!$D$3:$D$62,"COR")+COUNTIF(ASCOPE_PMESII!$F$3:$F$62,"COR")))),""),IF(36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36-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36-(COUNTIF(ASCOPE_PMESII!$B$3:$B$62,"COR")+COUNTIF(ASCOPE_PMESII!$D$3:$D$62,"COR")+COUNTIF(ASCOPE_PMESII!$F$3:$F$62,"COR")+COUNTIF(ASCOPE_PMESII!$H$3:$H$62,"COR")+COUNTIF(ASCOPE_PMESII!$J$3:$J$62,"COR")))),"")))))),"")</f>
        <v>Secure humanitarian corridors and reception nodes</v>
      </c>
      <c r="F39" s="22" t="str">
        <f t="array" ref="F39">IFERROR(IF(36&lt;=COUNTIF(ASCOPE_PMESII!$B$3:$B$62,"REQT"),IFERROR(INDEX(ASCOPE_PMESII!$C$3:$C$62,_xlfn.AGGREGATE(15,6,(ROW(ASCOPE_PMESII!$B$3:$B$62)-ROW(ASCOPE_PMESII!$B$3)+1)/(ASCOPE_PMESII!$B$3:$B$62="REQT"),36)),""),IF(36&lt;=(COUNTIF(ASCOPE_PMESII!$B$3:$B$62,"REQT")+COUNTIF(ASCOPE_PMESII!$D$3:$D$62,"REQT")),IFERROR(INDEX(ASCOPE_PMESII!$E$3:$E$62,_xlfn.AGGREGATE(15,6,(ROW(ASCOPE_PMESII!$D$3:$D$62)-ROW(ASCOPE_PMESII!$D$3)+1)/(ASCOPE_PMESII!$D$3:$D$62="REQT"),36-(COUNTIF(ASCOPE_PMESII!$B$3:$B$62,"REQT")))),""),IF(36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36-(COUNTIF(ASCOPE_PMESII!$B$3:$B$62,"REQT")+COUNTIF(ASCOPE_PMESII!$D$3:$D$62,"REQT")))),""),IF(36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36-(COUNTIF(ASCOPE_PMESII!$B$3:$B$62,"REQT")+COUNTIF(ASCOPE_PMESII!$D$3:$D$62,"REQT")+COUNTIF(ASCOPE_PMESII!$F$3:$F$62,"REQT")))),""),IF(36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36-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36-(COUNTIF(ASCOPE_PMESII!$B$3:$B$62,"REQT")+COUNTIF(ASCOPE_PMESII!$D$3:$D$62,"REQT")+COUNTIF(ASCOPE_PMESII!$F$3:$F$62,"REQT")+COUNTIF(ASCOPE_PMESII!$H$3:$H$62,"REQT")+COUNTIF(ASCOPE_PMESII!$J$3:$J$62,"REQT")))),"")))))),"")</f>
        <v/>
      </c>
      <c r="G39" s="22" t="str">
        <f t="array" ref="G39">IFERROR(IF(36&lt;=COUNTIF(ASCOPE_PMESII!$B$3:$B$62,"REST"),IFERROR(INDEX(ASCOPE_PMESII!$C$3:$C$62,_xlfn.AGGREGATE(15,6,(ROW(ASCOPE_PMESII!$B$3:$B$62)-ROW(ASCOPE_PMESII!$B$3)+1)/(ASCOPE_PMESII!$B$3:$B$62="REST"),36)),""),IF(36&lt;=(COUNTIF(ASCOPE_PMESII!$B$3:$B$62,"REST")+COUNTIF(ASCOPE_PMESII!$D$3:$D$62,"REST")),IFERROR(INDEX(ASCOPE_PMESII!$E$3:$E$62,_xlfn.AGGREGATE(15,6,(ROW(ASCOPE_PMESII!$D$3:$D$62)-ROW(ASCOPE_PMESII!$D$3)+1)/(ASCOPE_PMESII!$D$3:$D$62="REST"),36-(COUNTIF(ASCOPE_PMESII!$B$3:$B$62,"REST")))),""),IF(36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36-(COUNTIF(ASCOPE_PMESII!$B$3:$B$62,"REST")+COUNTIF(ASCOPE_PMESII!$D$3:$D$62,"REST")))),""),IF(36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36-(COUNTIF(ASCOPE_PMESII!$B$3:$B$62,"REST")+COUNTIF(ASCOPE_PMESII!$D$3:$D$62,"REST")+COUNTIF(ASCOPE_PMESII!$F$3:$F$62,"REST")))),""),IF(36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36-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36-(COUNTIF(ASCOPE_PMESII!$B$3:$B$62,"REST")+COUNTIF(ASCOPE_PMESII!$D$3:$D$62,"REST")+COUNTIF(ASCOPE_PMESII!$F$3:$F$62,"REST")+COUNTIF(ASCOPE_PMESII!$H$3:$H$62,"REST")+COUNTIF(ASCOPE_PMESII!$J$3:$J$62,"REST")))),"")))))),"")</f>
        <v/>
      </c>
      <c r="H39" s="22" t="str">
        <f t="array" ref="H39">IFERROR(IF(36&lt;=COUNTIF(ASCOPE_PMESII!$B$3:$B$62,"KCD-MUST"),IFERROR(INDEX(ASCOPE_PMESII!$C$3:$C$62,_xlfn.AGGREGATE(15,6,(ROW(ASCOPE_PMESII!$B$3:$B$62)-ROW(ASCOPE_PMESII!$B$3)+1)/(ASCOPE_PMESII!$B$3:$B$62="KCD-MUST"),36)),""),IF(36&lt;=(COUNTIF(ASCOPE_PMESII!$B$3:$B$62,"KCD-MUST")+COUNTIF(ASCOPE_PMESII!$D$3:$D$62,"KCD-MUST")),IFERROR(INDEX(ASCOPE_PMESII!$E$3:$E$62,_xlfn.AGGREGATE(15,6,(ROW(ASCOPE_PMESII!$D$3:$D$62)-ROW(ASCOPE_PMESII!$D$3)+1)/(ASCOPE_PMESII!$D$3:$D$62="KCD-MUST"),36-(COUNTIF(ASCOPE_PMESII!$B$3:$B$62,"KCD-MUST")))),""),IF(36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36-(COUNTIF(ASCOPE_PMESII!$B$3:$B$62,"KCD-MUST")+COUNTIF(ASCOPE_PMESII!$D$3:$D$62,"KCD-MUST")))),""),IF(36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36-(COUNTIF(ASCOPE_PMESII!$B$3:$B$62,"KCD-MUST")+COUNTIF(ASCOPE_PMESII!$D$3:$D$62,"KCD-MUST")+COUNTIF(ASCOPE_PMESII!$F$3:$F$62,"KCD-MUST")))),""),IF(36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36-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36-(COUNTIF(ASCOPE_PMESII!$B$3:$B$62,"KCD-MUST")+COUNTIF(ASCOPE_PMESII!$D$3:$D$62,"KCD-MUST")+COUNTIF(ASCOPE_PMESII!$F$3:$F$62,"KCD-MUST")+COUNTIF(ASCOPE_PMESII!$H$3:$H$62,"KCD-MUST")+COUNTIF(ASCOPE_PMESII!$J$3:$J$62,"KCD-MUST")))),"")))))),"")</f>
        <v>Own the first credible account after incidents</v>
      </c>
      <c r="I39" s="22" t="str">
        <f t="array" ref="I39">IFERROR(IF(36&lt;=COUNTIF(ASCOPE_PMESII!$B$3:$B$62,"KCD-SHOULD"),IFERROR(INDEX(ASCOPE_PMESII!$C$3:$C$62,_xlfn.AGGREGATE(15,6,(ROW(ASCOPE_PMESII!$B$3:$B$62)-ROW(ASCOPE_PMESII!$B$3)+1)/(ASCOPE_PMESII!$B$3:$B$62="KCD-SHOULD"),36)),""),IF(36&lt;=(COUNTIF(ASCOPE_PMESII!$B$3:$B$62,"KCD-SHOULD")+COUNTIF(ASCOPE_PMESII!$D$3:$D$62,"KCD-SHOULD")),IFERROR(INDEX(ASCOPE_PMESII!$E$3:$E$62,_xlfn.AGGREGATE(15,6,(ROW(ASCOPE_PMESII!$D$3:$D$62)-ROW(ASCOPE_PMESII!$D$3)+1)/(ASCOPE_PMESII!$D$3:$D$62="KCD-SHOULD"),36-(COUNTIF(ASCOPE_PMESII!$B$3:$B$62,"KCD-SHOULD")))),""),IF(36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36-(COUNTIF(ASCOPE_PMESII!$B$3:$B$62,"KCD-SHOULD")+COUNTIF(ASCOPE_PMESII!$D$3:$D$62,"KCD-SHOULD")))),""),IF(36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36-(COUNTIF(ASCOPE_PMESII!$B$3:$B$62,"KCD-SHOULD")+COUNTIF(ASCOPE_PMESII!$D$3:$D$62,"KCD-SHOULD")+COUNTIF(ASCOPE_PMESII!$F$3:$F$62,"KCD-SHOULD")))),""),IF(36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36-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36-(COUNTIF(ASCOPE_PMESII!$B$3:$B$62,"KCD-SHOULD")+COUNTIF(ASCOPE_PMESII!$D$3:$D$62,"KCD-SHOULD")+COUNTIF(ASCOPE_PMESII!$F$3:$F$62,"KCD-SHOULD")+COUNTIF(ASCOPE_PMESII!$H$3:$H$62,"KCD-SHOULD")+COUNTIF(ASCOPE_PMESII!$J$3:$J$62,"KCD-SHOULD")))),"")))))),"")</f>
        <v>Prepare branch narratives for MLCOA/MDCOA</v>
      </c>
      <c r="J39" s="22" t="str">
        <f t="array" ref="J39">IFERROR(IF(36&lt;=COUNTIF(ASCOPE_PMESII!$B$3:$B$62,"KCD-SHOULD NOT"),IFERROR(INDEX(ASCOPE_PMESII!$C$3:$C$62,_xlfn.AGGREGATE(15,6,(ROW(ASCOPE_PMESII!$B$3:$B$62)-ROW(ASCOPE_PMESII!$B$3)+1)/(ASCOPE_PMESII!$B$3:$B$62="KCD-SHOULD NOT"),36)),""),IF(36&lt;=(COUNTIF(ASCOPE_PMESII!$B$3:$B$62,"KCD-SHOULD NOT")+COUNTIF(ASCOPE_PMESII!$D$3:$D$62,"KCD-SHOULD NOT")),IFERROR(INDEX(ASCOPE_PMESII!$E$3:$E$62,_xlfn.AGGREGATE(15,6,(ROW(ASCOPE_PMESII!$D$3:$D$62)-ROW(ASCOPE_PMESII!$D$3)+1)/(ASCOPE_PMESII!$D$3:$D$62="KCD-SHOULD NOT"),36-(COUNTIF(ASCOPE_PMESII!$B$3:$B$62,"KCD-SHOULD NOT")))),""),IF(36&lt;=(COUNTIF(ASCOPE_PMESII!$B$3:$B$62,"KCD-SHOULD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NOT"),36-(COUNTIF(ASCOPE_PMESII!$B$3:$B$62,"KCD-SHOULD NOT")+COUNTIF(ASCOPE_PMESII!$D$3:$D$62,"KCD-SHOULD NOT")))),""),IF(36&lt;=(COUNTIF(ASCOPE_PMESII!$B$3:$B$62,"KCD-SHOULD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NOT"),36-(COUNTIF(ASCOPE_PMESII!$B$3:$B$62,"KCD-SHOULD NOT")+COUNTIF(ASCOPE_PMESII!$D$3:$D$62,"KCD-SHOULD NOT")+COUNTIF(ASCOPE_PMESII!$F$3:$F$62,"KCD-SHOULD NOT")))),""),IF(36&lt;=(COUNTIF(ASCOPE_PMESII!$B$3:$B$62,"KCD-SHOULD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NOT"),36-(COUNTIF(ASCOPE_PMESII!$B$3:$B$62,"KCD-SHOULD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NOT"),36-(COUNTIF(ASCOPE_PMESII!$B$3:$B$62,"KCD-SHOULD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39" s="22" t="str">
        <f t="array" ref="K39">IFERROR(IF(36&lt;=COUNTIF(ASCOPE_PMESII!$B$3:$B$62,"KCD-CANNOT"),IFERROR(INDEX(ASCOPE_PMESII!$C$3:$C$62,_xlfn.AGGREGATE(15,6,(ROW(ASCOPE_PMESII!$B$3:$B$62)-ROW(ASCOPE_PMESII!$B$3)+1)/(ASCOPE_PMESII!$B$3:$B$62="KCD-CANNOT"),36)),""),IF(36&lt;=(COUNTIF(ASCOPE_PMESII!$B$3:$B$62,"KCD-CANNOT")+COUNTIF(ASCOPE_PMESII!$D$3:$D$62,"KCD-CANNOT")),IFERROR(INDEX(ASCOPE_PMESII!$E$3:$E$62,_xlfn.AGGREGATE(15,6,(ROW(ASCOPE_PMESII!$D$3:$D$62)-ROW(ASCOPE_PMESII!$D$3)+1)/(ASCOPE_PMESII!$D$3:$D$62="KCD-CANNOT"),36-(COUNTIF(ASCOPE_PMESII!$B$3:$B$62,"KCD-CANNOT")))),""),IF(36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36-(COUNTIF(ASCOPE_PMESII!$B$3:$B$62,"KCD-CANNOT")+COUNTIF(ASCOPE_PMESII!$D$3:$D$62,"KCD-CANNOT")))),""),IF(36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36-(COUNTIF(ASCOPE_PMESII!$B$3:$B$62,"KCD-CANNOT")+COUNTIF(ASCOPE_PMESII!$D$3:$D$62,"KCD-CANNOT")+COUNTIF(ASCOPE_PMESII!$F$3:$F$62,"KCD-CANNOT")))),""),IF(36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36-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36-(COUNTIF(ASCOPE_PMESII!$B$3:$B$62,"KCD-CANNOT")+COUNTIF(ASCOPE_PMESII!$D$3:$D$62,"KCD-CANNOT")+COUNTIF(ASCOPE_PMESII!$F$3:$F$62,"KCD-CANNOT")+COUNTIF(ASCOPE_PMESII!$H$3:$H$62,"KCD-CANNOT")+COUNTIF(ASCOPE_PMESII!$J$3:$J$62,"KCD-CANNOT")))),"")))))),"")</f>
        <v>Cannot assume tactical success survives poor narrative</v>
      </c>
      <c r="L39" s="22" t="str">
        <f t="array" ref="L39">IFERROR(IF(36&lt;=COUNTIF(ASCOPE_PMESII!$B$3:$B$62,"DECISION"),IFERROR(INDEX(ASCOPE_PMESII!$C$3:$C$62,_xlfn.AGGREGATE(15,6,(ROW(ASCOPE_PMESII!$B$3:$B$62)-ROW(ASCOPE_PMESII!$B$3)+1)/(ASCOPE_PMESII!$B$3:$B$62="DECISION"),36)),""),IF(36&lt;=(COUNTIF(ASCOPE_PMESII!$B$3:$B$62,"DECISION")+COUNTIF(ASCOPE_PMESII!$D$3:$D$62,"DECISION")),IFERROR(INDEX(ASCOPE_PMESII!$E$3:$E$62,_xlfn.AGGREGATE(15,6,(ROW(ASCOPE_PMESII!$D$3:$D$62)-ROW(ASCOPE_PMESII!$D$3)+1)/(ASCOPE_PMESII!$D$3:$D$62="DECISION"),36-(COUNTIF(ASCOPE_PMESII!$B$3:$B$62,"DECISION")))),""),IF(36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36-(COUNTIF(ASCOPE_PMESII!$B$3:$B$62,"DECISION")+COUNTIF(ASCOPE_PMESII!$D$3:$D$62,"DECISION")))),""),IF(36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36-(COUNTIF(ASCOPE_PMESII!$B$3:$B$62,"DECISION")+COUNTIF(ASCOPE_PMESII!$D$3:$D$62,"DECISION")+COUNTIF(ASCOPE_PMESII!$F$3:$F$62,"DECISION")))),""),IF(36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36-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36-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39" s="22" t="str">
        <f t="array" ref="M39">IFERROR(IF(36&lt;=COUNTIF(ASCOPE_PMESII!$B$3:$B$62,"ASSUMPTION"),IFERROR(INDEX(ASCOPE_PMESII!$C$3:$C$62,_xlfn.AGGREGATE(15,6,(ROW(ASCOPE_PMESII!$B$3:$B$62)-ROW(ASCOPE_PMESII!$B$3)+1)/(ASCOPE_PMESII!$B$3:$B$62="ASSUMPTION"),36)),""),IF(36&lt;=(COUNTIF(ASCOPE_PMESII!$B$3:$B$62,"ASSUMPTION")+COUNTIF(ASCOPE_PMESII!$D$3:$D$62,"ASSUMPTION")),IFERROR(INDEX(ASCOPE_PMESII!$E$3:$E$62,_xlfn.AGGREGATE(15,6,(ROW(ASCOPE_PMESII!$D$3:$D$62)-ROW(ASCOPE_PMESII!$D$3)+1)/(ASCOPE_PMESII!$D$3:$D$62="ASSUMPTION"),36-(COUNTIF(ASCOPE_PMESII!$B$3:$B$62,"ASSUMPTION")))),""),IF(36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36-(COUNTIF(ASCOPE_PMESII!$B$3:$B$62,"ASSUMPTION")+COUNTIF(ASCOPE_PMESII!$D$3:$D$62,"ASSUMPTION")))),""),IF(36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36-(COUNTIF(ASCOPE_PMESII!$B$3:$B$62,"ASSUMPTION")+COUNTIF(ASCOPE_PMESII!$D$3:$D$62,"ASSUMPTION")+COUNTIF(ASCOPE_PMESII!$F$3:$F$62,"ASSUMPTION")))),""),IF(36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36-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36-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39" s="22" t="str">
        <f t="array" ref="N39">IFERROR(IF(36&lt;=COUNTIF(ASCOPE_PMESII!$B$3:$B$62,"CONSTRAINT"),IFERROR(INDEX(ASCOPE_PMESII!$C$3:$C$62,_xlfn.AGGREGATE(15,6,(ROW(ASCOPE_PMESII!$B$3:$B$62)-ROW(ASCOPE_PMESII!$B$3)+1)/(ASCOPE_PMESII!$B$3:$B$62="CONSTRAINT"),36)),""),IF(36&lt;=(COUNTIF(ASCOPE_PMESII!$B$3:$B$62,"CONSTRAINT")+COUNTIF(ASCOPE_PMESII!$D$3:$D$62,"CONSTRAINT")),IFERROR(INDEX(ASCOPE_PMESII!$E$3:$E$62,_xlfn.AGGREGATE(15,6,(ROW(ASCOPE_PMESII!$D$3:$D$62)-ROW(ASCOPE_PMESII!$D$3)+1)/(ASCOPE_PMESII!$D$3:$D$62="CONSTRAINT"),36-(COUNTIF(ASCOPE_PMESII!$B$3:$B$62,"CONSTRAINT")))),""),IF(36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36-(COUNTIF(ASCOPE_PMESII!$B$3:$B$62,"CONSTRAINT")+COUNTIF(ASCOPE_PMESII!$D$3:$D$62,"CONSTRAINT")))),""),IF(36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36-(COUNTIF(ASCOPE_PMESII!$B$3:$B$62,"CONSTRAINT")+COUNTIF(ASCOPE_PMESII!$D$3:$D$62,"CONSTRAINT")+COUNTIF(ASCOPE_PMESII!$F$3:$F$62,"CONSTRAINT")))),""),IF(36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36-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36-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39" s="22" t="str">
        <f t="array" ref="O39">IFERROR(IF(36&lt;=COUNTIF(ASCOPE_PMESII!$B$3:$B$62,"LIMITATION"),IFERROR(INDEX(ASCOPE_PMESII!$C$3:$C$62,_xlfn.AGGREGATE(15,6,(ROW(ASCOPE_PMESII!$B$3:$B$62)-ROW(ASCOPE_PMESII!$B$3)+1)/(ASCOPE_PMESII!$B$3:$B$62="LIMITATION"),36)),""),IF(36&lt;=(COUNTIF(ASCOPE_PMESII!$B$3:$B$62,"LIMITATION")+COUNTIF(ASCOPE_PMESII!$D$3:$D$62,"LIMITATION")),IFERROR(INDEX(ASCOPE_PMESII!$E$3:$E$62,_xlfn.AGGREGATE(15,6,(ROW(ASCOPE_PMESII!$D$3:$D$62)-ROW(ASCOPE_PMESII!$D$3)+1)/(ASCOPE_PMESII!$D$3:$D$62="LIMITATION"),36-(COUNTIF(ASCOPE_PMESII!$B$3:$B$62,"LIMITATION")))),""),IF(36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36-(COUNTIF(ASCOPE_PMESII!$B$3:$B$62,"LIMITATION")+COUNTIF(ASCOPE_PMESII!$D$3:$D$62,"LIMITATION")))),""),IF(36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36-(COUNTIF(ASCOPE_PMESII!$B$3:$B$62,"LIMITATION")+COUNTIF(ASCOPE_PMESII!$D$3:$D$62,"LIMITATION")+COUNTIF(ASCOPE_PMESII!$F$3:$F$62,"LIMITATION")))),""),IF(36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36-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36-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39" s="22" t="str">
        <f t="array" ref="P39">IFERROR(IF(36&lt;=COUNTIF(ASCOPE_PMESII!$B$3:$B$62,"CC"),IFERROR(INDEX(ASCOPE_PMESII!$C$3:$C$62,_xlfn.AGGREGATE(15,6,(ROW(ASCOPE_PMESII!$B$3:$B$62)-ROW(ASCOPE_PMESII!$B$3)+1)/(ASCOPE_PMESII!$B$3:$B$62="CC"),36)),""),IF(36&lt;=(COUNTIF(ASCOPE_PMESII!$B$3:$B$62,"CC")+COUNTIF(ASCOPE_PMESII!$D$3:$D$62,"CC")),IFERROR(INDEX(ASCOPE_PMESII!$E$3:$E$62,_xlfn.AGGREGATE(15,6,(ROW(ASCOPE_PMESII!$D$3:$D$62)-ROW(ASCOPE_PMESII!$D$3)+1)/(ASCOPE_PMESII!$D$3:$D$62="CC"),36-(COUNTIF(ASCOPE_PMESII!$B$3:$B$62,"CC")))),""),IF(36&lt;=(COUNTIF(ASCOPE_PMESII!$B$3:$B$62,"CC")+COUNTIF(ASCOPE_PMESII!$D$3:$D$62,"CC")+COUNTIF(ASCOPE_PMESII!$F$3:$F$62,"CC")),IFERROR(INDEX(ASCOPE_PMESII!$G$3:$G$62,_xlfn.AGGREGATE(15,6,(ROW(ASCOPE_PMESII!$F$3:$F$62)-ROW(ASCOPE_PMESII!$F$3)+1)/(ASCOPE_PMESII!$F$3:$F$62="CC"),36-(COUNTIF(ASCOPE_PMESII!$B$3:$B$62,"CC")+COUNTIF(ASCOPE_PMESII!$D$3:$D$62,"CC")))),""),IF(36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36-(COUNTIF(ASCOPE_PMESII!$B$3:$B$62,"CC")+COUNTIF(ASCOPE_PMESII!$D$3:$D$62,"CC")+COUNTIF(ASCOPE_PMESII!$F$3:$F$62,"CC")))),""),IF(36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36-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36-(COUNTIF(ASCOPE_PMESII!$B$3:$B$62,"CC")+COUNTIF(ASCOPE_PMESII!$D$3:$D$62,"CC")+COUNTIF(ASCOPE_PMESII!$F$3:$F$62,"CC")+COUNTIF(ASCOPE_PMESII!$H$3:$H$62,"CC")+COUNTIF(ASCOPE_PMESII!$J$3:$J$62,"CC")))),"")))))),"")</f>
        <v>NATO publics demand evidence of lawful restraint</v>
      </c>
      <c r="Q39" s="22" t="str">
        <f t="array" ref="Q39">IFERROR(IF(36&lt;=COUNTIF(ASCOPE_PMESII!$B$3:$B$62,"CR"),IFERROR(INDEX(ASCOPE_PMESII!$C$3:$C$62,_xlfn.AGGREGATE(15,6,(ROW(ASCOPE_PMESII!$B$3:$B$62)-ROW(ASCOPE_PMESII!$B$3)+1)/(ASCOPE_PMESII!$B$3:$B$62="CR"),36)),""),IF(36&lt;=(COUNTIF(ASCOPE_PMESII!$B$3:$B$62,"CR")+COUNTIF(ASCOPE_PMESII!$D$3:$D$62,"CR")),IFERROR(INDEX(ASCOPE_PMESII!$E$3:$E$62,_xlfn.AGGREGATE(15,6,(ROW(ASCOPE_PMESII!$D$3:$D$62)-ROW(ASCOPE_PMESII!$D$3)+1)/(ASCOPE_PMESII!$D$3:$D$62="CR"),36-(COUNTIF(ASCOPE_PMESII!$B$3:$B$62,"CR")))),""),IF(36&lt;=(COUNTIF(ASCOPE_PMESII!$B$3:$B$62,"CR")+COUNTIF(ASCOPE_PMESII!$D$3:$D$62,"CR")+COUNTIF(ASCOPE_PMESII!$F$3:$F$62,"CR")),IFERROR(INDEX(ASCOPE_PMESII!$G$3:$G$62,_xlfn.AGGREGATE(15,6,(ROW(ASCOPE_PMESII!$F$3:$F$62)-ROW(ASCOPE_PMESII!$F$3)+1)/(ASCOPE_PMESII!$F$3:$F$62="CR"),36-(COUNTIF(ASCOPE_PMESII!$B$3:$B$62,"CR")+COUNTIF(ASCOPE_PMESII!$D$3:$D$62,"CR")))),""),IF(36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36-(COUNTIF(ASCOPE_PMESII!$B$3:$B$62,"CR")+COUNTIF(ASCOPE_PMESII!$D$3:$D$62,"CR")+COUNTIF(ASCOPE_PMESII!$F$3:$F$62,"CR")))),""),IF(36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36-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36-(COUNTIF(ASCOPE_PMESII!$B$3:$B$62,"CR")+COUNTIF(ASCOPE_PMESII!$D$3:$D$62,"CR")+COUNTIF(ASCOPE_PMESII!$F$3:$F$62,"CR")+COUNTIF(ASCOPE_PMESII!$H$3:$H$62,"CR")+COUNTIF(ASCOPE_PMESII!$J$3:$J$62,"CR")))),"")))))),"")</f>
        <v>Evidence capture, translation and release authority required</v>
      </c>
      <c r="R39" s="95" t="str">
        <f t="array" ref="R39">IFERROR(IF(36&lt;=COUNTIF(ASCOPE_PMESII!$B$3:$B$62,"PCS"),IFERROR(INDEX(ASCOPE_PMESII!$C$3:$C$62,_xlfn.AGGREGATE(15,6,(ROW(ASCOPE_PMESII!$B$3:$B$62)-ROW(ASCOPE_PMESII!$B$3)+1)/(ASCOPE_PMESII!$B$3:$B$62="PCS"),36)),""),IF(36&lt;=(COUNTIF(ASCOPE_PMESII!$B$3:$B$62,"PCS")+COUNTIF(ASCOPE_PMESII!$D$3:$D$62,"PCS")),IFERROR(INDEX(ASCOPE_PMESII!$E$3:$E$62,_xlfn.AGGREGATE(15,6,(ROW(ASCOPE_PMESII!$D$3:$D$62)-ROW(ASCOPE_PMESII!$D$3)+1)/(ASCOPE_PMESII!$D$3:$D$62="PCS"),36-(COUNTIF(ASCOPE_PMESII!$B$3:$B$62,"PCS")))),""),IF(36&lt;=(COUNTIF(ASCOPE_PMESII!$B$3:$B$62,"PCS")+COUNTIF(ASCOPE_PMESII!$D$3:$D$62,"PCS")+COUNTIF(ASCOPE_PMESII!$F$3:$F$62,"PCS")),IFERROR(INDEX(ASCOPE_PMESII!$G$3:$G$62,_xlfn.AGGREGATE(15,6,(ROW(ASCOPE_PMESII!$F$3:$F$62)-ROW(ASCOPE_PMESII!$F$3)+1)/(ASCOPE_PMESII!$F$3:$F$62="PCS"),36-(COUNTIF(ASCOPE_PMESII!$B$3:$B$62,"PCS")+COUNTIF(ASCOPE_PMESII!$D$3:$D$62,"PCS")))),""),IF(36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36-(COUNTIF(ASCOPE_PMESII!$B$3:$B$62,"PCS")+COUNTIF(ASCOPE_PMESII!$D$3:$D$62,"PCS")+COUNTIF(ASCOPE_PMESII!$F$3:$F$62,"PCS")))),""),IF(36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36-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36-(COUNTIF(ASCOPE_PMESII!$B$3:$B$62,"PCS")+COUNTIF(ASCOPE_PMESII!$D$3:$D$62,"PCS")+COUNTIF(ASCOPE_PMESII!$F$3:$F$62,"PCS")+COUNTIF(ASCOPE_PMESII!$H$3:$H$62,"PCS")+COUNTIF(ASCOPE_PMESII!$J$3:$J$62,"PCS")))),"")))))),"")</f>
        <v/>
      </c>
    </row>
    <row r="40" spans="1:18" ht="34.5" customHeight="1">
      <c r="A40" s="21" t="str">
        <f t="array" ref="A40">IFERROR(IF(37&lt;=COUNTIF(ASCOPE_PMESII!$B$3:$B$62,"OE"),IFERROR(INDEX(ASCOPE_PMESII!$C$3:$C$62,_xlfn.AGGREGATE(15,6,(ROW(ASCOPE_PMESII!$B$3:$B$62)-ROW(ASCOPE_PMESII!$B$3)+1)/(ASCOPE_PMESII!$B$3:$B$62="OE"),37)),""),IF(37&lt;=(COUNTIF(ASCOPE_PMESII!$B$3:$B$62,"OE")+COUNTIF(ASCOPE_PMESII!$D$3:$D$62,"OE")),IFERROR(INDEX(ASCOPE_PMESII!$E$3:$E$62,_xlfn.AGGREGATE(15,6,(ROW(ASCOPE_PMESII!$D$3:$D$62)-ROW(ASCOPE_PMESII!$D$3)+1)/(ASCOPE_PMESII!$D$3:$D$62="OE"),37-(COUNTIF(ASCOPE_PMESII!$B$3:$B$62,"OE")))),""),IF(37&lt;=(COUNTIF(ASCOPE_PMESII!$B$3:$B$62,"OE")+COUNTIF(ASCOPE_PMESII!$D$3:$D$62,"OE")+COUNTIF(ASCOPE_PMESII!$F$3:$F$62,"OE")),IFERROR(INDEX(ASCOPE_PMESII!$G$3:$G$62,_xlfn.AGGREGATE(15,6,(ROW(ASCOPE_PMESII!$F$3:$F$62)-ROW(ASCOPE_PMESII!$F$3)+1)/(ASCOPE_PMESII!$F$3:$F$62="OE"),37-(COUNTIF(ASCOPE_PMESII!$B$3:$B$62,"OE")+COUNTIF(ASCOPE_PMESII!$D$3:$D$62,"OE")))),""),IF(37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37-(COUNTIF(ASCOPE_PMESII!$B$3:$B$62,"OE")+COUNTIF(ASCOPE_PMESII!$D$3:$D$62,"OE")+COUNTIF(ASCOPE_PMESII!$F$3:$F$62,"OE")))),""),IF(37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37-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37-(COUNTIF(ASCOPE_PMESII!$B$3:$B$62,"OE")+COUNTIF(ASCOPE_PMESII!$D$3:$D$62,"OE")+COUNTIF(ASCOPE_PMESII!$F$3:$F$62,"OE")+COUNTIF(ASCOPE_PMESII!$H$3:$H$62,"OE")+COUNTIF(ASCOPE_PMESII!$J$3:$J$62,"OE")))),"")))))),"")</f>
        <v/>
      </c>
      <c r="B40" s="21" t="str">
        <f t="array" ref="B40">IFERROR(IF(37&lt;=COUNTIF(ASCOPE_PMESII!$B$3:$B$62,"OA"),IFERROR(INDEX(ASCOPE_PMESII!$C$3:$C$62,_xlfn.AGGREGATE(15,6,(ROW(ASCOPE_PMESII!$B$3:$B$62)-ROW(ASCOPE_PMESII!$B$3)+1)/(ASCOPE_PMESII!$B$3:$B$62="OA"),37)),""),IF(37&lt;=(COUNTIF(ASCOPE_PMESII!$B$3:$B$62,"OA")+COUNTIF(ASCOPE_PMESII!$D$3:$D$62,"OA")),IFERROR(INDEX(ASCOPE_PMESII!$E$3:$E$62,_xlfn.AGGREGATE(15,6,(ROW(ASCOPE_PMESII!$D$3:$D$62)-ROW(ASCOPE_PMESII!$D$3)+1)/(ASCOPE_PMESII!$D$3:$D$62="OA"),37-(COUNTIF(ASCOPE_PMESII!$B$3:$B$62,"OA")))),""),IF(37&lt;=(COUNTIF(ASCOPE_PMESII!$B$3:$B$62,"OA")+COUNTIF(ASCOPE_PMESII!$D$3:$D$62,"OA")+COUNTIF(ASCOPE_PMESII!$F$3:$F$62,"OA")),IFERROR(INDEX(ASCOPE_PMESII!$G$3:$G$62,_xlfn.AGGREGATE(15,6,(ROW(ASCOPE_PMESII!$F$3:$F$62)-ROW(ASCOPE_PMESII!$F$3)+1)/(ASCOPE_PMESII!$F$3:$F$62="OA"),37-(COUNTIF(ASCOPE_PMESII!$B$3:$B$62,"OA")+COUNTIF(ASCOPE_PMESII!$D$3:$D$62,"OA")))),""),IF(37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37-(COUNTIF(ASCOPE_PMESII!$B$3:$B$62,"OA")+COUNTIF(ASCOPE_PMESII!$D$3:$D$62,"OA")+COUNTIF(ASCOPE_PMESII!$F$3:$F$62,"OA")))),""),IF(37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37-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37-(COUNTIF(ASCOPE_PMESII!$B$3:$B$62,"OA")+COUNTIF(ASCOPE_PMESII!$D$3:$D$62,"OA")+COUNTIF(ASCOPE_PMESII!$F$3:$F$62,"OA")+COUNTIF(ASCOPE_PMESII!$H$3:$H$62,"OA")+COUNTIF(ASCOPE_PMESII!$J$3:$J$62,"OA")))),"")))))),"")</f>
        <v/>
      </c>
      <c r="C40" s="21" t="str">
        <f t="array" ref="C40">IFERROR(IF(37&lt;=COUNTIF(ASCOPE_PMESII!$B$3:$B$62,"RISK"),IFERROR(INDEX(ASCOPE_PMESII!$C$3:$C$62,_xlfn.AGGREGATE(15,6,(ROW(ASCOPE_PMESII!$B$3:$B$62)-ROW(ASCOPE_PMESII!$B$3)+1)/(ASCOPE_PMESII!$B$3:$B$62="RISK"),37)),""),IF(37&lt;=(COUNTIF(ASCOPE_PMESII!$B$3:$B$62,"RISK")+COUNTIF(ASCOPE_PMESII!$D$3:$D$62,"RISK")),IFERROR(INDEX(ASCOPE_PMESII!$E$3:$E$62,_xlfn.AGGREGATE(15,6,(ROW(ASCOPE_PMESII!$D$3:$D$62)-ROW(ASCOPE_PMESII!$D$3)+1)/(ASCOPE_PMESII!$D$3:$D$62="RISK"),37-(COUNTIF(ASCOPE_PMESII!$B$3:$B$62,"RISK")))),""),IF(37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37-(COUNTIF(ASCOPE_PMESII!$B$3:$B$62,"RISK")+COUNTIF(ASCOPE_PMESII!$D$3:$D$62,"RISK")))),""),IF(37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37-(COUNTIF(ASCOPE_PMESII!$B$3:$B$62,"RISK")+COUNTIF(ASCOPE_PMESII!$D$3:$D$62,"RISK")+COUNTIF(ASCOPE_PMESII!$F$3:$F$62,"RISK")))),""),IF(37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37-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37-(COUNTIF(ASCOPE_PMESII!$B$3:$B$62,"RISK")+COUNTIF(ASCOPE_PMESII!$D$3:$D$62,"RISK")+COUNTIF(ASCOPE_PMESII!$F$3:$F$62,"RISK")+COUNTIF(ASCOPE_PMESII!$H$3:$H$62,"RISK")+COUNTIF(ASCOPE_PMESII!$J$3:$J$62,"RISK")))),"")))))),"")</f>
        <v/>
      </c>
      <c r="D40" s="21" t="str">
        <f t="array" ref="D40">IFERROR(IF(37&lt;=COUNTIF(ASCOPE_PMESII!$B$3:$B$62,"CV"),IFERROR(INDEX(ASCOPE_PMESII!$C$3:$C$62,_xlfn.AGGREGATE(15,6,(ROW(ASCOPE_PMESII!$B$3:$B$62)-ROW(ASCOPE_PMESII!$B$3)+1)/(ASCOPE_PMESII!$B$3:$B$62="CV"),37)),""),IF(37&lt;=(COUNTIF(ASCOPE_PMESII!$B$3:$B$62,"CV")+COUNTIF(ASCOPE_PMESII!$D$3:$D$62,"CV")),IFERROR(INDEX(ASCOPE_PMESII!$E$3:$E$62,_xlfn.AGGREGATE(15,6,(ROW(ASCOPE_PMESII!$D$3:$D$62)-ROW(ASCOPE_PMESII!$D$3)+1)/(ASCOPE_PMESII!$D$3:$D$62="CV"),37-(COUNTIF(ASCOPE_PMESII!$B$3:$B$62,"CV")))),""),IF(37&lt;=(COUNTIF(ASCOPE_PMESII!$B$3:$B$62,"CV")+COUNTIF(ASCOPE_PMESII!$D$3:$D$62,"CV")+COUNTIF(ASCOPE_PMESII!$F$3:$F$62,"CV")),IFERROR(INDEX(ASCOPE_PMESII!$G$3:$G$62,_xlfn.AGGREGATE(15,6,(ROW(ASCOPE_PMESII!$F$3:$F$62)-ROW(ASCOPE_PMESII!$F$3)+1)/(ASCOPE_PMESII!$F$3:$F$62="CV"),37-(COUNTIF(ASCOPE_PMESII!$B$3:$B$62,"CV")+COUNTIF(ASCOPE_PMESII!$D$3:$D$62,"CV")))),""),IF(37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37-(COUNTIF(ASCOPE_PMESII!$B$3:$B$62,"CV")+COUNTIF(ASCOPE_PMESII!$D$3:$D$62,"CV")+COUNTIF(ASCOPE_PMESII!$F$3:$F$62,"CV")))),""),IF(37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37-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37-(COUNTIF(ASCOPE_PMESII!$B$3:$B$62,"CV")+COUNTIF(ASCOPE_PMESII!$D$3:$D$62,"CV")+COUNTIF(ASCOPE_PMESII!$F$3:$F$62,"CV")+COUNTIF(ASCOPE_PMESII!$H$3:$H$62,"CV")+COUNTIF(ASCOPE_PMESII!$J$3:$J$62,"CV")))),"")))))),"")</f>
        <v>IRS umbrella mixes nationalists, Islamists and liberals</v>
      </c>
      <c r="E40" s="21" t="str">
        <f t="array" ref="E40">IFERROR(IF(37&lt;=COUNTIF(ASCOPE_PMESII!$B$3:$B$62,"COR"),IFERROR(INDEX(ASCOPE_PMESII!$C$3:$C$62,_xlfn.AGGREGATE(15,6,(ROW(ASCOPE_PMESII!$B$3:$B$62)-ROW(ASCOPE_PMESII!$B$3)+1)/(ASCOPE_PMESII!$B$3:$B$62="COR"),37)),""),IF(37&lt;=(COUNTIF(ASCOPE_PMESII!$B$3:$B$62,"COR")+COUNTIF(ASCOPE_PMESII!$D$3:$D$62,"COR")),IFERROR(INDEX(ASCOPE_PMESII!$E$3:$E$62,_xlfn.AGGREGATE(15,6,(ROW(ASCOPE_PMESII!$D$3:$D$62)-ROW(ASCOPE_PMESII!$D$3)+1)/(ASCOPE_PMESII!$D$3:$D$62="COR"),37-(COUNTIF(ASCOPE_PMESII!$B$3:$B$62,"COR")))),""),IF(37&lt;=(COUNTIF(ASCOPE_PMESII!$B$3:$B$62,"COR")+COUNTIF(ASCOPE_PMESII!$D$3:$D$62,"COR")+COUNTIF(ASCOPE_PMESII!$F$3:$F$62,"COR")),IFERROR(INDEX(ASCOPE_PMESII!$G$3:$G$62,_xlfn.AGGREGATE(15,6,(ROW(ASCOPE_PMESII!$F$3:$F$62)-ROW(ASCOPE_PMESII!$F$3)+1)/(ASCOPE_PMESII!$F$3:$F$62="COR"),37-(COUNTIF(ASCOPE_PMESII!$B$3:$B$62,"COR")+COUNTIF(ASCOPE_PMESII!$D$3:$D$62,"COR")))),""),IF(37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37-(COUNTIF(ASCOPE_PMESII!$B$3:$B$62,"COR")+COUNTIF(ASCOPE_PMESII!$D$3:$D$62,"COR")+COUNTIF(ASCOPE_PMESII!$F$3:$F$62,"COR")))),""),IF(37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37-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37-(COUNTIF(ASCOPE_PMESII!$B$3:$B$62,"COR")+COUNTIF(ASCOPE_PMESII!$D$3:$D$62,"COR")+COUNTIF(ASCOPE_PMESII!$F$3:$F$62,"COR")+COUNTIF(ASCOPE_PMESII!$H$3:$H$62,"COR")+COUNTIF(ASCOPE_PMESII!$J$3:$J$62,"COR")))),"")))))),"")</f>
        <v>Civilian protection measures integrated from D-0</v>
      </c>
      <c r="F40" s="21" t="str">
        <f t="array" ref="F40">IFERROR(IF(37&lt;=COUNTIF(ASCOPE_PMESII!$B$3:$B$62,"REQT"),IFERROR(INDEX(ASCOPE_PMESII!$C$3:$C$62,_xlfn.AGGREGATE(15,6,(ROW(ASCOPE_PMESII!$B$3:$B$62)-ROW(ASCOPE_PMESII!$B$3)+1)/(ASCOPE_PMESII!$B$3:$B$62="REQT"),37)),""),IF(37&lt;=(COUNTIF(ASCOPE_PMESII!$B$3:$B$62,"REQT")+COUNTIF(ASCOPE_PMESII!$D$3:$D$62,"REQT")),IFERROR(INDEX(ASCOPE_PMESII!$E$3:$E$62,_xlfn.AGGREGATE(15,6,(ROW(ASCOPE_PMESII!$D$3:$D$62)-ROW(ASCOPE_PMESII!$D$3)+1)/(ASCOPE_PMESII!$D$3:$D$62="REQT"),37-(COUNTIF(ASCOPE_PMESII!$B$3:$B$62,"REQT")))),""),IF(37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37-(COUNTIF(ASCOPE_PMESII!$B$3:$B$62,"REQT")+COUNTIF(ASCOPE_PMESII!$D$3:$D$62,"REQT")))),""),IF(37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37-(COUNTIF(ASCOPE_PMESII!$B$3:$B$62,"REQT")+COUNTIF(ASCOPE_PMESII!$D$3:$D$62,"REQT")+COUNTIF(ASCOPE_PMESII!$F$3:$F$62,"REQT")))),""),IF(37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37-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37-(COUNTIF(ASCOPE_PMESII!$B$3:$B$62,"REQT")+COUNTIF(ASCOPE_PMESII!$D$3:$D$62,"REQT")+COUNTIF(ASCOPE_PMESII!$F$3:$F$62,"REQT")+COUNTIF(ASCOPE_PMESII!$H$3:$H$62,"REQT")+COUNTIF(ASCOPE_PMESII!$J$3:$J$62,"REQT")))),"")))))),"")</f>
        <v/>
      </c>
      <c r="G40" s="21" t="str">
        <f t="array" ref="G40">IFERROR(IF(37&lt;=COUNTIF(ASCOPE_PMESII!$B$3:$B$62,"REST"),IFERROR(INDEX(ASCOPE_PMESII!$C$3:$C$62,_xlfn.AGGREGATE(15,6,(ROW(ASCOPE_PMESII!$B$3:$B$62)-ROW(ASCOPE_PMESII!$B$3)+1)/(ASCOPE_PMESII!$B$3:$B$62="REST"),37)),""),IF(37&lt;=(COUNTIF(ASCOPE_PMESII!$B$3:$B$62,"REST")+COUNTIF(ASCOPE_PMESII!$D$3:$D$62,"REST")),IFERROR(INDEX(ASCOPE_PMESII!$E$3:$E$62,_xlfn.AGGREGATE(15,6,(ROW(ASCOPE_PMESII!$D$3:$D$62)-ROW(ASCOPE_PMESII!$D$3)+1)/(ASCOPE_PMESII!$D$3:$D$62="REST"),37-(COUNTIF(ASCOPE_PMESII!$B$3:$B$62,"REST")))),""),IF(37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37-(COUNTIF(ASCOPE_PMESII!$B$3:$B$62,"REST")+COUNTIF(ASCOPE_PMESII!$D$3:$D$62,"REST")))),""),IF(37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37-(COUNTIF(ASCOPE_PMESII!$B$3:$B$62,"REST")+COUNTIF(ASCOPE_PMESII!$D$3:$D$62,"REST")+COUNTIF(ASCOPE_PMESII!$F$3:$F$62,"REST")))),""),IF(37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37-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37-(COUNTIF(ASCOPE_PMESII!$B$3:$B$62,"REST")+COUNTIF(ASCOPE_PMESII!$D$3:$D$62,"REST")+COUNTIF(ASCOPE_PMESII!$F$3:$F$62,"REST")+COUNTIF(ASCOPE_PMESII!$H$3:$H$62,"REST")+COUNTIF(ASCOPE_PMESII!$J$3:$J$62,"REST")))),"")))))),"")</f>
        <v/>
      </c>
      <c r="H40" s="21" t="str">
        <f t="array" ref="H40">IFERROR(IF(37&lt;=COUNTIF(ASCOPE_PMESII!$B$3:$B$62,"KCD-MUST"),IFERROR(INDEX(ASCOPE_PMESII!$C$3:$C$62,_xlfn.AGGREGATE(15,6,(ROW(ASCOPE_PMESII!$B$3:$B$62)-ROW(ASCOPE_PMESII!$B$3)+1)/(ASCOPE_PMESII!$B$3:$B$62="KCD-MUST"),37)),""),IF(37&lt;=(COUNTIF(ASCOPE_PMESII!$B$3:$B$62,"KCD-MUST")+COUNTIF(ASCOPE_PMESII!$D$3:$D$62,"KCD-MUST")),IFERROR(INDEX(ASCOPE_PMESII!$E$3:$E$62,_xlfn.AGGREGATE(15,6,(ROW(ASCOPE_PMESII!$D$3:$D$62)-ROW(ASCOPE_PMESII!$D$3)+1)/(ASCOPE_PMESII!$D$3:$D$62="KCD-MUST"),37-(COUNTIF(ASCOPE_PMESII!$B$3:$B$62,"KCD-MUST")))),""),IF(37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37-(COUNTIF(ASCOPE_PMESII!$B$3:$B$62,"KCD-MUST")+COUNTIF(ASCOPE_PMESII!$D$3:$D$62,"KCD-MUST")))),""),IF(37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37-(COUNTIF(ASCOPE_PMESII!$B$3:$B$62,"KCD-MUST")+COUNTIF(ASCOPE_PMESII!$D$3:$D$62,"KCD-MUST")+COUNTIF(ASCOPE_PMESII!$F$3:$F$62,"KCD-MUST")))),""),IF(37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37-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37-(COUNTIF(ASCOPE_PMESII!$B$3:$B$62,"KCD-MUST")+COUNTIF(ASCOPE_PMESII!$D$3:$D$62,"KCD-MUST")+COUNTIF(ASCOPE_PMESII!$F$3:$F$62,"KCD-MUST")+COUNTIF(ASCOPE_PMESII!$H$3:$H$62,"KCD-MUST")+COUNTIF(ASCOPE_PMESII!$J$3:$J$62,"KCD-MUST")))),"")))))),"")</f>
        <v/>
      </c>
      <c r="I40" s="21" t="str">
        <f t="array" ref="I40">IFERROR(IF(37&lt;=COUNTIF(ASCOPE_PMESII!$B$3:$B$62,"KCD-SHOULD"),IFERROR(INDEX(ASCOPE_PMESII!$C$3:$C$62,_xlfn.AGGREGATE(15,6,(ROW(ASCOPE_PMESII!$B$3:$B$62)-ROW(ASCOPE_PMESII!$B$3)+1)/(ASCOPE_PMESII!$B$3:$B$62="KCD-SHOULD"),37)),""),IF(37&lt;=(COUNTIF(ASCOPE_PMESII!$B$3:$B$62,"KCD-SHOULD")+COUNTIF(ASCOPE_PMESII!$D$3:$D$62,"KCD-SHOULD")),IFERROR(INDEX(ASCOPE_PMESII!$E$3:$E$62,_xlfn.AGGREGATE(15,6,(ROW(ASCOPE_PMESII!$D$3:$D$62)-ROW(ASCOPE_PMESII!$D$3)+1)/(ASCOPE_PMESII!$D$3:$D$62="KCD-SHOULD"),37-(COUNTIF(ASCOPE_PMESII!$B$3:$B$62,"KCD-SHOULD")))),""),IF(37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37-(COUNTIF(ASCOPE_PMESII!$B$3:$B$62,"KCD-SHOULD")+COUNTIF(ASCOPE_PMESII!$D$3:$D$62,"KCD-SHOULD")))),""),IF(37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37-(COUNTIF(ASCOPE_PMESII!$B$3:$B$62,"KCD-SHOULD")+COUNTIF(ASCOPE_PMESII!$D$3:$D$62,"KCD-SHOULD")+COUNTIF(ASCOPE_PMESII!$F$3:$F$62,"KCD-SHOULD")))),""),IF(37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37-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37-(COUNTIF(ASCOPE_PMESII!$B$3:$B$62,"KCD-SHOULD")+COUNTIF(ASCOPE_PMESII!$D$3:$D$62,"KCD-SHOULD")+COUNTIF(ASCOPE_PMESII!$F$3:$F$62,"KCD-SHOULD")+COUNTIF(ASCOPE_PMESII!$H$3:$H$62,"KCD-SHOULD")+COUNTIF(ASCOPE_PMESII!$J$3:$J$62,"KCD-SHOULD")))),"")))))),"")</f>
        <v/>
      </c>
      <c r="J40" s="21" t="str">
        <f t="array" ref="J40">IFERROR(IF(37&lt;=COUNTIF(ASCOPE_PMESII!$B$3:$B$62,"KCD-SHOULD NOT"),IFERROR(INDEX(ASCOPE_PMESII!$C$3:$C$62,_xlfn.AGGREGATE(15,6,(ROW(ASCOPE_PMESII!$B$3:$B$62)-ROW(ASCOPE_PMESII!$B$3)+1)/(ASCOPE_PMESII!$B$3:$B$62="KCD-SHOULD NOT"),37)),""),IF(37&lt;=(COUNTIF(ASCOPE_PMESII!$B$3:$B$62,"KCD-SHOULD NOT")+COUNTIF(ASCOPE_PMESII!$D$3:$D$62,"KCD-SHOULD NOT")),IFERROR(INDEX(ASCOPE_PMESII!$E$3:$E$62,_xlfn.AGGREGATE(15,6,(ROW(ASCOPE_PMESII!$D$3:$D$62)-ROW(ASCOPE_PMESII!$D$3)+1)/(ASCOPE_PMESII!$D$3:$D$62="KCD-SHOULD NOT"),37-(COUNTIF(ASCOPE_PMESII!$B$3:$B$62,"KCD-SHOULD NOT")))),""),IF(37&lt;=(COUNTIF(ASCOPE_PMESII!$B$3:$B$62,"KCD-SHOULD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NOT"),37-(COUNTIF(ASCOPE_PMESII!$B$3:$B$62,"KCD-SHOULD NOT")+COUNTIF(ASCOPE_PMESII!$D$3:$D$62,"KCD-SHOULD NOT")))),""),IF(37&lt;=(COUNTIF(ASCOPE_PMESII!$B$3:$B$62,"KCD-SHOULD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NOT"),37-(COUNTIF(ASCOPE_PMESII!$B$3:$B$62,"KCD-SHOULD NOT")+COUNTIF(ASCOPE_PMESII!$D$3:$D$62,"KCD-SHOULD NOT")+COUNTIF(ASCOPE_PMESII!$F$3:$F$62,"KCD-SHOULD NOT")))),""),IF(37&lt;=(COUNTIF(ASCOPE_PMESII!$B$3:$B$62,"KCD-SHOULD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NOT"),37-(COUNTIF(ASCOPE_PMESII!$B$3:$B$62,"KCD-SHOULD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NOT"),37-(COUNTIF(ASCOPE_PMESII!$B$3:$B$62,"KCD-SHOULD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40" s="21" t="str">
        <f t="array" ref="K40">IFERROR(IF(37&lt;=COUNTIF(ASCOPE_PMESII!$B$3:$B$62,"KCD-CANNOT"),IFERROR(INDEX(ASCOPE_PMESII!$C$3:$C$62,_xlfn.AGGREGATE(15,6,(ROW(ASCOPE_PMESII!$B$3:$B$62)-ROW(ASCOPE_PMESII!$B$3)+1)/(ASCOPE_PMESII!$B$3:$B$62="KCD-CANNOT"),37)),""),IF(37&lt;=(COUNTIF(ASCOPE_PMESII!$B$3:$B$62,"KCD-CANNOT")+COUNTIF(ASCOPE_PMESII!$D$3:$D$62,"KCD-CANNOT")),IFERROR(INDEX(ASCOPE_PMESII!$E$3:$E$62,_xlfn.AGGREGATE(15,6,(ROW(ASCOPE_PMESII!$D$3:$D$62)-ROW(ASCOPE_PMESII!$D$3)+1)/(ASCOPE_PMESII!$D$3:$D$62="KCD-CANNOT"),37-(COUNTIF(ASCOPE_PMESII!$B$3:$B$62,"KCD-CANNOT")))),""),IF(37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37-(COUNTIF(ASCOPE_PMESII!$B$3:$B$62,"KCD-CANNOT")+COUNTIF(ASCOPE_PMESII!$D$3:$D$62,"KCD-CANNOT")))),""),IF(37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37-(COUNTIF(ASCOPE_PMESII!$B$3:$B$62,"KCD-CANNOT")+COUNTIF(ASCOPE_PMESII!$D$3:$D$62,"KCD-CANNOT")+COUNTIF(ASCOPE_PMESII!$F$3:$F$62,"KCD-CANNOT")))),""),IF(37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37-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37-(COUNTIF(ASCOPE_PMESII!$B$3:$B$62,"KCD-CANNOT")+COUNTIF(ASCOPE_PMESII!$D$3:$D$62,"KCD-CANNOT")+COUNTIF(ASCOPE_PMESII!$F$3:$F$62,"KCD-CANNOT")+COUNTIF(ASCOPE_PMESII!$H$3:$H$62,"KCD-CANNOT")+COUNTIF(ASCOPE_PMESII!$J$3:$J$62,"KCD-CANNOT")))),"")))))),"")</f>
        <v/>
      </c>
      <c r="L40" s="21" t="str">
        <f t="array" ref="L40">IFERROR(IF(37&lt;=COUNTIF(ASCOPE_PMESII!$B$3:$B$62,"DECISION"),IFERROR(INDEX(ASCOPE_PMESII!$C$3:$C$62,_xlfn.AGGREGATE(15,6,(ROW(ASCOPE_PMESII!$B$3:$B$62)-ROW(ASCOPE_PMESII!$B$3)+1)/(ASCOPE_PMESII!$B$3:$B$62="DECISION"),37)),""),IF(37&lt;=(COUNTIF(ASCOPE_PMESII!$B$3:$B$62,"DECISION")+COUNTIF(ASCOPE_PMESII!$D$3:$D$62,"DECISION")),IFERROR(INDEX(ASCOPE_PMESII!$E$3:$E$62,_xlfn.AGGREGATE(15,6,(ROW(ASCOPE_PMESII!$D$3:$D$62)-ROW(ASCOPE_PMESII!$D$3)+1)/(ASCOPE_PMESII!$D$3:$D$62="DECISION"),37-(COUNTIF(ASCOPE_PMESII!$B$3:$B$62,"DECISION")))),""),IF(37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37-(COUNTIF(ASCOPE_PMESII!$B$3:$B$62,"DECISION")+COUNTIF(ASCOPE_PMESII!$D$3:$D$62,"DECISION")))),""),IF(37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37-(COUNTIF(ASCOPE_PMESII!$B$3:$B$62,"DECISION")+COUNTIF(ASCOPE_PMESII!$D$3:$D$62,"DECISION")+COUNTIF(ASCOPE_PMESII!$F$3:$F$62,"DECISION")))),""),IF(37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37-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37-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40" s="21" t="str">
        <f t="array" ref="M40">IFERROR(IF(37&lt;=COUNTIF(ASCOPE_PMESII!$B$3:$B$62,"ASSUMPTION"),IFERROR(INDEX(ASCOPE_PMESII!$C$3:$C$62,_xlfn.AGGREGATE(15,6,(ROW(ASCOPE_PMESII!$B$3:$B$62)-ROW(ASCOPE_PMESII!$B$3)+1)/(ASCOPE_PMESII!$B$3:$B$62="ASSUMPTION"),37)),""),IF(37&lt;=(COUNTIF(ASCOPE_PMESII!$B$3:$B$62,"ASSUMPTION")+COUNTIF(ASCOPE_PMESII!$D$3:$D$62,"ASSUMPTION")),IFERROR(INDEX(ASCOPE_PMESII!$E$3:$E$62,_xlfn.AGGREGATE(15,6,(ROW(ASCOPE_PMESII!$D$3:$D$62)-ROW(ASCOPE_PMESII!$D$3)+1)/(ASCOPE_PMESII!$D$3:$D$62="ASSUMPTION"),37-(COUNTIF(ASCOPE_PMESII!$B$3:$B$62,"ASSUMPTION")))),""),IF(37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37-(COUNTIF(ASCOPE_PMESII!$B$3:$B$62,"ASSUMPTION")+COUNTIF(ASCOPE_PMESII!$D$3:$D$62,"ASSUMPTION")))),""),IF(37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37-(COUNTIF(ASCOPE_PMESII!$B$3:$B$62,"ASSUMPTION")+COUNTIF(ASCOPE_PMESII!$D$3:$D$62,"ASSUMPTION")+COUNTIF(ASCOPE_PMESII!$F$3:$F$62,"ASSUMPTION")))),""),IF(37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37-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37-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40" s="21" t="str">
        <f t="array" ref="N40">IFERROR(IF(37&lt;=COUNTIF(ASCOPE_PMESII!$B$3:$B$62,"CONSTRAINT"),IFERROR(INDEX(ASCOPE_PMESII!$C$3:$C$62,_xlfn.AGGREGATE(15,6,(ROW(ASCOPE_PMESII!$B$3:$B$62)-ROW(ASCOPE_PMESII!$B$3)+1)/(ASCOPE_PMESII!$B$3:$B$62="CONSTRAINT"),37)),""),IF(37&lt;=(COUNTIF(ASCOPE_PMESII!$B$3:$B$62,"CONSTRAINT")+COUNTIF(ASCOPE_PMESII!$D$3:$D$62,"CONSTRAINT")),IFERROR(INDEX(ASCOPE_PMESII!$E$3:$E$62,_xlfn.AGGREGATE(15,6,(ROW(ASCOPE_PMESII!$D$3:$D$62)-ROW(ASCOPE_PMESII!$D$3)+1)/(ASCOPE_PMESII!$D$3:$D$62="CONSTRAINT"),37-(COUNTIF(ASCOPE_PMESII!$B$3:$B$62,"CONSTRAINT")))),""),IF(37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37-(COUNTIF(ASCOPE_PMESII!$B$3:$B$62,"CONSTRAINT")+COUNTIF(ASCOPE_PMESII!$D$3:$D$62,"CONSTRAINT")))),""),IF(37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37-(COUNTIF(ASCOPE_PMESII!$B$3:$B$62,"CONSTRAINT")+COUNTIF(ASCOPE_PMESII!$D$3:$D$62,"CONSTRAINT")+COUNTIF(ASCOPE_PMESII!$F$3:$F$62,"CONSTRAINT")))),""),IF(37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37-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37-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40" s="21" t="str">
        <f t="array" ref="O40">IFERROR(IF(37&lt;=COUNTIF(ASCOPE_PMESII!$B$3:$B$62,"LIMITATION"),IFERROR(INDEX(ASCOPE_PMESII!$C$3:$C$62,_xlfn.AGGREGATE(15,6,(ROW(ASCOPE_PMESII!$B$3:$B$62)-ROW(ASCOPE_PMESII!$B$3)+1)/(ASCOPE_PMESII!$B$3:$B$62="LIMITATION"),37)),""),IF(37&lt;=(COUNTIF(ASCOPE_PMESII!$B$3:$B$62,"LIMITATION")+COUNTIF(ASCOPE_PMESII!$D$3:$D$62,"LIMITATION")),IFERROR(INDEX(ASCOPE_PMESII!$E$3:$E$62,_xlfn.AGGREGATE(15,6,(ROW(ASCOPE_PMESII!$D$3:$D$62)-ROW(ASCOPE_PMESII!$D$3)+1)/(ASCOPE_PMESII!$D$3:$D$62="LIMITATION"),37-(COUNTIF(ASCOPE_PMESII!$B$3:$B$62,"LIMITATION")))),""),IF(37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37-(COUNTIF(ASCOPE_PMESII!$B$3:$B$62,"LIMITATION")+COUNTIF(ASCOPE_PMESII!$D$3:$D$62,"LIMITATION")))),""),IF(37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37-(COUNTIF(ASCOPE_PMESII!$B$3:$B$62,"LIMITATION")+COUNTIF(ASCOPE_PMESII!$D$3:$D$62,"LIMITATION")+COUNTIF(ASCOPE_PMESII!$F$3:$F$62,"LIMITATION")))),""),IF(37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37-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37-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40" s="21" t="str">
        <f t="array" ref="P40">IFERROR(IF(37&lt;=COUNTIF(ASCOPE_PMESII!$B$3:$B$62,"CC"),IFERROR(INDEX(ASCOPE_PMESII!$C$3:$C$62,_xlfn.AGGREGATE(15,6,(ROW(ASCOPE_PMESII!$B$3:$B$62)-ROW(ASCOPE_PMESII!$B$3)+1)/(ASCOPE_PMESII!$B$3:$B$62="CC"),37)),""),IF(37&lt;=(COUNTIF(ASCOPE_PMESII!$B$3:$B$62,"CC")+COUNTIF(ASCOPE_PMESII!$D$3:$D$62,"CC")),IFERROR(INDEX(ASCOPE_PMESII!$E$3:$E$62,_xlfn.AGGREGATE(15,6,(ROW(ASCOPE_PMESII!$D$3:$D$62)-ROW(ASCOPE_PMESII!$D$3)+1)/(ASCOPE_PMESII!$D$3:$D$62="CC"),37-(COUNTIF(ASCOPE_PMESII!$B$3:$B$62,"CC")))),""),IF(37&lt;=(COUNTIF(ASCOPE_PMESII!$B$3:$B$62,"CC")+COUNTIF(ASCOPE_PMESII!$D$3:$D$62,"CC")+COUNTIF(ASCOPE_PMESII!$F$3:$F$62,"CC")),IFERROR(INDEX(ASCOPE_PMESII!$G$3:$G$62,_xlfn.AGGREGATE(15,6,(ROW(ASCOPE_PMESII!$F$3:$F$62)-ROW(ASCOPE_PMESII!$F$3)+1)/(ASCOPE_PMESII!$F$3:$F$62="CC"),37-(COUNTIF(ASCOPE_PMESII!$B$3:$B$62,"CC")+COUNTIF(ASCOPE_PMESII!$D$3:$D$62,"CC")))),""),IF(37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37-(COUNTIF(ASCOPE_PMESII!$B$3:$B$62,"CC")+COUNTIF(ASCOPE_PMESII!$D$3:$D$62,"CC")+COUNTIF(ASCOPE_PMESII!$F$3:$F$62,"CC")))),""),IF(37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37-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37-(COUNTIF(ASCOPE_PMESII!$B$3:$B$62,"CC")+COUNTIF(ASCOPE_PMESII!$D$3:$D$62,"CC")+COUNTIF(ASCOPE_PMESII!$F$3:$F$62,"CC")+COUNTIF(ASCOPE_PMESII!$H$3:$H$62,"CC")+COUNTIF(ASCOPE_PMESII!$J$3:$J$62,"CC")))),"")))))),"")</f>
        <v>Aceh offensive likely before NATO mass arrives</v>
      </c>
      <c r="Q40" s="21" t="str">
        <f t="array" ref="Q40">IFERROR(IF(37&lt;=COUNTIF(ASCOPE_PMESII!$B$3:$B$62,"CR"),IFERROR(INDEX(ASCOPE_PMESII!$C$3:$C$62,_xlfn.AGGREGATE(15,6,(ROW(ASCOPE_PMESII!$B$3:$B$62)-ROW(ASCOPE_PMESII!$B$3)+1)/(ASCOPE_PMESII!$B$3:$B$62="CR"),37)),""),IF(37&lt;=(COUNTIF(ASCOPE_PMESII!$B$3:$B$62,"CR")+COUNTIF(ASCOPE_PMESII!$D$3:$D$62,"CR")),IFERROR(INDEX(ASCOPE_PMESII!$E$3:$E$62,_xlfn.AGGREGATE(15,6,(ROW(ASCOPE_PMESII!$D$3:$D$62)-ROW(ASCOPE_PMESII!$D$3)+1)/(ASCOPE_PMESII!$D$3:$D$62="CR"),37-(COUNTIF(ASCOPE_PMESII!$B$3:$B$62,"CR")))),""),IF(37&lt;=(COUNTIF(ASCOPE_PMESII!$B$3:$B$62,"CR")+COUNTIF(ASCOPE_PMESII!$D$3:$D$62,"CR")+COUNTIF(ASCOPE_PMESII!$F$3:$F$62,"CR")),IFERROR(INDEX(ASCOPE_PMESII!$G$3:$G$62,_xlfn.AGGREGATE(15,6,(ROW(ASCOPE_PMESII!$F$3:$F$62)-ROW(ASCOPE_PMESII!$F$3)+1)/(ASCOPE_PMESII!$F$3:$F$62="CR"),37-(COUNTIF(ASCOPE_PMESII!$B$3:$B$62,"CR")+COUNTIF(ASCOPE_PMESII!$D$3:$D$62,"CR")))),""),IF(37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37-(COUNTIF(ASCOPE_PMESII!$B$3:$B$62,"CR")+COUNTIF(ASCOPE_PMESII!$D$3:$D$62,"CR")+COUNTIF(ASCOPE_PMESII!$F$3:$F$62,"CR")))),""),IF(37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37-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37-(COUNTIF(ASCOPE_PMESII!$B$3:$B$62,"CR")+COUNTIF(ASCOPE_PMESII!$D$3:$D$62,"CR")+COUNTIF(ASCOPE_PMESII!$F$3:$F$62,"CR")+COUNTIF(ASCOPE_PMESII!$H$3:$H$62,"CR")+COUNTIF(ASCOPE_PMESII!$J$3:$J$62,"CR")))),"")))))),"")</f>
        <v/>
      </c>
      <c r="R40" s="94" t="str">
        <f t="array" ref="R40">IFERROR(IF(37&lt;=COUNTIF(ASCOPE_PMESII!$B$3:$B$62,"PCS"),IFERROR(INDEX(ASCOPE_PMESII!$C$3:$C$62,_xlfn.AGGREGATE(15,6,(ROW(ASCOPE_PMESII!$B$3:$B$62)-ROW(ASCOPE_PMESII!$B$3)+1)/(ASCOPE_PMESII!$B$3:$B$62="PCS"),37)),""),IF(37&lt;=(COUNTIF(ASCOPE_PMESII!$B$3:$B$62,"PCS")+COUNTIF(ASCOPE_PMESII!$D$3:$D$62,"PCS")),IFERROR(INDEX(ASCOPE_PMESII!$E$3:$E$62,_xlfn.AGGREGATE(15,6,(ROW(ASCOPE_PMESII!$D$3:$D$62)-ROW(ASCOPE_PMESII!$D$3)+1)/(ASCOPE_PMESII!$D$3:$D$62="PCS"),37-(COUNTIF(ASCOPE_PMESII!$B$3:$B$62,"PCS")))),""),IF(37&lt;=(COUNTIF(ASCOPE_PMESII!$B$3:$B$62,"PCS")+COUNTIF(ASCOPE_PMESII!$D$3:$D$62,"PCS")+COUNTIF(ASCOPE_PMESII!$F$3:$F$62,"PCS")),IFERROR(INDEX(ASCOPE_PMESII!$G$3:$G$62,_xlfn.AGGREGATE(15,6,(ROW(ASCOPE_PMESII!$F$3:$F$62)-ROW(ASCOPE_PMESII!$F$3)+1)/(ASCOPE_PMESII!$F$3:$F$62="PCS"),37-(COUNTIF(ASCOPE_PMESII!$B$3:$B$62,"PCS")+COUNTIF(ASCOPE_PMESII!$D$3:$D$62,"PCS")))),""),IF(37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37-(COUNTIF(ASCOPE_PMESII!$B$3:$B$62,"PCS")+COUNTIF(ASCOPE_PMESII!$D$3:$D$62,"PCS")+COUNTIF(ASCOPE_PMESII!$F$3:$F$62,"PCS")))),""),IF(37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37-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37-(COUNTIF(ASCOPE_PMESII!$B$3:$B$62,"PCS")+COUNTIF(ASCOPE_PMESII!$D$3:$D$62,"PCS")+COUNTIF(ASCOPE_PMESII!$F$3:$F$62,"PCS")+COUNTIF(ASCOPE_PMESII!$H$3:$H$62,"PCS")+COUNTIF(ASCOPE_PMESII!$J$3:$J$62,"PCS")))),"")))))),"")</f>
        <v/>
      </c>
    </row>
    <row r="41" spans="1:18" ht="34.5" customHeight="1">
      <c r="A41" s="22" t="str">
        <f t="array" ref="A41">IFERROR(IF(38&lt;=COUNTIF(ASCOPE_PMESII!$B$3:$B$62,"OE"),IFERROR(INDEX(ASCOPE_PMESII!$C$3:$C$62,_xlfn.AGGREGATE(15,6,(ROW(ASCOPE_PMESII!$B$3:$B$62)-ROW(ASCOPE_PMESII!$B$3)+1)/(ASCOPE_PMESII!$B$3:$B$62="OE"),38)),""),IF(38&lt;=(COUNTIF(ASCOPE_PMESII!$B$3:$B$62,"OE")+COUNTIF(ASCOPE_PMESII!$D$3:$D$62,"OE")),IFERROR(INDEX(ASCOPE_PMESII!$E$3:$E$62,_xlfn.AGGREGATE(15,6,(ROW(ASCOPE_PMESII!$D$3:$D$62)-ROW(ASCOPE_PMESII!$D$3)+1)/(ASCOPE_PMESII!$D$3:$D$62="OE"),38-(COUNTIF(ASCOPE_PMESII!$B$3:$B$62,"OE")))),""),IF(38&lt;=(COUNTIF(ASCOPE_PMESII!$B$3:$B$62,"OE")+COUNTIF(ASCOPE_PMESII!$D$3:$D$62,"OE")+COUNTIF(ASCOPE_PMESII!$F$3:$F$62,"OE")),IFERROR(INDEX(ASCOPE_PMESII!$G$3:$G$62,_xlfn.AGGREGATE(15,6,(ROW(ASCOPE_PMESII!$F$3:$F$62)-ROW(ASCOPE_PMESII!$F$3)+1)/(ASCOPE_PMESII!$F$3:$F$62="OE"),38-(COUNTIF(ASCOPE_PMESII!$B$3:$B$62,"OE")+COUNTIF(ASCOPE_PMESII!$D$3:$D$62,"OE")))),""),IF(38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38-(COUNTIF(ASCOPE_PMESII!$B$3:$B$62,"OE")+COUNTIF(ASCOPE_PMESII!$D$3:$D$62,"OE")+COUNTIF(ASCOPE_PMESII!$F$3:$F$62,"OE")))),""),IF(38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38-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38-(COUNTIF(ASCOPE_PMESII!$B$3:$B$62,"OE")+COUNTIF(ASCOPE_PMESII!$D$3:$D$62,"OE")+COUNTIF(ASCOPE_PMESII!$F$3:$F$62,"OE")+COUNTIF(ASCOPE_PMESII!$H$3:$H$62,"OE")+COUNTIF(ASCOPE_PMESII!$J$3:$J$62,"OE")))),"")))))),"")</f>
        <v/>
      </c>
      <c r="B41" s="22" t="str">
        <f t="array" ref="B41">IFERROR(IF(38&lt;=COUNTIF(ASCOPE_PMESII!$B$3:$B$62,"OA"),IFERROR(INDEX(ASCOPE_PMESII!$C$3:$C$62,_xlfn.AGGREGATE(15,6,(ROW(ASCOPE_PMESII!$B$3:$B$62)-ROW(ASCOPE_PMESII!$B$3)+1)/(ASCOPE_PMESII!$B$3:$B$62="OA"),38)),""),IF(38&lt;=(COUNTIF(ASCOPE_PMESII!$B$3:$B$62,"OA")+COUNTIF(ASCOPE_PMESII!$D$3:$D$62,"OA")),IFERROR(INDEX(ASCOPE_PMESII!$E$3:$E$62,_xlfn.AGGREGATE(15,6,(ROW(ASCOPE_PMESII!$D$3:$D$62)-ROW(ASCOPE_PMESII!$D$3)+1)/(ASCOPE_PMESII!$D$3:$D$62="OA"),38-(COUNTIF(ASCOPE_PMESII!$B$3:$B$62,"OA")))),""),IF(38&lt;=(COUNTIF(ASCOPE_PMESII!$B$3:$B$62,"OA")+COUNTIF(ASCOPE_PMESII!$D$3:$D$62,"OA")+COUNTIF(ASCOPE_PMESII!$F$3:$F$62,"OA")),IFERROR(INDEX(ASCOPE_PMESII!$G$3:$G$62,_xlfn.AGGREGATE(15,6,(ROW(ASCOPE_PMESII!$F$3:$F$62)-ROW(ASCOPE_PMESII!$F$3)+1)/(ASCOPE_PMESII!$F$3:$F$62="OA"),38-(COUNTIF(ASCOPE_PMESII!$B$3:$B$62,"OA")+COUNTIF(ASCOPE_PMESII!$D$3:$D$62,"OA")))),""),IF(38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38-(COUNTIF(ASCOPE_PMESII!$B$3:$B$62,"OA")+COUNTIF(ASCOPE_PMESII!$D$3:$D$62,"OA")+COUNTIF(ASCOPE_PMESII!$F$3:$F$62,"OA")))),""),IF(38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38-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38-(COUNTIF(ASCOPE_PMESII!$B$3:$B$62,"OA")+COUNTIF(ASCOPE_PMESII!$D$3:$D$62,"OA")+COUNTIF(ASCOPE_PMESII!$F$3:$F$62,"OA")+COUNTIF(ASCOPE_PMESII!$H$3:$H$62,"OA")+COUNTIF(ASCOPE_PMESII!$J$3:$J$62,"OA")))),"")))))),"")</f>
        <v/>
      </c>
      <c r="C41" s="22" t="str">
        <f t="array" ref="C41">IFERROR(IF(38&lt;=COUNTIF(ASCOPE_PMESII!$B$3:$B$62,"RISK"),IFERROR(INDEX(ASCOPE_PMESII!$C$3:$C$62,_xlfn.AGGREGATE(15,6,(ROW(ASCOPE_PMESII!$B$3:$B$62)-ROW(ASCOPE_PMESII!$B$3)+1)/(ASCOPE_PMESII!$B$3:$B$62="RISK"),38)),""),IF(38&lt;=(COUNTIF(ASCOPE_PMESII!$B$3:$B$62,"RISK")+COUNTIF(ASCOPE_PMESII!$D$3:$D$62,"RISK")),IFERROR(INDEX(ASCOPE_PMESII!$E$3:$E$62,_xlfn.AGGREGATE(15,6,(ROW(ASCOPE_PMESII!$D$3:$D$62)-ROW(ASCOPE_PMESII!$D$3)+1)/(ASCOPE_PMESII!$D$3:$D$62="RISK"),38-(COUNTIF(ASCOPE_PMESII!$B$3:$B$62,"RISK")))),""),IF(38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38-(COUNTIF(ASCOPE_PMESII!$B$3:$B$62,"RISK")+COUNTIF(ASCOPE_PMESII!$D$3:$D$62,"RISK")))),""),IF(38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38-(COUNTIF(ASCOPE_PMESII!$B$3:$B$62,"RISK")+COUNTIF(ASCOPE_PMESII!$D$3:$D$62,"RISK")+COUNTIF(ASCOPE_PMESII!$F$3:$F$62,"RISK")))),""),IF(38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38-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38-(COUNTIF(ASCOPE_PMESII!$B$3:$B$62,"RISK")+COUNTIF(ASCOPE_PMESII!$D$3:$D$62,"RISK")+COUNTIF(ASCOPE_PMESII!$F$3:$F$62,"RISK")+COUNTIF(ASCOPE_PMESII!$H$3:$H$62,"RISK")+COUNTIF(ASCOPE_PMESII!$J$3:$J$62,"RISK")))),"")))))),"")</f>
        <v/>
      </c>
      <c r="D41" s="22" t="str">
        <f t="array" ref="D41">IFERROR(IF(38&lt;=COUNTIF(ASCOPE_PMESII!$B$3:$B$62,"CV"),IFERROR(INDEX(ASCOPE_PMESII!$C$3:$C$62,_xlfn.AGGREGATE(15,6,(ROW(ASCOPE_PMESII!$B$3:$B$62)-ROW(ASCOPE_PMESII!$B$3)+1)/(ASCOPE_PMESII!$B$3:$B$62="CV"),38)),""),IF(38&lt;=(COUNTIF(ASCOPE_PMESII!$B$3:$B$62,"CV")+COUNTIF(ASCOPE_PMESII!$D$3:$D$62,"CV")),IFERROR(INDEX(ASCOPE_PMESII!$E$3:$E$62,_xlfn.AGGREGATE(15,6,(ROW(ASCOPE_PMESII!$D$3:$D$62)-ROW(ASCOPE_PMESII!$D$3)+1)/(ASCOPE_PMESII!$D$3:$D$62="CV"),38-(COUNTIF(ASCOPE_PMESII!$B$3:$B$62,"CV")))),""),IF(38&lt;=(COUNTIF(ASCOPE_PMESII!$B$3:$B$62,"CV")+COUNTIF(ASCOPE_PMESII!$D$3:$D$62,"CV")+COUNTIF(ASCOPE_PMESII!$F$3:$F$62,"CV")),IFERROR(INDEX(ASCOPE_PMESII!$G$3:$G$62,_xlfn.AGGREGATE(15,6,(ROW(ASCOPE_PMESII!$F$3:$F$62)-ROW(ASCOPE_PMESII!$F$3)+1)/(ASCOPE_PMESII!$F$3:$F$62="CV"),38-(COUNTIF(ASCOPE_PMESII!$B$3:$B$62,"CV")+COUNTIF(ASCOPE_PMESII!$D$3:$D$62,"CV")))),""),IF(38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38-(COUNTIF(ASCOPE_PMESII!$B$3:$B$62,"CV")+COUNTIF(ASCOPE_PMESII!$D$3:$D$62,"CV")+COUNTIF(ASCOPE_PMESII!$F$3:$F$62,"CV")))),""),IF(38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38-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38-(COUNTIF(ASCOPE_PMESII!$B$3:$B$62,"CV")+COUNTIF(ASCOPE_PMESII!$D$3:$D$62,"CV")+COUNTIF(ASCOPE_PMESII!$F$3:$F$62,"CV")+COUNTIF(ASCOPE_PMESII!$H$3:$H$62,"CV")+COUNTIF(ASCOPE_PMESII!$J$3:$J$62,"CV")))),"")))))),"")</f>
        <v>ISIL/JI presence contaminates IRS legitimacy</v>
      </c>
      <c r="E41" s="22" t="str">
        <f t="array" ref="E41">IFERROR(IF(38&lt;=COUNTIF(ASCOPE_PMESII!$B$3:$B$62,"COR"),IFERROR(INDEX(ASCOPE_PMESII!$C$3:$C$62,_xlfn.AGGREGATE(15,6,(ROW(ASCOPE_PMESII!$B$3:$B$62)-ROW(ASCOPE_PMESII!$B$3)+1)/(ASCOPE_PMESII!$B$3:$B$62="COR"),38)),""),IF(38&lt;=(COUNTIF(ASCOPE_PMESII!$B$3:$B$62,"COR")+COUNTIF(ASCOPE_PMESII!$D$3:$D$62,"COR")),IFERROR(INDEX(ASCOPE_PMESII!$E$3:$E$62,_xlfn.AGGREGATE(15,6,(ROW(ASCOPE_PMESII!$D$3:$D$62)-ROW(ASCOPE_PMESII!$D$3)+1)/(ASCOPE_PMESII!$D$3:$D$62="COR"),38-(COUNTIF(ASCOPE_PMESII!$B$3:$B$62,"COR")))),""),IF(38&lt;=(COUNTIF(ASCOPE_PMESII!$B$3:$B$62,"COR")+COUNTIF(ASCOPE_PMESII!$D$3:$D$62,"COR")+COUNTIF(ASCOPE_PMESII!$F$3:$F$62,"COR")),IFERROR(INDEX(ASCOPE_PMESII!$G$3:$G$62,_xlfn.AGGREGATE(15,6,(ROW(ASCOPE_PMESII!$F$3:$F$62)-ROW(ASCOPE_PMESII!$F$3)+1)/(ASCOPE_PMESII!$F$3:$F$62="COR"),38-(COUNTIF(ASCOPE_PMESII!$B$3:$B$62,"COR")+COUNTIF(ASCOPE_PMESII!$D$3:$D$62,"COR")))),""),IF(38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38-(COUNTIF(ASCOPE_PMESII!$B$3:$B$62,"COR")+COUNTIF(ASCOPE_PMESII!$D$3:$D$62,"COR")+COUNTIF(ASCOPE_PMESII!$F$3:$F$62,"COR")))),""),IF(38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38-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38-(COUNTIF(ASCOPE_PMESII!$B$3:$B$62,"COR")+COUNTIF(ASCOPE_PMESII!$D$3:$D$62,"COR")+COUNTIF(ASCOPE_PMESII!$F$3:$F$62,"COR")+COUNTIF(ASCOPE_PMESII!$H$3:$H$62,"COR")+COUNTIF(ASCOPE_PMESII!$J$3:$J$62,"COR")))),"")))))),"")</f>
        <v>Exploit dry-season window for decisive access</v>
      </c>
      <c r="F41" s="22" t="str">
        <f t="array" ref="F41">IFERROR(IF(38&lt;=COUNTIF(ASCOPE_PMESII!$B$3:$B$62,"REQT"),IFERROR(INDEX(ASCOPE_PMESII!$C$3:$C$62,_xlfn.AGGREGATE(15,6,(ROW(ASCOPE_PMESII!$B$3:$B$62)-ROW(ASCOPE_PMESII!$B$3)+1)/(ASCOPE_PMESII!$B$3:$B$62="REQT"),38)),""),IF(38&lt;=(COUNTIF(ASCOPE_PMESII!$B$3:$B$62,"REQT")+COUNTIF(ASCOPE_PMESII!$D$3:$D$62,"REQT")),IFERROR(INDEX(ASCOPE_PMESII!$E$3:$E$62,_xlfn.AGGREGATE(15,6,(ROW(ASCOPE_PMESII!$D$3:$D$62)-ROW(ASCOPE_PMESII!$D$3)+1)/(ASCOPE_PMESII!$D$3:$D$62="REQT"),38-(COUNTIF(ASCOPE_PMESII!$B$3:$B$62,"REQT")))),""),IF(38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38-(COUNTIF(ASCOPE_PMESII!$B$3:$B$62,"REQT")+COUNTIF(ASCOPE_PMESII!$D$3:$D$62,"REQT")))),""),IF(38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38-(COUNTIF(ASCOPE_PMESII!$B$3:$B$62,"REQT")+COUNTIF(ASCOPE_PMESII!$D$3:$D$62,"REQT")+COUNTIF(ASCOPE_PMESII!$F$3:$F$62,"REQT")))),""),IF(38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38-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38-(COUNTIF(ASCOPE_PMESII!$B$3:$B$62,"REQT")+COUNTIF(ASCOPE_PMESII!$D$3:$D$62,"REQT")+COUNTIF(ASCOPE_PMESII!$F$3:$F$62,"REQT")+COUNTIF(ASCOPE_PMESII!$H$3:$H$62,"REQT")+COUNTIF(ASCOPE_PMESII!$J$3:$J$62,"REQT")))),"")))))),"")</f>
        <v/>
      </c>
      <c r="G41" s="22" t="str">
        <f t="array" ref="G41">IFERROR(IF(38&lt;=COUNTIF(ASCOPE_PMESII!$B$3:$B$62,"REST"),IFERROR(INDEX(ASCOPE_PMESII!$C$3:$C$62,_xlfn.AGGREGATE(15,6,(ROW(ASCOPE_PMESII!$B$3:$B$62)-ROW(ASCOPE_PMESII!$B$3)+1)/(ASCOPE_PMESII!$B$3:$B$62="REST"),38)),""),IF(38&lt;=(COUNTIF(ASCOPE_PMESII!$B$3:$B$62,"REST")+COUNTIF(ASCOPE_PMESII!$D$3:$D$62,"REST")),IFERROR(INDEX(ASCOPE_PMESII!$E$3:$E$62,_xlfn.AGGREGATE(15,6,(ROW(ASCOPE_PMESII!$D$3:$D$62)-ROW(ASCOPE_PMESII!$D$3)+1)/(ASCOPE_PMESII!$D$3:$D$62="REST"),38-(COUNTIF(ASCOPE_PMESII!$B$3:$B$62,"REST")))),""),IF(38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38-(COUNTIF(ASCOPE_PMESII!$B$3:$B$62,"REST")+COUNTIF(ASCOPE_PMESII!$D$3:$D$62,"REST")))),""),IF(38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38-(COUNTIF(ASCOPE_PMESII!$B$3:$B$62,"REST")+COUNTIF(ASCOPE_PMESII!$D$3:$D$62,"REST")+COUNTIF(ASCOPE_PMESII!$F$3:$F$62,"REST")))),""),IF(38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38-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38-(COUNTIF(ASCOPE_PMESII!$B$3:$B$62,"REST")+COUNTIF(ASCOPE_PMESII!$D$3:$D$62,"REST")+COUNTIF(ASCOPE_PMESII!$F$3:$F$62,"REST")+COUNTIF(ASCOPE_PMESII!$H$3:$H$62,"REST")+COUNTIF(ASCOPE_PMESII!$J$3:$J$62,"REST")))),"")))))),"")</f>
        <v/>
      </c>
      <c r="H41" s="22" t="str">
        <f t="array" ref="H41">IFERROR(IF(38&lt;=COUNTIF(ASCOPE_PMESII!$B$3:$B$62,"KCD-MUST"),IFERROR(INDEX(ASCOPE_PMESII!$C$3:$C$62,_xlfn.AGGREGATE(15,6,(ROW(ASCOPE_PMESII!$B$3:$B$62)-ROW(ASCOPE_PMESII!$B$3)+1)/(ASCOPE_PMESII!$B$3:$B$62="KCD-MUST"),38)),""),IF(38&lt;=(COUNTIF(ASCOPE_PMESII!$B$3:$B$62,"KCD-MUST")+COUNTIF(ASCOPE_PMESII!$D$3:$D$62,"KCD-MUST")),IFERROR(INDEX(ASCOPE_PMESII!$E$3:$E$62,_xlfn.AGGREGATE(15,6,(ROW(ASCOPE_PMESII!$D$3:$D$62)-ROW(ASCOPE_PMESII!$D$3)+1)/(ASCOPE_PMESII!$D$3:$D$62="KCD-MUST"),38-(COUNTIF(ASCOPE_PMESII!$B$3:$B$62,"KCD-MUST")))),""),IF(38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38-(COUNTIF(ASCOPE_PMESII!$B$3:$B$62,"KCD-MUST")+COUNTIF(ASCOPE_PMESII!$D$3:$D$62,"KCD-MUST")))),""),IF(38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38-(COUNTIF(ASCOPE_PMESII!$B$3:$B$62,"KCD-MUST")+COUNTIF(ASCOPE_PMESII!$D$3:$D$62,"KCD-MUST")+COUNTIF(ASCOPE_PMESII!$F$3:$F$62,"KCD-MUST")))),""),IF(38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38-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38-(COUNTIF(ASCOPE_PMESII!$B$3:$B$62,"KCD-MUST")+COUNTIF(ASCOPE_PMESII!$D$3:$D$62,"KCD-MUST")+COUNTIF(ASCOPE_PMESII!$F$3:$F$62,"KCD-MUST")+COUNTIF(ASCOPE_PMESII!$H$3:$H$62,"KCD-MUST")+COUNTIF(ASCOPE_PMESII!$J$3:$J$62,"KCD-MUST")))),"")))))),"")</f>
        <v/>
      </c>
      <c r="I41" s="22" t="str">
        <f t="array" ref="I41">IFERROR(IF(38&lt;=COUNTIF(ASCOPE_PMESII!$B$3:$B$62,"KCD-SHOULD"),IFERROR(INDEX(ASCOPE_PMESII!$C$3:$C$62,_xlfn.AGGREGATE(15,6,(ROW(ASCOPE_PMESII!$B$3:$B$62)-ROW(ASCOPE_PMESII!$B$3)+1)/(ASCOPE_PMESII!$B$3:$B$62="KCD-SHOULD"),38)),""),IF(38&lt;=(COUNTIF(ASCOPE_PMESII!$B$3:$B$62,"KCD-SHOULD")+COUNTIF(ASCOPE_PMESII!$D$3:$D$62,"KCD-SHOULD")),IFERROR(INDEX(ASCOPE_PMESII!$E$3:$E$62,_xlfn.AGGREGATE(15,6,(ROW(ASCOPE_PMESII!$D$3:$D$62)-ROW(ASCOPE_PMESII!$D$3)+1)/(ASCOPE_PMESII!$D$3:$D$62="KCD-SHOULD"),38-(COUNTIF(ASCOPE_PMESII!$B$3:$B$62,"KCD-SHOULD")))),""),IF(38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38-(COUNTIF(ASCOPE_PMESII!$B$3:$B$62,"KCD-SHOULD")+COUNTIF(ASCOPE_PMESII!$D$3:$D$62,"KCD-SHOULD")))),""),IF(38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38-(COUNTIF(ASCOPE_PMESII!$B$3:$B$62,"KCD-SHOULD")+COUNTIF(ASCOPE_PMESII!$D$3:$D$62,"KCD-SHOULD")+COUNTIF(ASCOPE_PMESII!$F$3:$F$62,"KCD-SHOULD")))),""),IF(38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38-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38-(COUNTIF(ASCOPE_PMESII!$B$3:$B$62,"KCD-SHOULD")+COUNTIF(ASCOPE_PMESII!$D$3:$D$62,"KCD-SHOULD")+COUNTIF(ASCOPE_PMESII!$F$3:$F$62,"KCD-SHOULD")+COUNTIF(ASCOPE_PMESII!$H$3:$H$62,"KCD-SHOULD")+COUNTIF(ASCOPE_PMESII!$J$3:$J$62,"KCD-SHOULD")))),"")))))),"")</f>
        <v/>
      </c>
      <c r="J41" s="22" t="str">
        <f t="array" ref="J41">IFERROR(IF(38&lt;=COUNTIF(ASCOPE_PMESII!$B$3:$B$62,"KCD-SHOULD NOT"),IFERROR(INDEX(ASCOPE_PMESII!$C$3:$C$62,_xlfn.AGGREGATE(15,6,(ROW(ASCOPE_PMESII!$B$3:$B$62)-ROW(ASCOPE_PMESII!$B$3)+1)/(ASCOPE_PMESII!$B$3:$B$62="KCD-SHOULD NOT"),38)),""),IF(38&lt;=(COUNTIF(ASCOPE_PMESII!$B$3:$B$62,"KCD-SHOULD NOT")+COUNTIF(ASCOPE_PMESII!$D$3:$D$62,"KCD-SHOULD NOT")),IFERROR(INDEX(ASCOPE_PMESII!$E$3:$E$62,_xlfn.AGGREGATE(15,6,(ROW(ASCOPE_PMESII!$D$3:$D$62)-ROW(ASCOPE_PMESII!$D$3)+1)/(ASCOPE_PMESII!$D$3:$D$62="KCD-SHOULD NOT"),38-(COUNTIF(ASCOPE_PMESII!$B$3:$B$62,"KCD-SHOULD NOT")))),""),IF(38&lt;=(COUNTIF(ASCOPE_PMESII!$B$3:$B$62,"KCD-SHOULD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NOT"),38-(COUNTIF(ASCOPE_PMESII!$B$3:$B$62,"KCD-SHOULD NOT")+COUNTIF(ASCOPE_PMESII!$D$3:$D$62,"KCD-SHOULD NOT")))),""),IF(38&lt;=(COUNTIF(ASCOPE_PMESII!$B$3:$B$62,"KCD-SHOULD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NOT"),38-(COUNTIF(ASCOPE_PMESII!$B$3:$B$62,"KCD-SHOULD NOT")+COUNTIF(ASCOPE_PMESII!$D$3:$D$62,"KCD-SHOULD NOT")+COUNTIF(ASCOPE_PMESII!$F$3:$F$62,"KCD-SHOULD NOT")))),""),IF(38&lt;=(COUNTIF(ASCOPE_PMESII!$B$3:$B$62,"KCD-SHOULD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NOT"),38-(COUNTIF(ASCOPE_PMESII!$B$3:$B$62,"KCD-SHOULD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NOT"),38-(COUNTIF(ASCOPE_PMESII!$B$3:$B$62,"KCD-SHOULD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41" s="22" t="str">
        <f t="array" ref="K41">IFERROR(IF(38&lt;=COUNTIF(ASCOPE_PMESII!$B$3:$B$62,"KCD-CANNOT"),IFERROR(INDEX(ASCOPE_PMESII!$C$3:$C$62,_xlfn.AGGREGATE(15,6,(ROW(ASCOPE_PMESII!$B$3:$B$62)-ROW(ASCOPE_PMESII!$B$3)+1)/(ASCOPE_PMESII!$B$3:$B$62="KCD-CANNOT"),38)),""),IF(38&lt;=(COUNTIF(ASCOPE_PMESII!$B$3:$B$62,"KCD-CANNOT")+COUNTIF(ASCOPE_PMESII!$D$3:$D$62,"KCD-CANNOT")),IFERROR(INDEX(ASCOPE_PMESII!$E$3:$E$62,_xlfn.AGGREGATE(15,6,(ROW(ASCOPE_PMESII!$D$3:$D$62)-ROW(ASCOPE_PMESII!$D$3)+1)/(ASCOPE_PMESII!$D$3:$D$62="KCD-CANNOT"),38-(COUNTIF(ASCOPE_PMESII!$B$3:$B$62,"KCD-CANNOT")))),""),IF(38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38-(COUNTIF(ASCOPE_PMESII!$B$3:$B$62,"KCD-CANNOT")+COUNTIF(ASCOPE_PMESII!$D$3:$D$62,"KCD-CANNOT")))),""),IF(38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38-(COUNTIF(ASCOPE_PMESII!$B$3:$B$62,"KCD-CANNOT")+COUNTIF(ASCOPE_PMESII!$D$3:$D$62,"KCD-CANNOT")+COUNTIF(ASCOPE_PMESII!$F$3:$F$62,"KCD-CANNOT")))),""),IF(38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38-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38-(COUNTIF(ASCOPE_PMESII!$B$3:$B$62,"KCD-CANNOT")+COUNTIF(ASCOPE_PMESII!$D$3:$D$62,"KCD-CANNOT")+COUNTIF(ASCOPE_PMESII!$F$3:$F$62,"KCD-CANNOT")+COUNTIF(ASCOPE_PMESII!$H$3:$H$62,"KCD-CANNOT")+COUNTIF(ASCOPE_PMESII!$J$3:$J$62,"KCD-CANNOT")))),"")))))),"")</f>
        <v/>
      </c>
      <c r="L41" s="22" t="str">
        <f t="array" ref="L41">IFERROR(IF(38&lt;=COUNTIF(ASCOPE_PMESII!$B$3:$B$62,"DECISION"),IFERROR(INDEX(ASCOPE_PMESII!$C$3:$C$62,_xlfn.AGGREGATE(15,6,(ROW(ASCOPE_PMESII!$B$3:$B$62)-ROW(ASCOPE_PMESII!$B$3)+1)/(ASCOPE_PMESII!$B$3:$B$62="DECISION"),38)),""),IF(38&lt;=(COUNTIF(ASCOPE_PMESII!$B$3:$B$62,"DECISION")+COUNTIF(ASCOPE_PMESII!$D$3:$D$62,"DECISION")),IFERROR(INDEX(ASCOPE_PMESII!$E$3:$E$62,_xlfn.AGGREGATE(15,6,(ROW(ASCOPE_PMESII!$D$3:$D$62)-ROW(ASCOPE_PMESII!$D$3)+1)/(ASCOPE_PMESII!$D$3:$D$62="DECISION"),38-(COUNTIF(ASCOPE_PMESII!$B$3:$B$62,"DECISION")))),""),IF(38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38-(COUNTIF(ASCOPE_PMESII!$B$3:$B$62,"DECISION")+COUNTIF(ASCOPE_PMESII!$D$3:$D$62,"DECISION")))),""),IF(38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38-(COUNTIF(ASCOPE_PMESII!$B$3:$B$62,"DECISION")+COUNTIF(ASCOPE_PMESII!$D$3:$D$62,"DECISION")+COUNTIF(ASCOPE_PMESII!$F$3:$F$62,"DECISION")))),""),IF(38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38-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38-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41" s="22" t="str">
        <f t="array" ref="M41">IFERROR(IF(38&lt;=COUNTIF(ASCOPE_PMESII!$B$3:$B$62,"ASSUMPTION"),IFERROR(INDEX(ASCOPE_PMESII!$C$3:$C$62,_xlfn.AGGREGATE(15,6,(ROW(ASCOPE_PMESII!$B$3:$B$62)-ROW(ASCOPE_PMESII!$B$3)+1)/(ASCOPE_PMESII!$B$3:$B$62="ASSUMPTION"),38)),""),IF(38&lt;=(COUNTIF(ASCOPE_PMESII!$B$3:$B$62,"ASSUMPTION")+COUNTIF(ASCOPE_PMESII!$D$3:$D$62,"ASSUMPTION")),IFERROR(INDEX(ASCOPE_PMESII!$E$3:$E$62,_xlfn.AGGREGATE(15,6,(ROW(ASCOPE_PMESII!$D$3:$D$62)-ROW(ASCOPE_PMESII!$D$3)+1)/(ASCOPE_PMESII!$D$3:$D$62="ASSUMPTION"),38-(COUNTIF(ASCOPE_PMESII!$B$3:$B$62,"ASSUMPTION")))),""),IF(38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38-(COUNTIF(ASCOPE_PMESII!$B$3:$B$62,"ASSUMPTION")+COUNTIF(ASCOPE_PMESII!$D$3:$D$62,"ASSUMPTION")))),""),IF(38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38-(COUNTIF(ASCOPE_PMESII!$B$3:$B$62,"ASSUMPTION")+COUNTIF(ASCOPE_PMESII!$D$3:$D$62,"ASSUMPTION")+COUNTIF(ASCOPE_PMESII!$F$3:$F$62,"ASSUMPTION")))),""),IF(38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38-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38-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41" s="22" t="str">
        <f t="array" ref="N41">IFERROR(IF(38&lt;=COUNTIF(ASCOPE_PMESII!$B$3:$B$62,"CONSTRAINT"),IFERROR(INDEX(ASCOPE_PMESII!$C$3:$C$62,_xlfn.AGGREGATE(15,6,(ROW(ASCOPE_PMESII!$B$3:$B$62)-ROW(ASCOPE_PMESII!$B$3)+1)/(ASCOPE_PMESII!$B$3:$B$62="CONSTRAINT"),38)),""),IF(38&lt;=(COUNTIF(ASCOPE_PMESII!$B$3:$B$62,"CONSTRAINT")+COUNTIF(ASCOPE_PMESII!$D$3:$D$62,"CONSTRAINT")),IFERROR(INDEX(ASCOPE_PMESII!$E$3:$E$62,_xlfn.AGGREGATE(15,6,(ROW(ASCOPE_PMESII!$D$3:$D$62)-ROW(ASCOPE_PMESII!$D$3)+1)/(ASCOPE_PMESII!$D$3:$D$62="CONSTRAINT"),38-(COUNTIF(ASCOPE_PMESII!$B$3:$B$62,"CONSTRAINT")))),""),IF(38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38-(COUNTIF(ASCOPE_PMESII!$B$3:$B$62,"CONSTRAINT")+COUNTIF(ASCOPE_PMESII!$D$3:$D$62,"CONSTRAINT")))),""),IF(38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38-(COUNTIF(ASCOPE_PMESII!$B$3:$B$62,"CONSTRAINT")+COUNTIF(ASCOPE_PMESII!$D$3:$D$62,"CONSTRAINT")+COUNTIF(ASCOPE_PMESII!$F$3:$F$62,"CONSTRAINT")))),""),IF(38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38-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38-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41" s="22" t="str">
        <f t="array" ref="O41">IFERROR(IF(38&lt;=COUNTIF(ASCOPE_PMESII!$B$3:$B$62,"LIMITATION"),IFERROR(INDEX(ASCOPE_PMESII!$C$3:$C$62,_xlfn.AGGREGATE(15,6,(ROW(ASCOPE_PMESII!$B$3:$B$62)-ROW(ASCOPE_PMESII!$B$3)+1)/(ASCOPE_PMESII!$B$3:$B$62="LIMITATION"),38)),""),IF(38&lt;=(COUNTIF(ASCOPE_PMESII!$B$3:$B$62,"LIMITATION")+COUNTIF(ASCOPE_PMESII!$D$3:$D$62,"LIMITATION")),IFERROR(INDEX(ASCOPE_PMESII!$E$3:$E$62,_xlfn.AGGREGATE(15,6,(ROW(ASCOPE_PMESII!$D$3:$D$62)-ROW(ASCOPE_PMESII!$D$3)+1)/(ASCOPE_PMESII!$D$3:$D$62="LIMITATION"),38-(COUNTIF(ASCOPE_PMESII!$B$3:$B$62,"LIMITATION")))),""),IF(38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38-(COUNTIF(ASCOPE_PMESII!$B$3:$B$62,"LIMITATION")+COUNTIF(ASCOPE_PMESII!$D$3:$D$62,"LIMITATION")))),""),IF(38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38-(COUNTIF(ASCOPE_PMESII!$B$3:$B$62,"LIMITATION")+COUNTIF(ASCOPE_PMESII!$D$3:$D$62,"LIMITATION")+COUNTIF(ASCOPE_PMESII!$F$3:$F$62,"LIMITATION")))),""),IF(38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38-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38-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41" s="22" t="str">
        <f t="array" ref="P41">IFERROR(IF(38&lt;=COUNTIF(ASCOPE_PMESII!$B$3:$B$62,"CC"),IFERROR(INDEX(ASCOPE_PMESII!$C$3:$C$62,_xlfn.AGGREGATE(15,6,(ROW(ASCOPE_PMESII!$B$3:$B$62)-ROW(ASCOPE_PMESII!$B$3)+1)/(ASCOPE_PMESII!$B$3:$B$62="CC"),38)),""),IF(38&lt;=(COUNTIF(ASCOPE_PMESII!$B$3:$B$62,"CC")+COUNTIF(ASCOPE_PMESII!$D$3:$D$62,"CC")),IFERROR(INDEX(ASCOPE_PMESII!$E$3:$E$62,_xlfn.AGGREGATE(15,6,(ROW(ASCOPE_PMESII!$D$3:$D$62)-ROW(ASCOPE_PMESII!$D$3)+1)/(ASCOPE_PMESII!$D$3:$D$62="CC"),38-(COUNTIF(ASCOPE_PMESII!$B$3:$B$62,"CC")))),""),IF(38&lt;=(COUNTIF(ASCOPE_PMESII!$B$3:$B$62,"CC")+COUNTIF(ASCOPE_PMESII!$D$3:$D$62,"CC")+COUNTIF(ASCOPE_PMESII!$F$3:$F$62,"CC")),IFERROR(INDEX(ASCOPE_PMESII!$G$3:$G$62,_xlfn.AGGREGATE(15,6,(ROW(ASCOPE_PMESII!$F$3:$F$62)-ROW(ASCOPE_PMESII!$F$3)+1)/(ASCOPE_PMESII!$F$3:$F$62="CC"),38-(COUNTIF(ASCOPE_PMESII!$B$3:$B$62,"CC")+COUNTIF(ASCOPE_PMESII!$D$3:$D$62,"CC")))),""),IF(38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38-(COUNTIF(ASCOPE_PMESII!$B$3:$B$62,"CC")+COUNTIF(ASCOPE_PMESII!$D$3:$D$62,"CC")+COUNTIF(ASCOPE_PMESII!$F$3:$F$62,"CC")))),""),IF(38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38-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38-(COUNTIF(ASCOPE_PMESII!$B$3:$B$62,"CC")+COUNTIF(ASCOPE_PMESII!$D$3:$D$62,"CC")+COUNTIF(ASCOPE_PMESII!$F$3:$F$62,"CC")+COUNTIF(ASCOPE_PMESII!$H$3:$H$62,"CC")+COUNTIF(ASCOPE_PMESII!$J$3:$J$62,"CC")))),"")))))),"")</f>
        <v>Aceh offensive likely uses three phases</v>
      </c>
      <c r="Q41" s="22" t="str">
        <f t="array" ref="Q41">IFERROR(IF(38&lt;=COUNTIF(ASCOPE_PMESII!$B$3:$B$62,"CR"),IFERROR(INDEX(ASCOPE_PMESII!$C$3:$C$62,_xlfn.AGGREGATE(15,6,(ROW(ASCOPE_PMESII!$B$3:$B$62)-ROW(ASCOPE_PMESII!$B$3)+1)/(ASCOPE_PMESII!$B$3:$B$62="CR"),38)),""),IF(38&lt;=(COUNTIF(ASCOPE_PMESII!$B$3:$B$62,"CR")+COUNTIF(ASCOPE_PMESII!$D$3:$D$62,"CR")),IFERROR(INDEX(ASCOPE_PMESII!$E$3:$E$62,_xlfn.AGGREGATE(15,6,(ROW(ASCOPE_PMESII!$D$3:$D$62)-ROW(ASCOPE_PMESII!$D$3)+1)/(ASCOPE_PMESII!$D$3:$D$62="CR"),38-(COUNTIF(ASCOPE_PMESII!$B$3:$B$62,"CR")))),""),IF(38&lt;=(COUNTIF(ASCOPE_PMESII!$B$3:$B$62,"CR")+COUNTIF(ASCOPE_PMESII!$D$3:$D$62,"CR")+COUNTIF(ASCOPE_PMESII!$F$3:$F$62,"CR")),IFERROR(INDEX(ASCOPE_PMESII!$G$3:$G$62,_xlfn.AGGREGATE(15,6,(ROW(ASCOPE_PMESII!$F$3:$F$62)-ROW(ASCOPE_PMESII!$F$3)+1)/(ASCOPE_PMESII!$F$3:$F$62="CR"),38-(COUNTIF(ASCOPE_PMESII!$B$3:$B$62,"CR")+COUNTIF(ASCOPE_PMESII!$D$3:$D$62,"CR")))),""),IF(38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38-(COUNTIF(ASCOPE_PMESII!$B$3:$B$62,"CR")+COUNTIF(ASCOPE_PMESII!$D$3:$D$62,"CR")+COUNTIF(ASCOPE_PMESII!$F$3:$F$62,"CR")))),""),IF(38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38-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38-(COUNTIF(ASCOPE_PMESII!$B$3:$B$62,"CR")+COUNTIF(ASCOPE_PMESII!$D$3:$D$62,"CR")+COUNTIF(ASCOPE_PMESII!$F$3:$F$62,"CR")+COUNTIF(ASCOPE_PMESII!$H$3:$H$62,"CR")+COUNTIF(ASCOPE_PMESII!$J$3:$J$62,"CR")))),"")))))),"")</f>
        <v/>
      </c>
      <c r="R41" s="95" t="str">
        <f t="array" ref="R41">IFERROR(IF(38&lt;=COUNTIF(ASCOPE_PMESII!$B$3:$B$62,"PCS"),IFERROR(INDEX(ASCOPE_PMESII!$C$3:$C$62,_xlfn.AGGREGATE(15,6,(ROW(ASCOPE_PMESII!$B$3:$B$62)-ROW(ASCOPE_PMESII!$B$3)+1)/(ASCOPE_PMESII!$B$3:$B$62="PCS"),38)),""),IF(38&lt;=(COUNTIF(ASCOPE_PMESII!$B$3:$B$62,"PCS")+COUNTIF(ASCOPE_PMESII!$D$3:$D$62,"PCS")),IFERROR(INDEX(ASCOPE_PMESII!$E$3:$E$62,_xlfn.AGGREGATE(15,6,(ROW(ASCOPE_PMESII!$D$3:$D$62)-ROW(ASCOPE_PMESII!$D$3)+1)/(ASCOPE_PMESII!$D$3:$D$62="PCS"),38-(COUNTIF(ASCOPE_PMESII!$B$3:$B$62,"PCS")))),""),IF(38&lt;=(COUNTIF(ASCOPE_PMESII!$B$3:$B$62,"PCS")+COUNTIF(ASCOPE_PMESII!$D$3:$D$62,"PCS")+COUNTIF(ASCOPE_PMESII!$F$3:$F$62,"PCS")),IFERROR(INDEX(ASCOPE_PMESII!$G$3:$G$62,_xlfn.AGGREGATE(15,6,(ROW(ASCOPE_PMESII!$F$3:$F$62)-ROW(ASCOPE_PMESII!$F$3)+1)/(ASCOPE_PMESII!$F$3:$F$62="PCS"),38-(COUNTIF(ASCOPE_PMESII!$B$3:$B$62,"PCS")+COUNTIF(ASCOPE_PMESII!$D$3:$D$62,"PCS")))),""),IF(38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38-(COUNTIF(ASCOPE_PMESII!$B$3:$B$62,"PCS")+COUNTIF(ASCOPE_PMESII!$D$3:$D$62,"PCS")+COUNTIF(ASCOPE_PMESII!$F$3:$F$62,"PCS")))),""),IF(38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38-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38-(COUNTIF(ASCOPE_PMESII!$B$3:$B$62,"PCS")+COUNTIF(ASCOPE_PMESII!$D$3:$D$62,"PCS")+COUNTIF(ASCOPE_PMESII!$F$3:$F$62,"PCS")+COUNTIF(ASCOPE_PMESII!$H$3:$H$62,"PCS")+COUNTIF(ASCOPE_PMESII!$J$3:$J$62,"PCS")))),"")))))),"")</f>
        <v/>
      </c>
    </row>
    <row r="42" spans="1:18" ht="34.5" customHeight="1">
      <c r="A42" s="21" t="str">
        <f t="array" ref="A42">IFERROR(IF(39&lt;=COUNTIF(ASCOPE_PMESII!$B$3:$B$62,"OE"),IFERROR(INDEX(ASCOPE_PMESII!$C$3:$C$62,_xlfn.AGGREGATE(15,6,(ROW(ASCOPE_PMESII!$B$3:$B$62)-ROW(ASCOPE_PMESII!$B$3)+1)/(ASCOPE_PMESII!$B$3:$B$62="OE"),39)),""),IF(39&lt;=(COUNTIF(ASCOPE_PMESII!$B$3:$B$62,"OE")+COUNTIF(ASCOPE_PMESII!$D$3:$D$62,"OE")),IFERROR(INDEX(ASCOPE_PMESII!$E$3:$E$62,_xlfn.AGGREGATE(15,6,(ROW(ASCOPE_PMESII!$D$3:$D$62)-ROW(ASCOPE_PMESII!$D$3)+1)/(ASCOPE_PMESII!$D$3:$D$62="OE"),39-(COUNTIF(ASCOPE_PMESII!$B$3:$B$62,"OE")))),""),IF(39&lt;=(COUNTIF(ASCOPE_PMESII!$B$3:$B$62,"OE")+COUNTIF(ASCOPE_PMESII!$D$3:$D$62,"OE")+COUNTIF(ASCOPE_PMESII!$F$3:$F$62,"OE")),IFERROR(INDEX(ASCOPE_PMESII!$G$3:$G$62,_xlfn.AGGREGATE(15,6,(ROW(ASCOPE_PMESII!$F$3:$F$62)-ROW(ASCOPE_PMESII!$F$3)+1)/(ASCOPE_PMESII!$F$3:$F$62="OE"),39-(COUNTIF(ASCOPE_PMESII!$B$3:$B$62,"OE")+COUNTIF(ASCOPE_PMESII!$D$3:$D$62,"OE")))),""),IF(39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39-(COUNTIF(ASCOPE_PMESII!$B$3:$B$62,"OE")+COUNTIF(ASCOPE_PMESII!$D$3:$D$62,"OE")+COUNTIF(ASCOPE_PMESII!$F$3:$F$62,"OE")))),""),IF(39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39-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39-(COUNTIF(ASCOPE_PMESII!$B$3:$B$62,"OE")+COUNTIF(ASCOPE_PMESII!$D$3:$D$62,"OE")+COUNTIF(ASCOPE_PMESII!$F$3:$F$62,"OE")+COUNTIF(ASCOPE_PMESII!$H$3:$H$62,"OE")+COUNTIF(ASCOPE_PMESII!$J$3:$J$62,"OE")))),"")))))),"")</f>
        <v/>
      </c>
      <c r="B42" s="21" t="str">
        <f t="array" ref="B42">IFERROR(IF(39&lt;=COUNTIF(ASCOPE_PMESII!$B$3:$B$62,"OA"),IFERROR(INDEX(ASCOPE_PMESII!$C$3:$C$62,_xlfn.AGGREGATE(15,6,(ROW(ASCOPE_PMESII!$B$3:$B$62)-ROW(ASCOPE_PMESII!$B$3)+1)/(ASCOPE_PMESII!$B$3:$B$62="OA"),39)),""),IF(39&lt;=(COUNTIF(ASCOPE_PMESII!$B$3:$B$62,"OA")+COUNTIF(ASCOPE_PMESII!$D$3:$D$62,"OA")),IFERROR(INDEX(ASCOPE_PMESII!$E$3:$E$62,_xlfn.AGGREGATE(15,6,(ROW(ASCOPE_PMESII!$D$3:$D$62)-ROW(ASCOPE_PMESII!$D$3)+1)/(ASCOPE_PMESII!$D$3:$D$62="OA"),39-(COUNTIF(ASCOPE_PMESII!$B$3:$B$62,"OA")))),""),IF(39&lt;=(COUNTIF(ASCOPE_PMESII!$B$3:$B$62,"OA")+COUNTIF(ASCOPE_PMESII!$D$3:$D$62,"OA")+COUNTIF(ASCOPE_PMESII!$F$3:$F$62,"OA")),IFERROR(INDEX(ASCOPE_PMESII!$G$3:$G$62,_xlfn.AGGREGATE(15,6,(ROW(ASCOPE_PMESII!$F$3:$F$62)-ROW(ASCOPE_PMESII!$F$3)+1)/(ASCOPE_PMESII!$F$3:$F$62="OA"),39-(COUNTIF(ASCOPE_PMESII!$B$3:$B$62,"OA")+COUNTIF(ASCOPE_PMESII!$D$3:$D$62,"OA")))),""),IF(39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39-(COUNTIF(ASCOPE_PMESII!$B$3:$B$62,"OA")+COUNTIF(ASCOPE_PMESII!$D$3:$D$62,"OA")+COUNTIF(ASCOPE_PMESII!$F$3:$F$62,"OA")))),""),IF(39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39-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39-(COUNTIF(ASCOPE_PMESII!$B$3:$B$62,"OA")+COUNTIF(ASCOPE_PMESII!$D$3:$D$62,"OA")+COUNTIF(ASCOPE_PMESII!$F$3:$F$62,"OA")+COUNTIF(ASCOPE_PMESII!$H$3:$H$62,"OA")+COUNTIF(ASCOPE_PMESII!$J$3:$J$62,"OA")))),"")))))),"")</f>
        <v/>
      </c>
      <c r="C42" s="21" t="str">
        <f t="array" ref="C42">IFERROR(IF(39&lt;=COUNTIF(ASCOPE_PMESII!$B$3:$B$62,"RISK"),IFERROR(INDEX(ASCOPE_PMESII!$C$3:$C$62,_xlfn.AGGREGATE(15,6,(ROW(ASCOPE_PMESII!$B$3:$B$62)-ROW(ASCOPE_PMESII!$B$3)+1)/(ASCOPE_PMESII!$B$3:$B$62="RISK"),39)),""),IF(39&lt;=(COUNTIF(ASCOPE_PMESII!$B$3:$B$62,"RISK")+COUNTIF(ASCOPE_PMESII!$D$3:$D$62,"RISK")),IFERROR(INDEX(ASCOPE_PMESII!$E$3:$E$62,_xlfn.AGGREGATE(15,6,(ROW(ASCOPE_PMESII!$D$3:$D$62)-ROW(ASCOPE_PMESII!$D$3)+1)/(ASCOPE_PMESII!$D$3:$D$62="RISK"),39-(COUNTIF(ASCOPE_PMESII!$B$3:$B$62,"RISK")))),""),IF(39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39-(COUNTIF(ASCOPE_PMESII!$B$3:$B$62,"RISK")+COUNTIF(ASCOPE_PMESII!$D$3:$D$62,"RISK")))),""),IF(39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39-(COUNTIF(ASCOPE_PMESII!$B$3:$B$62,"RISK")+COUNTIF(ASCOPE_PMESII!$D$3:$D$62,"RISK")+COUNTIF(ASCOPE_PMESII!$F$3:$F$62,"RISK")))),""),IF(39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39-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39-(COUNTIF(ASCOPE_PMESII!$B$3:$B$62,"RISK")+COUNTIF(ASCOPE_PMESII!$D$3:$D$62,"RISK")+COUNTIF(ASCOPE_PMESII!$F$3:$F$62,"RISK")+COUNTIF(ASCOPE_PMESII!$H$3:$H$62,"RISK")+COUNTIF(ASCOPE_PMESII!$J$3:$J$62,"RISK")))),"")))))),"")</f>
        <v/>
      </c>
      <c r="D42" s="21" t="str">
        <f t="array" ref="D42">IFERROR(IF(39&lt;=COUNTIF(ASCOPE_PMESII!$B$3:$B$62,"CV"),IFERROR(INDEX(ASCOPE_PMESII!$C$3:$C$62,_xlfn.AGGREGATE(15,6,(ROW(ASCOPE_PMESII!$B$3:$B$62)-ROW(ASCOPE_PMESII!$B$3)+1)/(ASCOPE_PMESII!$B$3:$B$62="CV"),39)),""),IF(39&lt;=(COUNTIF(ASCOPE_PMESII!$B$3:$B$62,"CV")+COUNTIF(ASCOPE_PMESII!$D$3:$D$62,"CV")),IFERROR(INDEX(ASCOPE_PMESII!$E$3:$E$62,_xlfn.AGGREGATE(15,6,(ROW(ASCOPE_PMESII!$D$3:$D$62)-ROW(ASCOPE_PMESII!$D$3)+1)/(ASCOPE_PMESII!$D$3:$D$62="CV"),39-(COUNTIF(ASCOPE_PMESII!$B$3:$B$62,"CV")))),""),IF(39&lt;=(COUNTIF(ASCOPE_PMESII!$B$3:$B$62,"CV")+COUNTIF(ASCOPE_PMESII!$D$3:$D$62,"CV")+COUNTIF(ASCOPE_PMESII!$F$3:$F$62,"CV")),IFERROR(INDEX(ASCOPE_PMESII!$G$3:$G$62,_xlfn.AGGREGATE(15,6,(ROW(ASCOPE_PMESII!$F$3:$F$62)-ROW(ASCOPE_PMESII!$F$3)+1)/(ASCOPE_PMESII!$F$3:$F$62="CV"),39-(COUNTIF(ASCOPE_PMESII!$B$3:$B$62,"CV")+COUNTIF(ASCOPE_PMESII!$D$3:$D$62,"CV")))),""),IF(39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39-(COUNTIF(ASCOPE_PMESII!$B$3:$B$62,"CV")+COUNTIF(ASCOPE_PMESII!$D$3:$D$62,"CV")+COUNTIF(ASCOPE_PMESII!$F$3:$F$62,"CV")))),""),IF(39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39-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39-(COUNTIF(ASCOPE_PMESII!$B$3:$B$62,"CV")+COUNTIF(ASCOPE_PMESII!$D$3:$D$62,"CV")+COUNTIF(ASCOPE_PMESII!$F$3:$F$62,"CV")+COUNTIF(ASCOPE_PMESII!$H$3:$H$62,"CV")+COUNTIF(ASCOPE_PMESII!$J$3:$J$62,"CV")))),"")))))),"")</f>
        <v>Regional basing depends on Malaysia/Singapore consent</v>
      </c>
      <c r="E42" s="21" t="str">
        <f t="array" ref="E42">IFERROR(IF(39&lt;=COUNTIF(ASCOPE_PMESII!$B$3:$B$62,"COR"),IFERROR(INDEX(ASCOPE_PMESII!$C$3:$C$62,_xlfn.AGGREGATE(15,6,(ROW(ASCOPE_PMESII!$B$3:$B$62)-ROW(ASCOPE_PMESII!$B$3)+1)/(ASCOPE_PMESII!$B$3:$B$62="COR"),39)),""),IF(39&lt;=(COUNTIF(ASCOPE_PMESII!$B$3:$B$62,"COR")+COUNTIF(ASCOPE_PMESII!$D$3:$D$62,"COR")),IFERROR(INDEX(ASCOPE_PMESII!$E$3:$E$62,_xlfn.AGGREGATE(15,6,(ROW(ASCOPE_PMESII!$D$3:$D$62)-ROW(ASCOPE_PMESII!$D$3)+1)/(ASCOPE_PMESII!$D$3:$D$62="COR"),39-(COUNTIF(ASCOPE_PMESII!$B$3:$B$62,"COR")))),""),IF(39&lt;=(COUNTIF(ASCOPE_PMESII!$B$3:$B$62,"COR")+COUNTIF(ASCOPE_PMESII!$D$3:$D$62,"COR")+COUNTIF(ASCOPE_PMESII!$F$3:$F$62,"COR")),IFERROR(INDEX(ASCOPE_PMESII!$G$3:$G$62,_xlfn.AGGREGATE(15,6,(ROW(ASCOPE_PMESII!$F$3:$F$62)-ROW(ASCOPE_PMESII!$F$3)+1)/(ASCOPE_PMESII!$F$3:$F$62="COR"),39-(COUNTIF(ASCOPE_PMESII!$B$3:$B$62,"COR")+COUNTIF(ASCOPE_PMESII!$D$3:$D$62,"COR")))),""),IF(39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39-(COUNTIF(ASCOPE_PMESII!$B$3:$B$62,"COR")+COUNTIF(ASCOPE_PMESII!$D$3:$D$62,"COR")+COUNTIF(ASCOPE_PMESII!$F$3:$F$62,"COR")))),""),IF(39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39-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39-(COUNTIF(ASCOPE_PMESII!$B$3:$B$62,"COR")+COUNTIF(ASCOPE_PMESII!$D$3:$D$62,"COR")+COUNTIF(ASCOPE_PMESII!$F$3:$F$62,"COR")+COUNTIF(ASCOPE_PMESII!$H$3:$H$62,"COR")+COUNTIF(ASCOPE_PMESII!$J$3:$J$62,"COR")))),"")))))),"")</f>
        <v>Pre-plan crisis comms for predictable shocks</v>
      </c>
      <c r="F42" s="21" t="str">
        <f t="array" ref="F42">IFERROR(IF(39&lt;=COUNTIF(ASCOPE_PMESII!$B$3:$B$62,"REQT"),IFERROR(INDEX(ASCOPE_PMESII!$C$3:$C$62,_xlfn.AGGREGATE(15,6,(ROW(ASCOPE_PMESII!$B$3:$B$62)-ROW(ASCOPE_PMESII!$B$3)+1)/(ASCOPE_PMESII!$B$3:$B$62="REQT"),39)),""),IF(39&lt;=(COUNTIF(ASCOPE_PMESII!$B$3:$B$62,"REQT")+COUNTIF(ASCOPE_PMESII!$D$3:$D$62,"REQT")),IFERROR(INDEX(ASCOPE_PMESII!$E$3:$E$62,_xlfn.AGGREGATE(15,6,(ROW(ASCOPE_PMESII!$D$3:$D$62)-ROW(ASCOPE_PMESII!$D$3)+1)/(ASCOPE_PMESII!$D$3:$D$62="REQT"),39-(COUNTIF(ASCOPE_PMESII!$B$3:$B$62,"REQT")))),""),IF(39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39-(COUNTIF(ASCOPE_PMESII!$B$3:$B$62,"REQT")+COUNTIF(ASCOPE_PMESII!$D$3:$D$62,"REQT")))),""),IF(39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39-(COUNTIF(ASCOPE_PMESII!$B$3:$B$62,"REQT")+COUNTIF(ASCOPE_PMESII!$D$3:$D$62,"REQT")+COUNTIF(ASCOPE_PMESII!$F$3:$F$62,"REQT")))),""),IF(39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39-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39-(COUNTIF(ASCOPE_PMESII!$B$3:$B$62,"REQT")+COUNTIF(ASCOPE_PMESII!$D$3:$D$62,"REQT")+COUNTIF(ASCOPE_PMESII!$F$3:$F$62,"REQT")+COUNTIF(ASCOPE_PMESII!$H$3:$H$62,"REQT")+COUNTIF(ASCOPE_PMESII!$J$3:$J$62,"REQT")))),"")))))),"")</f>
        <v/>
      </c>
      <c r="G42" s="21" t="str">
        <f t="array" ref="G42">IFERROR(IF(39&lt;=COUNTIF(ASCOPE_PMESII!$B$3:$B$62,"REST"),IFERROR(INDEX(ASCOPE_PMESII!$C$3:$C$62,_xlfn.AGGREGATE(15,6,(ROW(ASCOPE_PMESII!$B$3:$B$62)-ROW(ASCOPE_PMESII!$B$3)+1)/(ASCOPE_PMESII!$B$3:$B$62="REST"),39)),""),IF(39&lt;=(COUNTIF(ASCOPE_PMESII!$B$3:$B$62,"REST")+COUNTIF(ASCOPE_PMESII!$D$3:$D$62,"REST")),IFERROR(INDEX(ASCOPE_PMESII!$E$3:$E$62,_xlfn.AGGREGATE(15,6,(ROW(ASCOPE_PMESII!$D$3:$D$62)-ROW(ASCOPE_PMESII!$D$3)+1)/(ASCOPE_PMESII!$D$3:$D$62="REST"),39-(COUNTIF(ASCOPE_PMESII!$B$3:$B$62,"REST")))),""),IF(39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39-(COUNTIF(ASCOPE_PMESII!$B$3:$B$62,"REST")+COUNTIF(ASCOPE_PMESII!$D$3:$D$62,"REST")))),""),IF(39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39-(COUNTIF(ASCOPE_PMESII!$B$3:$B$62,"REST")+COUNTIF(ASCOPE_PMESII!$D$3:$D$62,"REST")+COUNTIF(ASCOPE_PMESII!$F$3:$F$62,"REST")))),""),IF(39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39-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39-(COUNTIF(ASCOPE_PMESII!$B$3:$B$62,"REST")+COUNTIF(ASCOPE_PMESII!$D$3:$D$62,"REST")+COUNTIF(ASCOPE_PMESII!$F$3:$F$62,"REST")+COUNTIF(ASCOPE_PMESII!$H$3:$H$62,"REST")+COUNTIF(ASCOPE_PMESII!$J$3:$J$62,"REST")))),"")))))),"")</f>
        <v/>
      </c>
      <c r="H42" s="21" t="str">
        <f t="array" ref="H42">IFERROR(IF(39&lt;=COUNTIF(ASCOPE_PMESII!$B$3:$B$62,"KCD-MUST"),IFERROR(INDEX(ASCOPE_PMESII!$C$3:$C$62,_xlfn.AGGREGATE(15,6,(ROW(ASCOPE_PMESII!$B$3:$B$62)-ROW(ASCOPE_PMESII!$B$3)+1)/(ASCOPE_PMESII!$B$3:$B$62="KCD-MUST"),39)),""),IF(39&lt;=(COUNTIF(ASCOPE_PMESII!$B$3:$B$62,"KCD-MUST")+COUNTIF(ASCOPE_PMESII!$D$3:$D$62,"KCD-MUST")),IFERROR(INDEX(ASCOPE_PMESII!$E$3:$E$62,_xlfn.AGGREGATE(15,6,(ROW(ASCOPE_PMESII!$D$3:$D$62)-ROW(ASCOPE_PMESII!$D$3)+1)/(ASCOPE_PMESII!$D$3:$D$62="KCD-MUST"),39-(COUNTIF(ASCOPE_PMESII!$B$3:$B$62,"KCD-MUST")))),""),IF(39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39-(COUNTIF(ASCOPE_PMESII!$B$3:$B$62,"KCD-MUST")+COUNTIF(ASCOPE_PMESII!$D$3:$D$62,"KCD-MUST")))),""),IF(39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39-(COUNTIF(ASCOPE_PMESII!$B$3:$B$62,"KCD-MUST")+COUNTIF(ASCOPE_PMESII!$D$3:$D$62,"KCD-MUST")+COUNTIF(ASCOPE_PMESII!$F$3:$F$62,"KCD-MUST")))),""),IF(39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39-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39-(COUNTIF(ASCOPE_PMESII!$B$3:$B$62,"KCD-MUST")+COUNTIF(ASCOPE_PMESII!$D$3:$D$62,"KCD-MUST")+COUNTIF(ASCOPE_PMESII!$F$3:$F$62,"KCD-MUST")+COUNTIF(ASCOPE_PMESII!$H$3:$H$62,"KCD-MUST")+COUNTIF(ASCOPE_PMESII!$J$3:$J$62,"KCD-MUST")))),"")))))),"")</f>
        <v/>
      </c>
      <c r="I42" s="21" t="str">
        <f t="array" ref="I42">IFERROR(IF(39&lt;=COUNTIF(ASCOPE_PMESII!$B$3:$B$62,"KCD-SHOULD"),IFERROR(INDEX(ASCOPE_PMESII!$C$3:$C$62,_xlfn.AGGREGATE(15,6,(ROW(ASCOPE_PMESII!$B$3:$B$62)-ROW(ASCOPE_PMESII!$B$3)+1)/(ASCOPE_PMESII!$B$3:$B$62="KCD-SHOULD"),39)),""),IF(39&lt;=(COUNTIF(ASCOPE_PMESII!$B$3:$B$62,"KCD-SHOULD")+COUNTIF(ASCOPE_PMESII!$D$3:$D$62,"KCD-SHOULD")),IFERROR(INDEX(ASCOPE_PMESII!$E$3:$E$62,_xlfn.AGGREGATE(15,6,(ROW(ASCOPE_PMESII!$D$3:$D$62)-ROW(ASCOPE_PMESII!$D$3)+1)/(ASCOPE_PMESII!$D$3:$D$62="KCD-SHOULD"),39-(COUNTIF(ASCOPE_PMESII!$B$3:$B$62,"KCD-SHOULD")))),""),IF(39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39-(COUNTIF(ASCOPE_PMESII!$B$3:$B$62,"KCD-SHOULD")+COUNTIF(ASCOPE_PMESII!$D$3:$D$62,"KCD-SHOULD")))),""),IF(39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39-(COUNTIF(ASCOPE_PMESII!$B$3:$B$62,"KCD-SHOULD")+COUNTIF(ASCOPE_PMESII!$D$3:$D$62,"KCD-SHOULD")+COUNTIF(ASCOPE_PMESII!$F$3:$F$62,"KCD-SHOULD")))),""),IF(39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39-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39-(COUNTIF(ASCOPE_PMESII!$B$3:$B$62,"KCD-SHOULD")+COUNTIF(ASCOPE_PMESII!$D$3:$D$62,"KCD-SHOULD")+COUNTIF(ASCOPE_PMESII!$F$3:$F$62,"KCD-SHOULD")+COUNTIF(ASCOPE_PMESII!$H$3:$H$62,"KCD-SHOULD")+COUNTIF(ASCOPE_PMESII!$J$3:$J$62,"KCD-SHOULD")))),"")))))),"")</f>
        <v/>
      </c>
      <c r="J42" s="21" t="str">
        <f t="array" ref="J42">IFERROR(IF(39&lt;=COUNTIF(ASCOPE_PMESII!$B$3:$B$62,"KCD-SHOULD NOT"),IFERROR(INDEX(ASCOPE_PMESII!$C$3:$C$62,_xlfn.AGGREGATE(15,6,(ROW(ASCOPE_PMESII!$B$3:$B$62)-ROW(ASCOPE_PMESII!$B$3)+1)/(ASCOPE_PMESII!$B$3:$B$62="KCD-SHOULD NOT"),39)),""),IF(39&lt;=(COUNTIF(ASCOPE_PMESII!$B$3:$B$62,"KCD-SHOULD NOT")+COUNTIF(ASCOPE_PMESII!$D$3:$D$62,"KCD-SHOULD NOT")),IFERROR(INDEX(ASCOPE_PMESII!$E$3:$E$62,_xlfn.AGGREGATE(15,6,(ROW(ASCOPE_PMESII!$D$3:$D$62)-ROW(ASCOPE_PMESII!$D$3)+1)/(ASCOPE_PMESII!$D$3:$D$62="KCD-SHOULD NOT"),39-(COUNTIF(ASCOPE_PMESII!$B$3:$B$62,"KCD-SHOULD NOT")))),""),IF(39&lt;=(COUNTIF(ASCOPE_PMESII!$B$3:$B$62,"KCD-SHOULD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NOT"),39-(COUNTIF(ASCOPE_PMESII!$B$3:$B$62,"KCD-SHOULD NOT")+COUNTIF(ASCOPE_PMESII!$D$3:$D$62,"KCD-SHOULD NOT")))),""),IF(39&lt;=(COUNTIF(ASCOPE_PMESII!$B$3:$B$62,"KCD-SHOULD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NOT"),39-(COUNTIF(ASCOPE_PMESII!$B$3:$B$62,"KCD-SHOULD NOT")+COUNTIF(ASCOPE_PMESII!$D$3:$D$62,"KCD-SHOULD NOT")+COUNTIF(ASCOPE_PMESII!$F$3:$F$62,"KCD-SHOULD NOT")))),""),IF(39&lt;=(COUNTIF(ASCOPE_PMESII!$B$3:$B$62,"KCD-SHOULD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NOT"),39-(COUNTIF(ASCOPE_PMESII!$B$3:$B$62,"KCD-SHOULD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NOT"),39-(COUNTIF(ASCOPE_PMESII!$B$3:$B$62,"KCD-SHOULD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42" s="21" t="str">
        <f t="array" ref="K42">IFERROR(IF(39&lt;=COUNTIF(ASCOPE_PMESII!$B$3:$B$62,"KCD-CANNOT"),IFERROR(INDEX(ASCOPE_PMESII!$C$3:$C$62,_xlfn.AGGREGATE(15,6,(ROW(ASCOPE_PMESII!$B$3:$B$62)-ROW(ASCOPE_PMESII!$B$3)+1)/(ASCOPE_PMESII!$B$3:$B$62="KCD-CANNOT"),39)),""),IF(39&lt;=(COUNTIF(ASCOPE_PMESII!$B$3:$B$62,"KCD-CANNOT")+COUNTIF(ASCOPE_PMESII!$D$3:$D$62,"KCD-CANNOT")),IFERROR(INDEX(ASCOPE_PMESII!$E$3:$E$62,_xlfn.AGGREGATE(15,6,(ROW(ASCOPE_PMESII!$D$3:$D$62)-ROW(ASCOPE_PMESII!$D$3)+1)/(ASCOPE_PMESII!$D$3:$D$62="KCD-CANNOT"),39-(COUNTIF(ASCOPE_PMESII!$B$3:$B$62,"KCD-CANNOT")))),""),IF(39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39-(COUNTIF(ASCOPE_PMESII!$B$3:$B$62,"KCD-CANNOT")+COUNTIF(ASCOPE_PMESII!$D$3:$D$62,"KCD-CANNOT")))),""),IF(39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39-(COUNTIF(ASCOPE_PMESII!$B$3:$B$62,"KCD-CANNOT")+COUNTIF(ASCOPE_PMESII!$D$3:$D$62,"KCD-CANNOT")+COUNTIF(ASCOPE_PMESII!$F$3:$F$62,"KCD-CANNOT")))),""),IF(39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39-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39-(COUNTIF(ASCOPE_PMESII!$B$3:$B$62,"KCD-CANNOT")+COUNTIF(ASCOPE_PMESII!$D$3:$D$62,"KCD-CANNOT")+COUNTIF(ASCOPE_PMESII!$F$3:$F$62,"KCD-CANNOT")+COUNTIF(ASCOPE_PMESII!$H$3:$H$62,"KCD-CANNOT")+COUNTIF(ASCOPE_PMESII!$J$3:$J$62,"KCD-CANNOT")))),"")))))),"")</f>
        <v/>
      </c>
      <c r="L42" s="21" t="str">
        <f t="array" ref="L42">IFERROR(IF(39&lt;=COUNTIF(ASCOPE_PMESII!$B$3:$B$62,"DECISION"),IFERROR(INDEX(ASCOPE_PMESII!$C$3:$C$62,_xlfn.AGGREGATE(15,6,(ROW(ASCOPE_PMESII!$B$3:$B$62)-ROW(ASCOPE_PMESII!$B$3)+1)/(ASCOPE_PMESII!$B$3:$B$62="DECISION"),39)),""),IF(39&lt;=(COUNTIF(ASCOPE_PMESII!$B$3:$B$62,"DECISION")+COUNTIF(ASCOPE_PMESII!$D$3:$D$62,"DECISION")),IFERROR(INDEX(ASCOPE_PMESII!$E$3:$E$62,_xlfn.AGGREGATE(15,6,(ROW(ASCOPE_PMESII!$D$3:$D$62)-ROW(ASCOPE_PMESII!$D$3)+1)/(ASCOPE_PMESII!$D$3:$D$62="DECISION"),39-(COUNTIF(ASCOPE_PMESII!$B$3:$B$62,"DECISION")))),""),IF(39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39-(COUNTIF(ASCOPE_PMESII!$B$3:$B$62,"DECISION")+COUNTIF(ASCOPE_PMESII!$D$3:$D$62,"DECISION")))),""),IF(39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39-(COUNTIF(ASCOPE_PMESII!$B$3:$B$62,"DECISION")+COUNTIF(ASCOPE_PMESII!$D$3:$D$62,"DECISION")+COUNTIF(ASCOPE_PMESII!$F$3:$F$62,"DECISION")))),""),IF(39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39-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39-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42" s="21" t="str">
        <f t="array" ref="M42">IFERROR(IF(39&lt;=COUNTIF(ASCOPE_PMESII!$B$3:$B$62,"ASSUMPTION"),IFERROR(INDEX(ASCOPE_PMESII!$C$3:$C$62,_xlfn.AGGREGATE(15,6,(ROW(ASCOPE_PMESII!$B$3:$B$62)-ROW(ASCOPE_PMESII!$B$3)+1)/(ASCOPE_PMESII!$B$3:$B$62="ASSUMPTION"),39)),""),IF(39&lt;=(COUNTIF(ASCOPE_PMESII!$B$3:$B$62,"ASSUMPTION")+COUNTIF(ASCOPE_PMESII!$D$3:$D$62,"ASSUMPTION")),IFERROR(INDEX(ASCOPE_PMESII!$E$3:$E$62,_xlfn.AGGREGATE(15,6,(ROW(ASCOPE_PMESII!$D$3:$D$62)-ROW(ASCOPE_PMESII!$D$3)+1)/(ASCOPE_PMESII!$D$3:$D$62="ASSUMPTION"),39-(COUNTIF(ASCOPE_PMESII!$B$3:$B$62,"ASSUMPTION")))),""),IF(39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39-(COUNTIF(ASCOPE_PMESII!$B$3:$B$62,"ASSUMPTION")+COUNTIF(ASCOPE_PMESII!$D$3:$D$62,"ASSUMPTION")))),""),IF(39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39-(COUNTIF(ASCOPE_PMESII!$B$3:$B$62,"ASSUMPTION")+COUNTIF(ASCOPE_PMESII!$D$3:$D$62,"ASSUMPTION")+COUNTIF(ASCOPE_PMESII!$F$3:$F$62,"ASSUMPTION")))),""),IF(39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39-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39-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42" s="21" t="str">
        <f t="array" ref="N42">IFERROR(IF(39&lt;=COUNTIF(ASCOPE_PMESII!$B$3:$B$62,"CONSTRAINT"),IFERROR(INDEX(ASCOPE_PMESII!$C$3:$C$62,_xlfn.AGGREGATE(15,6,(ROW(ASCOPE_PMESII!$B$3:$B$62)-ROW(ASCOPE_PMESII!$B$3)+1)/(ASCOPE_PMESII!$B$3:$B$62="CONSTRAINT"),39)),""),IF(39&lt;=(COUNTIF(ASCOPE_PMESII!$B$3:$B$62,"CONSTRAINT")+COUNTIF(ASCOPE_PMESII!$D$3:$D$62,"CONSTRAINT")),IFERROR(INDEX(ASCOPE_PMESII!$E$3:$E$62,_xlfn.AGGREGATE(15,6,(ROW(ASCOPE_PMESII!$D$3:$D$62)-ROW(ASCOPE_PMESII!$D$3)+1)/(ASCOPE_PMESII!$D$3:$D$62="CONSTRAINT"),39-(COUNTIF(ASCOPE_PMESII!$B$3:$B$62,"CONSTRAINT")))),""),IF(39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39-(COUNTIF(ASCOPE_PMESII!$B$3:$B$62,"CONSTRAINT")+COUNTIF(ASCOPE_PMESII!$D$3:$D$62,"CONSTRAINT")))),""),IF(39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39-(COUNTIF(ASCOPE_PMESII!$B$3:$B$62,"CONSTRAINT")+COUNTIF(ASCOPE_PMESII!$D$3:$D$62,"CONSTRAINT")+COUNTIF(ASCOPE_PMESII!$F$3:$F$62,"CONSTRAINT")))),""),IF(39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39-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39-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42" s="21" t="str">
        <f t="array" ref="O42">IFERROR(IF(39&lt;=COUNTIF(ASCOPE_PMESII!$B$3:$B$62,"LIMITATION"),IFERROR(INDEX(ASCOPE_PMESII!$C$3:$C$62,_xlfn.AGGREGATE(15,6,(ROW(ASCOPE_PMESII!$B$3:$B$62)-ROW(ASCOPE_PMESII!$B$3)+1)/(ASCOPE_PMESII!$B$3:$B$62="LIMITATION"),39)),""),IF(39&lt;=(COUNTIF(ASCOPE_PMESII!$B$3:$B$62,"LIMITATION")+COUNTIF(ASCOPE_PMESII!$D$3:$D$62,"LIMITATION")),IFERROR(INDEX(ASCOPE_PMESII!$E$3:$E$62,_xlfn.AGGREGATE(15,6,(ROW(ASCOPE_PMESII!$D$3:$D$62)-ROW(ASCOPE_PMESII!$D$3)+1)/(ASCOPE_PMESII!$D$3:$D$62="LIMITATION"),39-(COUNTIF(ASCOPE_PMESII!$B$3:$B$62,"LIMITATION")))),""),IF(39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39-(COUNTIF(ASCOPE_PMESII!$B$3:$B$62,"LIMITATION")+COUNTIF(ASCOPE_PMESII!$D$3:$D$62,"LIMITATION")))),""),IF(39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39-(COUNTIF(ASCOPE_PMESII!$B$3:$B$62,"LIMITATION")+COUNTIF(ASCOPE_PMESII!$D$3:$D$62,"LIMITATION")+COUNTIF(ASCOPE_PMESII!$F$3:$F$62,"LIMITATION")))),""),IF(39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39-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39-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42" s="21" t="str">
        <f t="array" ref="P42">IFERROR(IF(39&lt;=COUNTIF(ASCOPE_PMESII!$B$3:$B$62,"CC"),IFERROR(INDEX(ASCOPE_PMESII!$C$3:$C$62,_xlfn.AGGREGATE(15,6,(ROW(ASCOPE_PMESII!$B$3:$B$62)-ROW(ASCOPE_PMESII!$B$3)+1)/(ASCOPE_PMESII!$B$3:$B$62="CC"),39)),""),IF(39&lt;=(COUNTIF(ASCOPE_PMESII!$B$3:$B$62,"CC")+COUNTIF(ASCOPE_PMESII!$D$3:$D$62,"CC")),IFERROR(INDEX(ASCOPE_PMESII!$E$3:$E$62,_xlfn.AGGREGATE(15,6,(ROW(ASCOPE_PMESII!$D$3:$D$62)-ROW(ASCOPE_PMESII!$D$3)+1)/(ASCOPE_PMESII!$D$3:$D$62="CC"),39-(COUNTIF(ASCOPE_PMESII!$B$3:$B$62,"CC")))),""),IF(39&lt;=(COUNTIF(ASCOPE_PMESII!$B$3:$B$62,"CC")+COUNTIF(ASCOPE_PMESII!$D$3:$D$62,"CC")+COUNTIF(ASCOPE_PMESII!$F$3:$F$62,"CC")),IFERROR(INDEX(ASCOPE_PMESII!$G$3:$G$62,_xlfn.AGGREGATE(15,6,(ROW(ASCOPE_PMESII!$F$3:$F$62)-ROW(ASCOPE_PMESII!$F$3)+1)/(ASCOPE_PMESII!$F$3:$F$62="CC"),39-(COUNTIF(ASCOPE_PMESII!$B$3:$B$62,"CC")+COUNTIF(ASCOPE_PMESII!$D$3:$D$62,"CC")))),""),IF(39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39-(COUNTIF(ASCOPE_PMESII!$B$3:$B$62,"CC")+COUNTIF(ASCOPE_PMESII!$D$3:$D$62,"CC")+COUNTIF(ASCOPE_PMESII!$F$3:$F$62,"CC")))),""),IF(39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39-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39-(COUNTIF(ASCOPE_PMESII!$B$3:$B$62,"CC")+COUNTIF(ASCOPE_PMESII!$D$3:$D$62,"CC")+COUNTIF(ASCOPE_PMESII!$F$3:$F$62,"CC")+COUNTIF(ASCOPE_PMESII!$H$3:$H$62,"CC")+COUNTIF(ASCOPE_PMESII!$J$3:$J$62,"CC")))),"")))))),"")</f>
        <v>CDCM/mining action can precede open attack</v>
      </c>
      <c r="Q42" s="21" t="str">
        <f t="array" ref="Q42">IFERROR(IF(39&lt;=COUNTIF(ASCOPE_PMESII!$B$3:$B$62,"CR"),IFERROR(INDEX(ASCOPE_PMESII!$C$3:$C$62,_xlfn.AGGREGATE(15,6,(ROW(ASCOPE_PMESII!$B$3:$B$62)-ROW(ASCOPE_PMESII!$B$3)+1)/(ASCOPE_PMESII!$B$3:$B$62="CR"),39)),""),IF(39&lt;=(COUNTIF(ASCOPE_PMESII!$B$3:$B$62,"CR")+COUNTIF(ASCOPE_PMESII!$D$3:$D$62,"CR")),IFERROR(INDEX(ASCOPE_PMESII!$E$3:$E$62,_xlfn.AGGREGATE(15,6,(ROW(ASCOPE_PMESII!$D$3:$D$62)-ROW(ASCOPE_PMESII!$D$3)+1)/(ASCOPE_PMESII!$D$3:$D$62="CR"),39-(COUNTIF(ASCOPE_PMESII!$B$3:$B$62,"CR")))),""),IF(39&lt;=(COUNTIF(ASCOPE_PMESII!$B$3:$B$62,"CR")+COUNTIF(ASCOPE_PMESII!$D$3:$D$62,"CR")+COUNTIF(ASCOPE_PMESII!$F$3:$F$62,"CR")),IFERROR(INDEX(ASCOPE_PMESII!$G$3:$G$62,_xlfn.AGGREGATE(15,6,(ROW(ASCOPE_PMESII!$F$3:$F$62)-ROW(ASCOPE_PMESII!$F$3)+1)/(ASCOPE_PMESII!$F$3:$F$62="CR"),39-(COUNTIF(ASCOPE_PMESII!$B$3:$B$62,"CR")+COUNTIF(ASCOPE_PMESII!$D$3:$D$62,"CR")))),""),IF(39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39-(COUNTIF(ASCOPE_PMESII!$B$3:$B$62,"CR")+COUNTIF(ASCOPE_PMESII!$D$3:$D$62,"CR")+COUNTIF(ASCOPE_PMESII!$F$3:$F$62,"CR")))),""),IF(39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39-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39-(COUNTIF(ASCOPE_PMESII!$B$3:$B$62,"CR")+COUNTIF(ASCOPE_PMESII!$D$3:$D$62,"CR")+COUNTIF(ASCOPE_PMESII!$F$3:$F$62,"CR")+COUNTIF(ASCOPE_PMESII!$H$3:$H$62,"CR")+COUNTIF(ASCOPE_PMESII!$J$3:$J$62,"CR")))),"")))))),"")</f>
        <v/>
      </c>
      <c r="R42" s="94" t="str">
        <f t="array" ref="R42">IFERROR(IF(39&lt;=COUNTIF(ASCOPE_PMESII!$B$3:$B$62,"PCS"),IFERROR(INDEX(ASCOPE_PMESII!$C$3:$C$62,_xlfn.AGGREGATE(15,6,(ROW(ASCOPE_PMESII!$B$3:$B$62)-ROW(ASCOPE_PMESII!$B$3)+1)/(ASCOPE_PMESII!$B$3:$B$62="PCS"),39)),""),IF(39&lt;=(COUNTIF(ASCOPE_PMESII!$B$3:$B$62,"PCS")+COUNTIF(ASCOPE_PMESII!$D$3:$D$62,"PCS")),IFERROR(INDEX(ASCOPE_PMESII!$E$3:$E$62,_xlfn.AGGREGATE(15,6,(ROW(ASCOPE_PMESII!$D$3:$D$62)-ROW(ASCOPE_PMESII!$D$3)+1)/(ASCOPE_PMESII!$D$3:$D$62="PCS"),39-(COUNTIF(ASCOPE_PMESII!$B$3:$B$62,"PCS")))),""),IF(39&lt;=(COUNTIF(ASCOPE_PMESII!$B$3:$B$62,"PCS")+COUNTIF(ASCOPE_PMESII!$D$3:$D$62,"PCS")+COUNTIF(ASCOPE_PMESII!$F$3:$F$62,"PCS")),IFERROR(INDEX(ASCOPE_PMESII!$G$3:$G$62,_xlfn.AGGREGATE(15,6,(ROW(ASCOPE_PMESII!$F$3:$F$62)-ROW(ASCOPE_PMESII!$F$3)+1)/(ASCOPE_PMESII!$F$3:$F$62="PCS"),39-(COUNTIF(ASCOPE_PMESII!$B$3:$B$62,"PCS")+COUNTIF(ASCOPE_PMESII!$D$3:$D$62,"PCS")))),""),IF(39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39-(COUNTIF(ASCOPE_PMESII!$B$3:$B$62,"PCS")+COUNTIF(ASCOPE_PMESII!$D$3:$D$62,"PCS")+COUNTIF(ASCOPE_PMESII!$F$3:$F$62,"PCS")))),""),IF(39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39-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39-(COUNTIF(ASCOPE_PMESII!$B$3:$B$62,"PCS")+COUNTIF(ASCOPE_PMESII!$D$3:$D$62,"PCS")+COUNTIF(ASCOPE_PMESII!$F$3:$F$62,"PCS")+COUNTIF(ASCOPE_PMESII!$H$3:$H$62,"PCS")+COUNTIF(ASCOPE_PMESII!$J$3:$J$62,"PCS")))),"")))))),"")</f>
        <v/>
      </c>
    </row>
    <row r="43" spans="1:18" ht="34.5" customHeight="1">
      <c r="A43" s="22" t="str">
        <f t="array" ref="A43">IFERROR(IF(40&lt;=COUNTIF(ASCOPE_PMESII!$B$3:$B$62,"OE"),IFERROR(INDEX(ASCOPE_PMESII!$C$3:$C$62,_xlfn.AGGREGATE(15,6,(ROW(ASCOPE_PMESII!$B$3:$B$62)-ROW(ASCOPE_PMESII!$B$3)+1)/(ASCOPE_PMESII!$B$3:$B$62="OE"),40)),""),IF(40&lt;=(COUNTIF(ASCOPE_PMESII!$B$3:$B$62,"OE")+COUNTIF(ASCOPE_PMESII!$D$3:$D$62,"OE")),IFERROR(INDEX(ASCOPE_PMESII!$E$3:$E$62,_xlfn.AGGREGATE(15,6,(ROW(ASCOPE_PMESII!$D$3:$D$62)-ROW(ASCOPE_PMESII!$D$3)+1)/(ASCOPE_PMESII!$D$3:$D$62="OE"),40-(COUNTIF(ASCOPE_PMESII!$B$3:$B$62,"OE")))),""),IF(40&lt;=(COUNTIF(ASCOPE_PMESII!$B$3:$B$62,"OE")+COUNTIF(ASCOPE_PMESII!$D$3:$D$62,"OE")+COUNTIF(ASCOPE_PMESII!$F$3:$F$62,"OE")),IFERROR(INDEX(ASCOPE_PMESII!$G$3:$G$62,_xlfn.AGGREGATE(15,6,(ROW(ASCOPE_PMESII!$F$3:$F$62)-ROW(ASCOPE_PMESII!$F$3)+1)/(ASCOPE_PMESII!$F$3:$F$62="OE"),40-(COUNTIF(ASCOPE_PMESII!$B$3:$B$62,"OE")+COUNTIF(ASCOPE_PMESII!$D$3:$D$62,"OE")))),""),IF(40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40-(COUNTIF(ASCOPE_PMESII!$B$3:$B$62,"OE")+COUNTIF(ASCOPE_PMESII!$D$3:$D$62,"OE")+COUNTIF(ASCOPE_PMESII!$F$3:$F$62,"OE")))),""),IF(40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40-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40-(COUNTIF(ASCOPE_PMESII!$B$3:$B$62,"OE")+COUNTIF(ASCOPE_PMESII!$D$3:$D$62,"OE")+COUNTIF(ASCOPE_PMESII!$F$3:$F$62,"OE")+COUNTIF(ASCOPE_PMESII!$H$3:$H$62,"OE")+COUNTIF(ASCOPE_PMESII!$J$3:$J$62,"OE")))),"")))))),"")</f>
        <v/>
      </c>
      <c r="B43" s="22" t="str">
        <f t="array" ref="B43">IFERROR(IF(40&lt;=COUNTIF(ASCOPE_PMESII!$B$3:$B$62,"OA"),IFERROR(INDEX(ASCOPE_PMESII!$C$3:$C$62,_xlfn.AGGREGATE(15,6,(ROW(ASCOPE_PMESII!$B$3:$B$62)-ROW(ASCOPE_PMESII!$B$3)+1)/(ASCOPE_PMESII!$B$3:$B$62="OA"),40)),""),IF(40&lt;=(COUNTIF(ASCOPE_PMESII!$B$3:$B$62,"OA")+COUNTIF(ASCOPE_PMESII!$D$3:$D$62,"OA")),IFERROR(INDEX(ASCOPE_PMESII!$E$3:$E$62,_xlfn.AGGREGATE(15,6,(ROW(ASCOPE_PMESII!$D$3:$D$62)-ROW(ASCOPE_PMESII!$D$3)+1)/(ASCOPE_PMESII!$D$3:$D$62="OA"),40-(COUNTIF(ASCOPE_PMESII!$B$3:$B$62,"OA")))),""),IF(40&lt;=(COUNTIF(ASCOPE_PMESII!$B$3:$B$62,"OA")+COUNTIF(ASCOPE_PMESII!$D$3:$D$62,"OA")+COUNTIF(ASCOPE_PMESII!$F$3:$F$62,"OA")),IFERROR(INDEX(ASCOPE_PMESII!$G$3:$G$62,_xlfn.AGGREGATE(15,6,(ROW(ASCOPE_PMESII!$F$3:$F$62)-ROW(ASCOPE_PMESII!$F$3)+1)/(ASCOPE_PMESII!$F$3:$F$62="OA"),40-(COUNTIF(ASCOPE_PMESII!$B$3:$B$62,"OA")+COUNTIF(ASCOPE_PMESII!$D$3:$D$62,"OA")))),""),IF(40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40-(COUNTIF(ASCOPE_PMESII!$B$3:$B$62,"OA")+COUNTIF(ASCOPE_PMESII!$D$3:$D$62,"OA")+COUNTIF(ASCOPE_PMESII!$F$3:$F$62,"OA")))),""),IF(40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40-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40-(COUNTIF(ASCOPE_PMESII!$B$3:$B$62,"OA")+COUNTIF(ASCOPE_PMESII!$D$3:$D$62,"OA")+COUNTIF(ASCOPE_PMESII!$F$3:$F$62,"OA")+COUNTIF(ASCOPE_PMESII!$H$3:$H$62,"OA")+COUNTIF(ASCOPE_PMESII!$J$3:$J$62,"OA")))),"")))))),"")</f>
        <v/>
      </c>
      <c r="C43" s="22" t="str">
        <f t="array" ref="C43">IFERROR(IF(40&lt;=COUNTIF(ASCOPE_PMESII!$B$3:$B$62,"RISK"),IFERROR(INDEX(ASCOPE_PMESII!$C$3:$C$62,_xlfn.AGGREGATE(15,6,(ROW(ASCOPE_PMESII!$B$3:$B$62)-ROW(ASCOPE_PMESII!$B$3)+1)/(ASCOPE_PMESII!$B$3:$B$62="RISK"),40)),""),IF(40&lt;=(COUNTIF(ASCOPE_PMESII!$B$3:$B$62,"RISK")+COUNTIF(ASCOPE_PMESII!$D$3:$D$62,"RISK")),IFERROR(INDEX(ASCOPE_PMESII!$E$3:$E$62,_xlfn.AGGREGATE(15,6,(ROW(ASCOPE_PMESII!$D$3:$D$62)-ROW(ASCOPE_PMESII!$D$3)+1)/(ASCOPE_PMESII!$D$3:$D$62="RISK"),40-(COUNTIF(ASCOPE_PMESII!$B$3:$B$62,"RISK")))),""),IF(40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40-(COUNTIF(ASCOPE_PMESII!$B$3:$B$62,"RISK")+COUNTIF(ASCOPE_PMESII!$D$3:$D$62,"RISK")))),""),IF(40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40-(COUNTIF(ASCOPE_PMESII!$B$3:$B$62,"RISK")+COUNTIF(ASCOPE_PMESII!$D$3:$D$62,"RISK")+COUNTIF(ASCOPE_PMESII!$F$3:$F$62,"RISK")))),""),IF(40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40-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40-(COUNTIF(ASCOPE_PMESII!$B$3:$B$62,"RISK")+COUNTIF(ASCOPE_PMESII!$D$3:$D$62,"RISK")+COUNTIF(ASCOPE_PMESII!$F$3:$F$62,"RISK")+COUNTIF(ASCOPE_PMESII!$H$3:$H$62,"RISK")+COUNTIF(ASCOPE_PMESII!$J$3:$J$62,"RISK")))),"")))))),"")</f>
        <v/>
      </c>
      <c r="D43" s="22" t="str">
        <f t="array" ref="D43">IFERROR(IF(40&lt;=COUNTIF(ASCOPE_PMESII!$B$3:$B$62,"CV"),IFERROR(INDEX(ASCOPE_PMESII!$C$3:$C$62,_xlfn.AGGREGATE(15,6,(ROW(ASCOPE_PMESII!$B$3:$B$62)-ROW(ASCOPE_PMESII!$B$3)+1)/(ASCOPE_PMESII!$B$3:$B$62="CV"),40)),""),IF(40&lt;=(COUNTIF(ASCOPE_PMESII!$B$3:$B$62,"CV")+COUNTIF(ASCOPE_PMESII!$D$3:$D$62,"CV")),IFERROR(INDEX(ASCOPE_PMESII!$E$3:$E$62,_xlfn.AGGREGATE(15,6,(ROW(ASCOPE_PMESII!$D$3:$D$62)-ROW(ASCOPE_PMESII!$D$3)+1)/(ASCOPE_PMESII!$D$3:$D$62="CV"),40-(COUNTIF(ASCOPE_PMESII!$B$3:$B$62,"CV")))),""),IF(40&lt;=(COUNTIF(ASCOPE_PMESII!$B$3:$B$62,"CV")+COUNTIF(ASCOPE_PMESII!$D$3:$D$62,"CV")+COUNTIF(ASCOPE_PMESII!$F$3:$F$62,"CV")),IFERROR(INDEX(ASCOPE_PMESII!$G$3:$G$62,_xlfn.AGGREGATE(15,6,(ROW(ASCOPE_PMESII!$F$3:$F$62)-ROW(ASCOPE_PMESII!$F$3)+1)/(ASCOPE_PMESII!$F$3:$F$62="CV"),40-(COUNTIF(ASCOPE_PMESII!$B$3:$B$62,"CV")+COUNTIF(ASCOPE_PMESII!$D$3:$D$62,"CV")))),""),IF(40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40-(COUNTIF(ASCOPE_PMESII!$B$3:$B$62,"CV")+COUNTIF(ASCOPE_PMESII!$D$3:$D$62,"CV")+COUNTIF(ASCOPE_PMESII!$F$3:$F$62,"CV")))),""),IF(40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40-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40-(COUNTIF(ASCOPE_PMESII!$B$3:$B$62,"CV")+COUNTIF(ASCOPE_PMESII!$D$3:$D$62,"CV")+COUNTIF(ASCOPE_PMESII!$F$3:$F$62,"CV")+COUNTIF(ASCOPE_PMESII!$H$3:$H$62,"CV")+COUNTIF(ASCOPE_PMESII!$J$3:$J$62,"CV")))),"")))))),"")</f>
        <v>Port authorities and commercial operators retain control data</v>
      </c>
      <c r="E43" s="22" t="str">
        <f t="array" ref="E43">IFERROR(IF(40&lt;=COUNTIF(ASCOPE_PMESII!$B$3:$B$62,"COR"),IFERROR(INDEX(ASCOPE_PMESII!$C$3:$C$62,_xlfn.AGGREGATE(15,6,(ROW(ASCOPE_PMESII!$B$3:$B$62)-ROW(ASCOPE_PMESII!$B$3)+1)/(ASCOPE_PMESII!$B$3:$B$62="COR"),40)),""),IF(40&lt;=(COUNTIF(ASCOPE_PMESII!$B$3:$B$62,"COR")+COUNTIF(ASCOPE_PMESII!$D$3:$D$62,"COR")),IFERROR(INDEX(ASCOPE_PMESII!$E$3:$E$62,_xlfn.AGGREGATE(15,6,(ROW(ASCOPE_PMESII!$D$3:$D$62)-ROW(ASCOPE_PMESII!$D$3)+1)/(ASCOPE_PMESII!$D$3:$D$62="COR"),40-(COUNTIF(ASCOPE_PMESII!$B$3:$B$62,"COR")))),""),IF(40&lt;=(COUNTIF(ASCOPE_PMESII!$B$3:$B$62,"COR")+COUNTIF(ASCOPE_PMESII!$D$3:$D$62,"COR")+COUNTIF(ASCOPE_PMESII!$F$3:$F$62,"COR")),IFERROR(INDEX(ASCOPE_PMESII!$G$3:$G$62,_xlfn.AGGREGATE(15,6,(ROW(ASCOPE_PMESII!$F$3:$F$62)-ROW(ASCOPE_PMESII!$F$3)+1)/(ASCOPE_PMESII!$F$3:$F$62="COR"),40-(COUNTIF(ASCOPE_PMESII!$B$3:$B$62,"COR")+COUNTIF(ASCOPE_PMESII!$D$3:$D$62,"COR")))),""),IF(40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40-(COUNTIF(ASCOPE_PMESII!$B$3:$B$62,"COR")+COUNTIF(ASCOPE_PMESII!$D$3:$D$62,"COR")+COUNTIF(ASCOPE_PMESII!$F$3:$F$62,"COR")))),""),IF(40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40-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40-(COUNTIF(ASCOPE_PMESII!$B$3:$B$62,"COR")+COUNTIF(ASCOPE_PMESII!$D$3:$D$62,"COR")+COUNTIF(ASCOPE_PMESII!$F$3:$F$62,"COR")+COUNTIF(ASCOPE_PMESII!$H$3:$H$62,"COR")+COUNTIF(ASCOPE_PMESII!$J$3:$J$62,"COR")))),"")))))),"")</f>
        <v/>
      </c>
      <c r="F43" s="22" t="str">
        <f t="array" ref="F43">IFERROR(IF(40&lt;=COUNTIF(ASCOPE_PMESII!$B$3:$B$62,"REQT"),IFERROR(INDEX(ASCOPE_PMESII!$C$3:$C$62,_xlfn.AGGREGATE(15,6,(ROW(ASCOPE_PMESII!$B$3:$B$62)-ROW(ASCOPE_PMESII!$B$3)+1)/(ASCOPE_PMESII!$B$3:$B$62="REQT"),40)),""),IF(40&lt;=(COUNTIF(ASCOPE_PMESII!$B$3:$B$62,"REQT")+COUNTIF(ASCOPE_PMESII!$D$3:$D$62,"REQT")),IFERROR(INDEX(ASCOPE_PMESII!$E$3:$E$62,_xlfn.AGGREGATE(15,6,(ROW(ASCOPE_PMESII!$D$3:$D$62)-ROW(ASCOPE_PMESII!$D$3)+1)/(ASCOPE_PMESII!$D$3:$D$62="REQT"),40-(COUNTIF(ASCOPE_PMESII!$B$3:$B$62,"REQT")))),""),IF(40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40-(COUNTIF(ASCOPE_PMESII!$B$3:$B$62,"REQT")+COUNTIF(ASCOPE_PMESII!$D$3:$D$62,"REQT")))),""),IF(40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40-(COUNTIF(ASCOPE_PMESII!$B$3:$B$62,"REQT")+COUNTIF(ASCOPE_PMESII!$D$3:$D$62,"REQT")+COUNTIF(ASCOPE_PMESII!$F$3:$F$62,"REQT")))),""),IF(40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40-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40-(COUNTIF(ASCOPE_PMESII!$B$3:$B$62,"REQT")+COUNTIF(ASCOPE_PMESII!$D$3:$D$62,"REQT")+COUNTIF(ASCOPE_PMESII!$F$3:$F$62,"REQT")+COUNTIF(ASCOPE_PMESII!$H$3:$H$62,"REQT")+COUNTIF(ASCOPE_PMESII!$J$3:$J$62,"REQT")))),"")))))),"")</f>
        <v/>
      </c>
      <c r="G43" s="22" t="str">
        <f t="array" ref="G43">IFERROR(IF(40&lt;=COUNTIF(ASCOPE_PMESII!$B$3:$B$62,"REST"),IFERROR(INDEX(ASCOPE_PMESII!$C$3:$C$62,_xlfn.AGGREGATE(15,6,(ROW(ASCOPE_PMESII!$B$3:$B$62)-ROW(ASCOPE_PMESII!$B$3)+1)/(ASCOPE_PMESII!$B$3:$B$62="REST"),40)),""),IF(40&lt;=(COUNTIF(ASCOPE_PMESII!$B$3:$B$62,"REST")+COUNTIF(ASCOPE_PMESII!$D$3:$D$62,"REST")),IFERROR(INDEX(ASCOPE_PMESII!$E$3:$E$62,_xlfn.AGGREGATE(15,6,(ROW(ASCOPE_PMESII!$D$3:$D$62)-ROW(ASCOPE_PMESII!$D$3)+1)/(ASCOPE_PMESII!$D$3:$D$62="REST"),40-(COUNTIF(ASCOPE_PMESII!$B$3:$B$62,"REST")))),""),IF(40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40-(COUNTIF(ASCOPE_PMESII!$B$3:$B$62,"REST")+COUNTIF(ASCOPE_PMESII!$D$3:$D$62,"REST")))),""),IF(40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40-(COUNTIF(ASCOPE_PMESII!$B$3:$B$62,"REST")+COUNTIF(ASCOPE_PMESII!$D$3:$D$62,"REST")+COUNTIF(ASCOPE_PMESII!$F$3:$F$62,"REST")))),""),IF(40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40-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40-(COUNTIF(ASCOPE_PMESII!$B$3:$B$62,"REST")+COUNTIF(ASCOPE_PMESII!$D$3:$D$62,"REST")+COUNTIF(ASCOPE_PMESII!$F$3:$F$62,"REST")+COUNTIF(ASCOPE_PMESII!$H$3:$H$62,"REST")+COUNTIF(ASCOPE_PMESII!$J$3:$J$62,"REST")))),"")))))),"")</f>
        <v/>
      </c>
      <c r="H43" s="22" t="str">
        <f t="array" ref="H43">IFERROR(IF(40&lt;=COUNTIF(ASCOPE_PMESII!$B$3:$B$62,"KCD-MUST"),IFERROR(INDEX(ASCOPE_PMESII!$C$3:$C$62,_xlfn.AGGREGATE(15,6,(ROW(ASCOPE_PMESII!$B$3:$B$62)-ROW(ASCOPE_PMESII!$B$3)+1)/(ASCOPE_PMESII!$B$3:$B$62="KCD-MUST"),40)),""),IF(40&lt;=(COUNTIF(ASCOPE_PMESII!$B$3:$B$62,"KCD-MUST")+COUNTIF(ASCOPE_PMESII!$D$3:$D$62,"KCD-MUST")),IFERROR(INDEX(ASCOPE_PMESII!$E$3:$E$62,_xlfn.AGGREGATE(15,6,(ROW(ASCOPE_PMESII!$D$3:$D$62)-ROW(ASCOPE_PMESII!$D$3)+1)/(ASCOPE_PMESII!$D$3:$D$62="KCD-MUST"),40-(COUNTIF(ASCOPE_PMESII!$B$3:$B$62,"KCD-MUST")))),""),IF(40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40-(COUNTIF(ASCOPE_PMESII!$B$3:$B$62,"KCD-MUST")+COUNTIF(ASCOPE_PMESII!$D$3:$D$62,"KCD-MUST")))),""),IF(40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40-(COUNTIF(ASCOPE_PMESII!$B$3:$B$62,"KCD-MUST")+COUNTIF(ASCOPE_PMESII!$D$3:$D$62,"KCD-MUST")+COUNTIF(ASCOPE_PMESII!$F$3:$F$62,"KCD-MUST")))),""),IF(40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40-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40-(COUNTIF(ASCOPE_PMESII!$B$3:$B$62,"KCD-MUST")+COUNTIF(ASCOPE_PMESII!$D$3:$D$62,"KCD-MUST")+COUNTIF(ASCOPE_PMESII!$F$3:$F$62,"KCD-MUST")+COUNTIF(ASCOPE_PMESII!$H$3:$H$62,"KCD-MUST")+COUNTIF(ASCOPE_PMESII!$J$3:$J$62,"KCD-MUST")))),"")))))),"")</f>
        <v/>
      </c>
      <c r="I43" s="22" t="str">
        <f t="array" ref="I43">IFERROR(IF(40&lt;=COUNTIF(ASCOPE_PMESII!$B$3:$B$62,"KCD-SHOULD"),IFERROR(INDEX(ASCOPE_PMESII!$C$3:$C$62,_xlfn.AGGREGATE(15,6,(ROW(ASCOPE_PMESII!$B$3:$B$62)-ROW(ASCOPE_PMESII!$B$3)+1)/(ASCOPE_PMESII!$B$3:$B$62="KCD-SHOULD"),40)),""),IF(40&lt;=(COUNTIF(ASCOPE_PMESII!$B$3:$B$62,"KCD-SHOULD")+COUNTIF(ASCOPE_PMESII!$D$3:$D$62,"KCD-SHOULD")),IFERROR(INDEX(ASCOPE_PMESII!$E$3:$E$62,_xlfn.AGGREGATE(15,6,(ROW(ASCOPE_PMESII!$D$3:$D$62)-ROW(ASCOPE_PMESII!$D$3)+1)/(ASCOPE_PMESII!$D$3:$D$62="KCD-SHOULD"),40-(COUNTIF(ASCOPE_PMESII!$B$3:$B$62,"KCD-SHOULD")))),""),IF(40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40-(COUNTIF(ASCOPE_PMESII!$B$3:$B$62,"KCD-SHOULD")+COUNTIF(ASCOPE_PMESII!$D$3:$D$62,"KCD-SHOULD")))),""),IF(40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40-(COUNTIF(ASCOPE_PMESII!$B$3:$B$62,"KCD-SHOULD")+COUNTIF(ASCOPE_PMESII!$D$3:$D$62,"KCD-SHOULD")+COUNTIF(ASCOPE_PMESII!$F$3:$F$62,"KCD-SHOULD")))),""),IF(40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40-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40-(COUNTIF(ASCOPE_PMESII!$B$3:$B$62,"KCD-SHOULD")+COUNTIF(ASCOPE_PMESII!$D$3:$D$62,"KCD-SHOULD")+COUNTIF(ASCOPE_PMESII!$F$3:$F$62,"KCD-SHOULD")+COUNTIF(ASCOPE_PMESII!$H$3:$H$62,"KCD-SHOULD")+COUNTIF(ASCOPE_PMESII!$J$3:$J$62,"KCD-SHOULD")))),"")))))),"")</f>
        <v/>
      </c>
      <c r="J43" s="22" t="str">
        <f t="array" ref="J43">IFERROR(IF(40&lt;=COUNTIF(ASCOPE_PMESII!$B$3:$B$62,"KCD-SHOULD NOT"),IFERROR(INDEX(ASCOPE_PMESII!$C$3:$C$62,_xlfn.AGGREGATE(15,6,(ROW(ASCOPE_PMESII!$B$3:$B$62)-ROW(ASCOPE_PMESII!$B$3)+1)/(ASCOPE_PMESII!$B$3:$B$62="KCD-SHOULD NOT"),40)),""),IF(40&lt;=(COUNTIF(ASCOPE_PMESII!$B$3:$B$62,"KCD-SHOULD NOT")+COUNTIF(ASCOPE_PMESII!$D$3:$D$62,"KCD-SHOULD NOT")),IFERROR(INDEX(ASCOPE_PMESII!$E$3:$E$62,_xlfn.AGGREGATE(15,6,(ROW(ASCOPE_PMESII!$D$3:$D$62)-ROW(ASCOPE_PMESII!$D$3)+1)/(ASCOPE_PMESII!$D$3:$D$62="KCD-SHOULD NOT"),40-(COUNTIF(ASCOPE_PMESII!$B$3:$B$62,"KCD-SHOULD NOT")))),""),IF(40&lt;=(COUNTIF(ASCOPE_PMESII!$B$3:$B$62,"KCD-SHOULD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NOT"),40-(COUNTIF(ASCOPE_PMESII!$B$3:$B$62,"KCD-SHOULD NOT")+COUNTIF(ASCOPE_PMESII!$D$3:$D$62,"KCD-SHOULD NOT")))),""),IF(40&lt;=(COUNTIF(ASCOPE_PMESII!$B$3:$B$62,"KCD-SHOULD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NOT"),40-(COUNTIF(ASCOPE_PMESII!$B$3:$B$62,"KCD-SHOULD NOT")+COUNTIF(ASCOPE_PMESII!$D$3:$D$62,"KCD-SHOULD NOT")+COUNTIF(ASCOPE_PMESII!$F$3:$F$62,"KCD-SHOULD NOT")))),""),IF(40&lt;=(COUNTIF(ASCOPE_PMESII!$B$3:$B$62,"KCD-SHOULD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NOT"),40-(COUNTIF(ASCOPE_PMESII!$B$3:$B$62,"KCD-SHOULD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NOT"),40-(COUNTIF(ASCOPE_PMESII!$B$3:$B$62,"KCD-SHOULD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43" s="22" t="str">
        <f t="array" ref="K43">IFERROR(IF(40&lt;=COUNTIF(ASCOPE_PMESII!$B$3:$B$62,"KCD-CANNOT"),IFERROR(INDEX(ASCOPE_PMESII!$C$3:$C$62,_xlfn.AGGREGATE(15,6,(ROW(ASCOPE_PMESII!$B$3:$B$62)-ROW(ASCOPE_PMESII!$B$3)+1)/(ASCOPE_PMESII!$B$3:$B$62="KCD-CANNOT"),40)),""),IF(40&lt;=(COUNTIF(ASCOPE_PMESII!$B$3:$B$62,"KCD-CANNOT")+COUNTIF(ASCOPE_PMESII!$D$3:$D$62,"KCD-CANNOT")),IFERROR(INDEX(ASCOPE_PMESII!$E$3:$E$62,_xlfn.AGGREGATE(15,6,(ROW(ASCOPE_PMESII!$D$3:$D$62)-ROW(ASCOPE_PMESII!$D$3)+1)/(ASCOPE_PMESII!$D$3:$D$62="KCD-CANNOT"),40-(COUNTIF(ASCOPE_PMESII!$B$3:$B$62,"KCD-CANNOT")))),""),IF(40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40-(COUNTIF(ASCOPE_PMESII!$B$3:$B$62,"KCD-CANNOT")+COUNTIF(ASCOPE_PMESII!$D$3:$D$62,"KCD-CANNOT")))),""),IF(40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40-(COUNTIF(ASCOPE_PMESII!$B$3:$B$62,"KCD-CANNOT")+COUNTIF(ASCOPE_PMESII!$D$3:$D$62,"KCD-CANNOT")+COUNTIF(ASCOPE_PMESII!$F$3:$F$62,"KCD-CANNOT")))),""),IF(40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40-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40-(COUNTIF(ASCOPE_PMESII!$B$3:$B$62,"KCD-CANNOT")+COUNTIF(ASCOPE_PMESII!$D$3:$D$62,"KCD-CANNOT")+COUNTIF(ASCOPE_PMESII!$F$3:$F$62,"KCD-CANNOT")+COUNTIF(ASCOPE_PMESII!$H$3:$H$62,"KCD-CANNOT")+COUNTIF(ASCOPE_PMESII!$J$3:$J$62,"KCD-CANNOT")))),"")))))),"")</f>
        <v/>
      </c>
      <c r="L43" s="22" t="str">
        <f t="array" ref="L43">IFERROR(IF(40&lt;=COUNTIF(ASCOPE_PMESII!$B$3:$B$62,"DECISION"),IFERROR(INDEX(ASCOPE_PMESII!$C$3:$C$62,_xlfn.AGGREGATE(15,6,(ROW(ASCOPE_PMESII!$B$3:$B$62)-ROW(ASCOPE_PMESII!$B$3)+1)/(ASCOPE_PMESII!$B$3:$B$62="DECISION"),40)),""),IF(40&lt;=(COUNTIF(ASCOPE_PMESII!$B$3:$B$62,"DECISION")+COUNTIF(ASCOPE_PMESII!$D$3:$D$62,"DECISION")),IFERROR(INDEX(ASCOPE_PMESII!$E$3:$E$62,_xlfn.AGGREGATE(15,6,(ROW(ASCOPE_PMESII!$D$3:$D$62)-ROW(ASCOPE_PMESII!$D$3)+1)/(ASCOPE_PMESII!$D$3:$D$62="DECISION"),40-(COUNTIF(ASCOPE_PMESII!$B$3:$B$62,"DECISION")))),""),IF(40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40-(COUNTIF(ASCOPE_PMESII!$B$3:$B$62,"DECISION")+COUNTIF(ASCOPE_PMESII!$D$3:$D$62,"DECISION")))),""),IF(40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40-(COUNTIF(ASCOPE_PMESII!$B$3:$B$62,"DECISION")+COUNTIF(ASCOPE_PMESII!$D$3:$D$62,"DECISION")+COUNTIF(ASCOPE_PMESII!$F$3:$F$62,"DECISION")))),""),IF(40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40-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40-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43" s="22" t="str">
        <f t="array" ref="M43">IFERROR(IF(40&lt;=COUNTIF(ASCOPE_PMESII!$B$3:$B$62,"ASSUMPTION"),IFERROR(INDEX(ASCOPE_PMESII!$C$3:$C$62,_xlfn.AGGREGATE(15,6,(ROW(ASCOPE_PMESII!$B$3:$B$62)-ROW(ASCOPE_PMESII!$B$3)+1)/(ASCOPE_PMESII!$B$3:$B$62="ASSUMPTION"),40)),""),IF(40&lt;=(COUNTIF(ASCOPE_PMESII!$B$3:$B$62,"ASSUMPTION")+COUNTIF(ASCOPE_PMESII!$D$3:$D$62,"ASSUMPTION")),IFERROR(INDEX(ASCOPE_PMESII!$E$3:$E$62,_xlfn.AGGREGATE(15,6,(ROW(ASCOPE_PMESII!$D$3:$D$62)-ROW(ASCOPE_PMESII!$D$3)+1)/(ASCOPE_PMESII!$D$3:$D$62="ASSUMPTION"),40-(COUNTIF(ASCOPE_PMESII!$B$3:$B$62,"ASSUMPTION")))),""),IF(40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40-(COUNTIF(ASCOPE_PMESII!$B$3:$B$62,"ASSUMPTION")+COUNTIF(ASCOPE_PMESII!$D$3:$D$62,"ASSUMPTION")))),""),IF(40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40-(COUNTIF(ASCOPE_PMESII!$B$3:$B$62,"ASSUMPTION")+COUNTIF(ASCOPE_PMESII!$D$3:$D$62,"ASSUMPTION")+COUNTIF(ASCOPE_PMESII!$F$3:$F$62,"ASSUMPTION")))),""),IF(40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40-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40-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43" s="22" t="str">
        <f t="array" ref="N43">IFERROR(IF(40&lt;=COUNTIF(ASCOPE_PMESII!$B$3:$B$62,"CONSTRAINT"),IFERROR(INDEX(ASCOPE_PMESII!$C$3:$C$62,_xlfn.AGGREGATE(15,6,(ROW(ASCOPE_PMESII!$B$3:$B$62)-ROW(ASCOPE_PMESII!$B$3)+1)/(ASCOPE_PMESII!$B$3:$B$62="CONSTRAINT"),40)),""),IF(40&lt;=(COUNTIF(ASCOPE_PMESII!$B$3:$B$62,"CONSTRAINT")+COUNTIF(ASCOPE_PMESII!$D$3:$D$62,"CONSTRAINT")),IFERROR(INDEX(ASCOPE_PMESII!$E$3:$E$62,_xlfn.AGGREGATE(15,6,(ROW(ASCOPE_PMESII!$D$3:$D$62)-ROW(ASCOPE_PMESII!$D$3)+1)/(ASCOPE_PMESII!$D$3:$D$62="CONSTRAINT"),40-(COUNTIF(ASCOPE_PMESII!$B$3:$B$62,"CONSTRAINT")))),""),IF(40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40-(COUNTIF(ASCOPE_PMESII!$B$3:$B$62,"CONSTRAINT")+COUNTIF(ASCOPE_PMESII!$D$3:$D$62,"CONSTRAINT")))),""),IF(40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40-(COUNTIF(ASCOPE_PMESII!$B$3:$B$62,"CONSTRAINT")+COUNTIF(ASCOPE_PMESII!$D$3:$D$62,"CONSTRAINT")+COUNTIF(ASCOPE_PMESII!$F$3:$F$62,"CONSTRAINT")))),""),IF(40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40-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40-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43" s="22" t="str">
        <f t="array" ref="O43">IFERROR(IF(40&lt;=COUNTIF(ASCOPE_PMESII!$B$3:$B$62,"LIMITATION"),IFERROR(INDEX(ASCOPE_PMESII!$C$3:$C$62,_xlfn.AGGREGATE(15,6,(ROW(ASCOPE_PMESII!$B$3:$B$62)-ROW(ASCOPE_PMESII!$B$3)+1)/(ASCOPE_PMESII!$B$3:$B$62="LIMITATION"),40)),""),IF(40&lt;=(COUNTIF(ASCOPE_PMESII!$B$3:$B$62,"LIMITATION")+COUNTIF(ASCOPE_PMESII!$D$3:$D$62,"LIMITATION")),IFERROR(INDEX(ASCOPE_PMESII!$E$3:$E$62,_xlfn.AGGREGATE(15,6,(ROW(ASCOPE_PMESII!$D$3:$D$62)-ROW(ASCOPE_PMESII!$D$3)+1)/(ASCOPE_PMESII!$D$3:$D$62="LIMITATION"),40-(COUNTIF(ASCOPE_PMESII!$B$3:$B$62,"LIMITATION")))),""),IF(40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40-(COUNTIF(ASCOPE_PMESII!$B$3:$B$62,"LIMITATION")+COUNTIF(ASCOPE_PMESII!$D$3:$D$62,"LIMITATION")))),""),IF(40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40-(COUNTIF(ASCOPE_PMESII!$B$3:$B$62,"LIMITATION")+COUNTIF(ASCOPE_PMESII!$D$3:$D$62,"LIMITATION")+COUNTIF(ASCOPE_PMESII!$F$3:$F$62,"LIMITATION")))),""),IF(40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40-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40-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43" s="22" t="str">
        <f t="array" ref="P43">IFERROR(IF(40&lt;=COUNTIF(ASCOPE_PMESII!$B$3:$B$62,"CC"),IFERROR(INDEX(ASCOPE_PMESII!$C$3:$C$62,_xlfn.AGGREGATE(15,6,(ROW(ASCOPE_PMESII!$B$3:$B$62)-ROW(ASCOPE_PMESII!$B$3)+1)/(ASCOPE_PMESII!$B$3:$B$62="CC"),40)),""),IF(40&lt;=(COUNTIF(ASCOPE_PMESII!$B$3:$B$62,"CC")+COUNTIF(ASCOPE_PMESII!$D$3:$D$62,"CC")),IFERROR(INDEX(ASCOPE_PMESII!$E$3:$E$62,_xlfn.AGGREGATE(15,6,(ROW(ASCOPE_PMESII!$D$3:$D$62)-ROW(ASCOPE_PMESII!$D$3)+1)/(ASCOPE_PMESII!$D$3:$D$62="CC"),40-(COUNTIF(ASCOPE_PMESII!$B$3:$B$62,"CC")))),""),IF(40&lt;=(COUNTIF(ASCOPE_PMESII!$B$3:$B$62,"CC")+COUNTIF(ASCOPE_PMESII!$D$3:$D$62,"CC")+COUNTIF(ASCOPE_PMESII!$F$3:$F$62,"CC")),IFERROR(INDEX(ASCOPE_PMESII!$G$3:$G$62,_xlfn.AGGREGATE(15,6,(ROW(ASCOPE_PMESII!$F$3:$F$62)-ROW(ASCOPE_PMESII!$F$3)+1)/(ASCOPE_PMESII!$F$3:$F$62="CC"),40-(COUNTIF(ASCOPE_PMESII!$B$3:$B$62,"CC")+COUNTIF(ASCOPE_PMESII!$D$3:$D$62,"CC")))),""),IF(40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40-(COUNTIF(ASCOPE_PMESII!$B$3:$B$62,"CC")+COUNTIF(ASCOPE_PMESII!$D$3:$D$62,"CC")+COUNTIF(ASCOPE_PMESII!$F$3:$F$62,"CC")))),""),IF(40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40-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40-(COUNTIF(ASCOPE_PMESII!$B$3:$B$62,"CC")+COUNTIF(ASCOPE_PMESII!$D$3:$D$62,"CC")+COUNTIF(ASCOPE_PMESII!$F$3:$F$62,"CC")+COUNTIF(ASCOPE_PMESII!$H$3:$H$62,"CC")+COUNTIF(ASCOPE_PMESII!$J$3:$J$62,"CC")))),"")))))),"")</f>
        <v>Energy disruption affects NATO member interests</v>
      </c>
      <c r="Q43" s="22" t="str">
        <f t="array" ref="Q43">IFERROR(IF(40&lt;=COUNTIF(ASCOPE_PMESII!$B$3:$B$62,"CR"),IFERROR(INDEX(ASCOPE_PMESII!$C$3:$C$62,_xlfn.AGGREGATE(15,6,(ROW(ASCOPE_PMESII!$B$3:$B$62)-ROW(ASCOPE_PMESII!$B$3)+1)/(ASCOPE_PMESII!$B$3:$B$62="CR"),40)),""),IF(40&lt;=(COUNTIF(ASCOPE_PMESII!$B$3:$B$62,"CR")+COUNTIF(ASCOPE_PMESII!$D$3:$D$62,"CR")),IFERROR(INDEX(ASCOPE_PMESII!$E$3:$E$62,_xlfn.AGGREGATE(15,6,(ROW(ASCOPE_PMESII!$D$3:$D$62)-ROW(ASCOPE_PMESII!$D$3)+1)/(ASCOPE_PMESII!$D$3:$D$62="CR"),40-(COUNTIF(ASCOPE_PMESII!$B$3:$B$62,"CR")))),""),IF(40&lt;=(COUNTIF(ASCOPE_PMESII!$B$3:$B$62,"CR")+COUNTIF(ASCOPE_PMESII!$D$3:$D$62,"CR")+COUNTIF(ASCOPE_PMESII!$F$3:$F$62,"CR")),IFERROR(INDEX(ASCOPE_PMESII!$G$3:$G$62,_xlfn.AGGREGATE(15,6,(ROW(ASCOPE_PMESII!$F$3:$F$62)-ROW(ASCOPE_PMESII!$F$3)+1)/(ASCOPE_PMESII!$F$3:$F$62="CR"),40-(COUNTIF(ASCOPE_PMESII!$B$3:$B$62,"CR")+COUNTIF(ASCOPE_PMESII!$D$3:$D$62,"CR")))),""),IF(40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40-(COUNTIF(ASCOPE_PMESII!$B$3:$B$62,"CR")+COUNTIF(ASCOPE_PMESII!$D$3:$D$62,"CR")+COUNTIF(ASCOPE_PMESII!$F$3:$F$62,"CR")))),""),IF(40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40-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40-(COUNTIF(ASCOPE_PMESII!$B$3:$B$62,"CR")+COUNTIF(ASCOPE_PMESII!$D$3:$D$62,"CR")+COUNTIF(ASCOPE_PMESII!$F$3:$F$62,"CR")+COUNTIF(ASCOPE_PMESII!$H$3:$H$62,"CR")+COUNTIF(ASCOPE_PMESII!$J$3:$J$62,"CR")))),"")))))),"")</f>
        <v/>
      </c>
      <c r="R43" s="95" t="str">
        <f t="array" ref="R43">IFERROR(IF(40&lt;=COUNTIF(ASCOPE_PMESII!$B$3:$B$62,"PCS"),IFERROR(INDEX(ASCOPE_PMESII!$C$3:$C$62,_xlfn.AGGREGATE(15,6,(ROW(ASCOPE_PMESII!$B$3:$B$62)-ROW(ASCOPE_PMESII!$B$3)+1)/(ASCOPE_PMESII!$B$3:$B$62="PCS"),40)),""),IF(40&lt;=(COUNTIF(ASCOPE_PMESII!$B$3:$B$62,"PCS")+COUNTIF(ASCOPE_PMESII!$D$3:$D$62,"PCS")),IFERROR(INDEX(ASCOPE_PMESII!$E$3:$E$62,_xlfn.AGGREGATE(15,6,(ROW(ASCOPE_PMESII!$D$3:$D$62)-ROW(ASCOPE_PMESII!$D$3)+1)/(ASCOPE_PMESII!$D$3:$D$62="PCS"),40-(COUNTIF(ASCOPE_PMESII!$B$3:$B$62,"PCS")))),""),IF(40&lt;=(COUNTIF(ASCOPE_PMESII!$B$3:$B$62,"PCS")+COUNTIF(ASCOPE_PMESII!$D$3:$D$62,"PCS")+COUNTIF(ASCOPE_PMESII!$F$3:$F$62,"PCS")),IFERROR(INDEX(ASCOPE_PMESII!$G$3:$G$62,_xlfn.AGGREGATE(15,6,(ROW(ASCOPE_PMESII!$F$3:$F$62)-ROW(ASCOPE_PMESII!$F$3)+1)/(ASCOPE_PMESII!$F$3:$F$62="PCS"),40-(COUNTIF(ASCOPE_PMESII!$B$3:$B$62,"PCS")+COUNTIF(ASCOPE_PMESII!$D$3:$D$62,"PCS")))),""),IF(40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40-(COUNTIF(ASCOPE_PMESII!$B$3:$B$62,"PCS")+COUNTIF(ASCOPE_PMESII!$D$3:$D$62,"PCS")+COUNTIF(ASCOPE_PMESII!$F$3:$F$62,"PCS")))),""),IF(40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40-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40-(COUNTIF(ASCOPE_PMESII!$B$3:$B$62,"PCS")+COUNTIF(ASCOPE_PMESII!$D$3:$D$62,"PCS")+COUNTIF(ASCOPE_PMESII!$F$3:$F$62,"PCS")+COUNTIF(ASCOPE_PMESII!$H$3:$H$62,"PCS")+COUNTIF(ASCOPE_PMESII!$J$3:$J$62,"PCS")))),"")))))),"")</f>
        <v/>
      </c>
    </row>
    <row r="44" spans="1:18" ht="34.5" customHeight="1">
      <c r="A44" s="21" t="str">
        <f t="array" ref="A44">IFERROR(IF(41&lt;=COUNTIF(ASCOPE_PMESII!$B$3:$B$62,"OE"),IFERROR(INDEX(ASCOPE_PMESII!$C$3:$C$62,_xlfn.AGGREGATE(15,6,(ROW(ASCOPE_PMESII!$B$3:$B$62)-ROW(ASCOPE_PMESII!$B$3)+1)/(ASCOPE_PMESII!$B$3:$B$62="OE"),41)),""),IF(41&lt;=(COUNTIF(ASCOPE_PMESII!$B$3:$B$62,"OE")+COUNTIF(ASCOPE_PMESII!$D$3:$D$62,"OE")),IFERROR(INDEX(ASCOPE_PMESII!$E$3:$E$62,_xlfn.AGGREGATE(15,6,(ROW(ASCOPE_PMESII!$D$3:$D$62)-ROW(ASCOPE_PMESII!$D$3)+1)/(ASCOPE_PMESII!$D$3:$D$62="OE"),41-(COUNTIF(ASCOPE_PMESII!$B$3:$B$62,"OE")))),""),IF(41&lt;=(COUNTIF(ASCOPE_PMESII!$B$3:$B$62,"OE")+COUNTIF(ASCOPE_PMESII!$D$3:$D$62,"OE")+COUNTIF(ASCOPE_PMESII!$F$3:$F$62,"OE")),IFERROR(INDEX(ASCOPE_PMESII!$G$3:$G$62,_xlfn.AGGREGATE(15,6,(ROW(ASCOPE_PMESII!$F$3:$F$62)-ROW(ASCOPE_PMESII!$F$3)+1)/(ASCOPE_PMESII!$F$3:$F$62="OE"),41-(COUNTIF(ASCOPE_PMESII!$B$3:$B$62,"OE")+COUNTIF(ASCOPE_PMESII!$D$3:$D$62,"OE")))),""),IF(41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41-(COUNTIF(ASCOPE_PMESII!$B$3:$B$62,"OE")+COUNTIF(ASCOPE_PMESII!$D$3:$D$62,"OE")+COUNTIF(ASCOPE_PMESII!$F$3:$F$62,"OE")))),""),IF(41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41-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41-(COUNTIF(ASCOPE_PMESII!$B$3:$B$62,"OE")+COUNTIF(ASCOPE_PMESII!$D$3:$D$62,"OE")+COUNTIF(ASCOPE_PMESII!$F$3:$F$62,"OE")+COUNTIF(ASCOPE_PMESII!$H$3:$H$62,"OE")+COUNTIF(ASCOPE_PMESII!$J$3:$J$62,"OE")))),"")))))),"")</f>
        <v/>
      </c>
      <c r="B44" s="21" t="str">
        <f t="array" ref="B44">IFERROR(IF(41&lt;=COUNTIF(ASCOPE_PMESII!$B$3:$B$62,"OA"),IFERROR(INDEX(ASCOPE_PMESII!$C$3:$C$62,_xlfn.AGGREGATE(15,6,(ROW(ASCOPE_PMESII!$B$3:$B$62)-ROW(ASCOPE_PMESII!$B$3)+1)/(ASCOPE_PMESII!$B$3:$B$62="OA"),41)),""),IF(41&lt;=(COUNTIF(ASCOPE_PMESII!$B$3:$B$62,"OA")+COUNTIF(ASCOPE_PMESII!$D$3:$D$62,"OA")),IFERROR(INDEX(ASCOPE_PMESII!$E$3:$E$62,_xlfn.AGGREGATE(15,6,(ROW(ASCOPE_PMESII!$D$3:$D$62)-ROW(ASCOPE_PMESII!$D$3)+1)/(ASCOPE_PMESII!$D$3:$D$62="OA"),41-(COUNTIF(ASCOPE_PMESII!$B$3:$B$62,"OA")))),""),IF(41&lt;=(COUNTIF(ASCOPE_PMESII!$B$3:$B$62,"OA")+COUNTIF(ASCOPE_PMESII!$D$3:$D$62,"OA")+COUNTIF(ASCOPE_PMESII!$F$3:$F$62,"OA")),IFERROR(INDEX(ASCOPE_PMESII!$G$3:$G$62,_xlfn.AGGREGATE(15,6,(ROW(ASCOPE_PMESII!$F$3:$F$62)-ROW(ASCOPE_PMESII!$F$3)+1)/(ASCOPE_PMESII!$F$3:$F$62="OA"),41-(COUNTIF(ASCOPE_PMESII!$B$3:$B$62,"OA")+COUNTIF(ASCOPE_PMESII!$D$3:$D$62,"OA")))),""),IF(41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41-(COUNTIF(ASCOPE_PMESII!$B$3:$B$62,"OA")+COUNTIF(ASCOPE_PMESII!$D$3:$D$62,"OA")+COUNTIF(ASCOPE_PMESII!$F$3:$F$62,"OA")))),""),IF(41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41-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41-(COUNTIF(ASCOPE_PMESII!$B$3:$B$62,"OA")+COUNTIF(ASCOPE_PMESII!$D$3:$D$62,"OA")+COUNTIF(ASCOPE_PMESII!$F$3:$F$62,"OA")+COUNTIF(ASCOPE_PMESII!$H$3:$H$62,"OA")+COUNTIF(ASCOPE_PMESII!$J$3:$J$62,"OA")))),"")))))),"")</f>
        <v/>
      </c>
      <c r="C44" s="21" t="str">
        <f t="array" ref="C44">IFERROR(IF(41&lt;=COUNTIF(ASCOPE_PMESII!$B$3:$B$62,"RISK"),IFERROR(INDEX(ASCOPE_PMESII!$C$3:$C$62,_xlfn.AGGREGATE(15,6,(ROW(ASCOPE_PMESII!$B$3:$B$62)-ROW(ASCOPE_PMESII!$B$3)+1)/(ASCOPE_PMESII!$B$3:$B$62="RISK"),41)),""),IF(41&lt;=(COUNTIF(ASCOPE_PMESII!$B$3:$B$62,"RISK")+COUNTIF(ASCOPE_PMESII!$D$3:$D$62,"RISK")),IFERROR(INDEX(ASCOPE_PMESII!$E$3:$E$62,_xlfn.AGGREGATE(15,6,(ROW(ASCOPE_PMESII!$D$3:$D$62)-ROW(ASCOPE_PMESII!$D$3)+1)/(ASCOPE_PMESII!$D$3:$D$62="RISK"),41-(COUNTIF(ASCOPE_PMESII!$B$3:$B$62,"RISK")))),""),IF(41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41-(COUNTIF(ASCOPE_PMESII!$B$3:$B$62,"RISK")+COUNTIF(ASCOPE_PMESII!$D$3:$D$62,"RISK")))),""),IF(41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41-(COUNTIF(ASCOPE_PMESII!$B$3:$B$62,"RISK")+COUNTIF(ASCOPE_PMESII!$D$3:$D$62,"RISK")+COUNTIF(ASCOPE_PMESII!$F$3:$F$62,"RISK")))),""),IF(41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41-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41-(COUNTIF(ASCOPE_PMESII!$B$3:$B$62,"RISK")+COUNTIF(ASCOPE_PMESII!$D$3:$D$62,"RISK")+COUNTIF(ASCOPE_PMESII!$F$3:$F$62,"RISK")+COUNTIF(ASCOPE_PMESII!$H$3:$H$62,"RISK")+COUNTIF(ASCOPE_PMESII!$J$3:$J$62,"RISK")))),"")))))),"")</f>
        <v/>
      </c>
      <c r="D44" s="21" t="str">
        <f t="array" ref="D44">IFERROR(IF(41&lt;=COUNTIF(ASCOPE_PMESII!$B$3:$B$62,"CV"),IFERROR(INDEX(ASCOPE_PMESII!$C$3:$C$62,_xlfn.AGGREGATE(15,6,(ROW(ASCOPE_PMESII!$B$3:$B$62)-ROW(ASCOPE_PMESII!$B$3)+1)/(ASCOPE_PMESII!$B$3:$B$62="CV"),41)),""),IF(41&lt;=(COUNTIF(ASCOPE_PMESII!$B$3:$B$62,"CV")+COUNTIF(ASCOPE_PMESII!$D$3:$D$62,"CV")),IFERROR(INDEX(ASCOPE_PMESII!$E$3:$E$62,_xlfn.AGGREGATE(15,6,(ROW(ASCOPE_PMESII!$D$3:$D$62)-ROW(ASCOPE_PMESII!$D$3)+1)/(ASCOPE_PMESII!$D$3:$D$62="CV"),41-(COUNTIF(ASCOPE_PMESII!$B$3:$B$62,"CV")))),""),IF(41&lt;=(COUNTIF(ASCOPE_PMESII!$B$3:$B$62,"CV")+COUNTIF(ASCOPE_PMESII!$D$3:$D$62,"CV")+COUNTIF(ASCOPE_PMESII!$F$3:$F$62,"CV")),IFERROR(INDEX(ASCOPE_PMESII!$G$3:$G$62,_xlfn.AGGREGATE(15,6,(ROW(ASCOPE_PMESII!$F$3:$F$62)-ROW(ASCOPE_PMESII!$F$3)+1)/(ASCOPE_PMESII!$F$3:$F$62="CV"),41-(COUNTIF(ASCOPE_PMESII!$B$3:$B$62,"CV")+COUNTIF(ASCOPE_PMESII!$D$3:$D$62,"CV")))),""),IF(41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41-(COUNTIF(ASCOPE_PMESII!$B$3:$B$62,"CV")+COUNTIF(ASCOPE_PMESII!$D$3:$D$62,"CV")+COUNTIF(ASCOPE_PMESII!$F$3:$F$62,"CV")))),""),IF(41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41-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41-(COUNTIF(ASCOPE_PMESII!$B$3:$B$62,"CV")+COUNTIF(ASCOPE_PMESII!$D$3:$D$62,"CV")+COUNTIF(ASCOPE_PMESII!$F$3:$F$62,"CV")+COUNTIF(ASCOPE_PMESII!$H$3:$H$62,"CV")+COUNTIF(ASCOPE_PMESII!$J$3:$J$62,"CV")))),"")))))),"")</f>
        <v>Audiences include GoIND, IRS, civilians, shippers, ASEAN</v>
      </c>
      <c r="E44" s="21" t="str">
        <f t="array" ref="E44">IFERROR(IF(41&lt;=COUNTIF(ASCOPE_PMESII!$B$3:$B$62,"COR"),IFERROR(INDEX(ASCOPE_PMESII!$C$3:$C$62,_xlfn.AGGREGATE(15,6,(ROW(ASCOPE_PMESII!$B$3:$B$62)-ROW(ASCOPE_PMESII!$B$3)+1)/(ASCOPE_PMESII!$B$3:$B$62="COR"),41)),""),IF(41&lt;=(COUNTIF(ASCOPE_PMESII!$B$3:$B$62,"COR")+COUNTIF(ASCOPE_PMESII!$D$3:$D$62,"COR")),IFERROR(INDEX(ASCOPE_PMESII!$E$3:$E$62,_xlfn.AGGREGATE(15,6,(ROW(ASCOPE_PMESII!$D$3:$D$62)-ROW(ASCOPE_PMESII!$D$3)+1)/(ASCOPE_PMESII!$D$3:$D$62="COR"),41-(COUNTIF(ASCOPE_PMESII!$B$3:$B$62,"COR")))),""),IF(41&lt;=(COUNTIF(ASCOPE_PMESII!$B$3:$B$62,"COR")+COUNTIF(ASCOPE_PMESII!$D$3:$D$62,"COR")+COUNTIF(ASCOPE_PMESII!$F$3:$F$62,"COR")),IFERROR(INDEX(ASCOPE_PMESII!$G$3:$G$62,_xlfn.AGGREGATE(15,6,(ROW(ASCOPE_PMESII!$F$3:$F$62)-ROW(ASCOPE_PMESII!$F$3)+1)/(ASCOPE_PMESII!$F$3:$F$62="COR"),41-(COUNTIF(ASCOPE_PMESII!$B$3:$B$62,"COR")+COUNTIF(ASCOPE_PMESII!$D$3:$D$62,"COR")))),""),IF(41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41-(COUNTIF(ASCOPE_PMESII!$B$3:$B$62,"COR")+COUNTIF(ASCOPE_PMESII!$D$3:$D$62,"COR")+COUNTIF(ASCOPE_PMESII!$F$3:$F$62,"COR")))),""),IF(41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41-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41-(COUNTIF(ASCOPE_PMESII!$B$3:$B$62,"COR")+COUNTIF(ASCOPE_PMESII!$D$3:$D$62,"COR")+COUNTIF(ASCOPE_PMESII!$F$3:$F$62,"COR")+COUNTIF(ASCOPE_PMESII!$H$3:$H$62,"COR")+COUNTIF(ASCOPE_PMESII!$J$3:$J$62,"COR")))),"")))))),"")</f>
        <v/>
      </c>
      <c r="F44" s="21" t="str">
        <f t="array" ref="F44">IFERROR(IF(41&lt;=COUNTIF(ASCOPE_PMESII!$B$3:$B$62,"REQT"),IFERROR(INDEX(ASCOPE_PMESII!$C$3:$C$62,_xlfn.AGGREGATE(15,6,(ROW(ASCOPE_PMESII!$B$3:$B$62)-ROW(ASCOPE_PMESII!$B$3)+1)/(ASCOPE_PMESII!$B$3:$B$62="REQT"),41)),""),IF(41&lt;=(COUNTIF(ASCOPE_PMESII!$B$3:$B$62,"REQT")+COUNTIF(ASCOPE_PMESII!$D$3:$D$62,"REQT")),IFERROR(INDEX(ASCOPE_PMESII!$E$3:$E$62,_xlfn.AGGREGATE(15,6,(ROW(ASCOPE_PMESII!$D$3:$D$62)-ROW(ASCOPE_PMESII!$D$3)+1)/(ASCOPE_PMESII!$D$3:$D$62="REQT"),41-(COUNTIF(ASCOPE_PMESII!$B$3:$B$62,"REQT")))),""),IF(41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41-(COUNTIF(ASCOPE_PMESII!$B$3:$B$62,"REQT")+COUNTIF(ASCOPE_PMESII!$D$3:$D$62,"REQT")))),""),IF(41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41-(COUNTIF(ASCOPE_PMESII!$B$3:$B$62,"REQT")+COUNTIF(ASCOPE_PMESII!$D$3:$D$62,"REQT")+COUNTIF(ASCOPE_PMESII!$F$3:$F$62,"REQT")))),""),IF(41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41-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41-(COUNTIF(ASCOPE_PMESII!$B$3:$B$62,"REQT")+COUNTIF(ASCOPE_PMESII!$D$3:$D$62,"REQT")+COUNTIF(ASCOPE_PMESII!$F$3:$F$62,"REQT")+COUNTIF(ASCOPE_PMESII!$H$3:$H$62,"REQT")+COUNTIF(ASCOPE_PMESII!$J$3:$J$62,"REQT")))),"")))))),"")</f>
        <v/>
      </c>
      <c r="G44" s="21" t="str">
        <f t="array" ref="G44">IFERROR(IF(41&lt;=COUNTIF(ASCOPE_PMESII!$B$3:$B$62,"REST"),IFERROR(INDEX(ASCOPE_PMESII!$C$3:$C$62,_xlfn.AGGREGATE(15,6,(ROW(ASCOPE_PMESII!$B$3:$B$62)-ROW(ASCOPE_PMESII!$B$3)+1)/(ASCOPE_PMESII!$B$3:$B$62="REST"),41)),""),IF(41&lt;=(COUNTIF(ASCOPE_PMESII!$B$3:$B$62,"REST")+COUNTIF(ASCOPE_PMESII!$D$3:$D$62,"REST")),IFERROR(INDEX(ASCOPE_PMESII!$E$3:$E$62,_xlfn.AGGREGATE(15,6,(ROW(ASCOPE_PMESII!$D$3:$D$62)-ROW(ASCOPE_PMESII!$D$3)+1)/(ASCOPE_PMESII!$D$3:$D$62="REST"),41-(COUNTIF(ASCOPE_PMESII!$B$3:$B$62,"REST")))),""),IF(41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41-(COUNTIF(ASCOPE_PMESII!$B$3:$B$62,"REST")+COUNTIF(ASCOPE_PMESII!$D$3:$D$62,"REST")))),""),IF(41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41-(COUNTIF(ASCOPE_PMESII!$B$3:$B$62,"REST")+COUNTIF(ASCOPE_PMESII!$D$3:$D$62,"REST")+COUNTIF(ASCOPE_PMESII!$F$3:$F$62,"REST")))),""),IF(41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41-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41-(COUNTIF(ASCOPE_PMESII!$B$3:$B$62,"REST")+COUNTIF(ASCOPE_PMESII!$D$3:$D$62,"REST")+COUNTIF(ASCOPE_PMESII!$F$3:$F$62,"REST")+COUNTIF(ASCOPE_PMESII!$H$3:$H$62,"REST")+COUNTIF(ASCOPE_PMESII!$J$3:$J$62,"REST")))),"")))))),"")</f>
        <v/>
      </c>
      <c r="H44" s="21" t="str">
        <f t="array" ref="H44">IFERROR(IF(41&lt;=COUNTIF(ASCOPE_PMESII!$B$3:$B$62,"KCD-MUST"),IFERROR(INDEX(ASCOPE_PMESII!$C$3:$C$62,_xlfn.AGGREGATE(15,6,(ROW(ASCOPE_PMESII!$B$3:$B$62)-ROW(ASCOPE_PMESII!$B$3)+1)/(ASCOPE_PMESII!$B$3:$B$62="KCD-MUST"),41)),""),IF(41&lt;=(COUNTIF(ASCOPE_PMESII!$B$3:$B$62,"KCD-MUST")+COUNTIF(ASCOPE_PMESII!$D$3:$D$62,"KCD-MUST")),IFERROR(INDEX(ASCOPE_PMESII!$E$3:$E$62,_xlfn.AGGREGATE(15,6,(ROW(ASCOPE_PMESII!$D$3:$D$62)-ROW(ASCOPE_PMESII!$D$3)+1)/(ASCOPE_PMESII!$D$3:$D$62="KCD-MUST"),41-(COUNTIF(ASCOPE_PMESII!$B$3:$B$62,"KCD-MUST")))),""),IF(41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41-(COUNTIF(ASCOPE_PMESII!$B$3:$B$62,"KCD-MUST")+COUNTIF(ASCOPE_PMESII!$D$3:$D$62,"KCD-MUST")))),""),IF(41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41-(COUNTIF(ASCOPE_PMESII!$B$3:$B$62,"KCD-MUST")+COUNTIF(ASCOPE_PMESII!$D$3:$D$62,"KCD-MUST")+COUNTIF(ASCOPE_PMESII!$F$3:$F$62,"KCD-MUST")))),""),IF(41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41-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41-(COUNTIF(ASCOPE_PMESII!$B$3:$B$62,"KCD-MUST")+COUNTIF(ASCOPE_PMESII!$D$3:$D$62,"KCD-MUST")+COUNTIF(ASCOPE_PMESII!$F$3:$F$62,"KCD-MUST")+COUNTIF(ASCOPE_PMESII!$H$3:$H$62,"KCD-MUST")+COUNTIF(ASCOPE_PMESII!$J$3:$J$62,"KCD-MUST")))),"")))))),"")</f>
        <v/>
      </c>
      <c r="I44" s="21" t="str">
        <f t="array" ref="I44">IFERROR(IF(41&lt;=COUNTIF(ASCOPE_PMESII!$B$3:$B$62,"KCD-SHOULD"),IFERROR(INDEX(ASCOPE_PMESII!$C$3:$C$62,_xlfn.AGGREGATE(15,6,(ROW(ASCOPE_PMESII!$B$3:$B$62)-ROW(ASCOPE_PMESII!$B$3)+1)/(ASCOPE_PMESII!$B$3:$B$62="KCD-SHOULD"),41)),""),IF(41&lt;=(COUNTIF(ASCOPE_PMESII!$B$3:$B$62,"KCD-SHOULD")+COUNTIF(ASCOPE_PMESII!$D$3:$D$62,"KCD-SHOULD")),IFERROR(INDEX(ASCOPE_PMESII!$E$3:$E$62,_xlfn.AGGREGATE(15,6,(ROW(ASCOPE_PMESII!$D$3:$D$62)-ROW(ASCOPE_PMESII!$D$3)+1)/(ASCOPE_PMESII!$D$3:$D$62="KCD-SHOULD"),41-(COUNTIF(ASCOPE_PMESII!$B$3:$B$62,"KCD-SHOULD")))),""),IF(41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41-(COUNTIF(ASCOPE_PMESII!$B$3:$B$62,"KCD-SHOULD")+COUNTIF(ASCOPE_PMESII!$D$3:$D$62,"KCD-SHOULD")))),""),IF(41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41-(COUNTIF(ASCOPE_PMESII!$B$3:$B$62,"KCD-SHOULD")+COUNTIF(ASCOPE_PMESII!$D$3:$D$62,"KCD-SHOULD")+COUNTIF(ASCOPE_PMESII!$F$3:$F$62,"KCD-SHOULD")))),""),IF(41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41-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41-(COUNTIF(ASCOPE_PMESII!$B$3:$B$62,"KCD-SHOULD")+COUNTIF(ASCOPE_PMESII!$D$3:$D$62,"KCD-SHOULD")+COUNTIF(ASCOPE_PMESII!$F$3:$F$62,"KCD-SHOULD")+COUNTIF(ASCOPE_PMESII!$H$3:$H$62,"KCD-SHOULD")+COUNTIF(ASCOPE_PMESII!$J$3:$J$62,"KCD-SHOULD")))),"")))))),"")</f>
        <v/>
      </c>
      <c r="J44" s="21" t="str">
        <f t="array" ref="J44">IFERROR(IF(41&lt;=COUNTIF(ASCOPE_PMESII!$B$3:$B$62,"KCD-SHOULD NOT"),IFERROR(INDEX(ASCOPE_PMESII!$C$3:$C$62,_xlfn.AGGREGATE(15,6,(ROW(ASCOPE_PMESII!$B$3:$B$62)-ROW(ASCOPE_PMESII!$B$3)+1)/(ASCOPE_PMESII!$B$3:$B$62="KCD-SHOULD NOT"),41)),""),IF(41&lt;=(COUNTIF(ASCOPE_PMESII!$B$3:$B$62,"KCD-SHOULD NOT")+COUNTIF(ASCOPE_PMESII!$D$3:$D$62,"KCD-SHOULD NOT")),IFERROR(INDEX(ASCOPE_PMESII!$E$3:$E$62,_xlfn.AGGREGATE(15,6,(ROW(ASCOPE_PMESII!$D$3:$D$62)-ROW(ASCOPE_PMESII!$D$3)+1)/(ASCOPE_PMESII!$D$3:$D$62="KCD-SHOULD NOT"),41-(COUNTIF(ASCOPE_PMESII!$B$3:$B$62,"KCD-SHOULD NOT")))),""),IF(41&lt;=(COUNTIF(ASCOPE_PMESII!$B$3:$B$62,"KCD-SHOULD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NOT"),41-(COUNTIF(ASCOPE_PMESII!$B$3:$B$62,"KCD-SHOULD NOT")+COUNTIF(ASCOPE_PMESII!$D$3:$D$62,"KCD-SHOULD NOT")))),""),IF(41&lt;=(COUNTIF(ASCOPE_PMESII!$B$3:$B$62,"KCD-SHOULD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NOT"),41-(COUNTIF(ASCOPE_PMESII!$B$3:$B$62,"KCD-SHOULD NOT")+COUNTIF(ASCOPE_PMESII!$D$3:$D$62,"KCD-SHOULD NOT")+COUNTIF(ASCOPE_PMESII!$F$3:$F$62,"KCD-SHOULD NOT")))),""),IF(41&lt;=(COUNTIF(ASCOPE_PMESII!$B$3:$B$62,"KCD-SHOULD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NOT"),41-(COUNTIF(ASCOPE_PMESII!$B$3:$B$62,"KCD-SHOULD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NOT"),41-(COUNTIF(ASCOPE_PMESII!$B$3:$B$62,"KCD-SHOULD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44" s="21" t="str">
        <f t="array" ref="K44">IFERROR(IF(41&lt;=COUNTIF(ASCOPE_PMESII!$B$3:$B$62,"KCD-CANNOT"),IFERROR(INDEX(ASCOPE_PMESII!$C$3:$C$62,_xlfn.AGGREGATE(15,6,(ROW(ASCOPE_PMESII!$B$3:$B$62)-ROW(ASCOPE_PMESII!$B$3)+1)/(ASCOPE_PMESII!$B$3:$B$62="KCD-CANNOT"),41)),""),IF(41&lt;=(COUNTIF(ASCOPE_PMESII!$B$3:$B$62,"KCD-CANNOT")+COUNTIF(ASCOPE_PMESII!$D$3:$D$62,"KCD-CANNOT")),IFERROR(INDEX(ASCOPE_PMESII!$E$3:$E$62,_xlfn.AGGREGATE(15,6,(ROW(ASCOPE_PMESII!$D$3:$D$62)-ROW(ASCOPE_PMESII!$D$3)+1)/(ASCOPE_PMESII!$D$3:$D$62="KCD-CANNOT"),41-(COUNTIF(ASCOPE_PMESII!$B$3:$B$62,"KCD-CANNOT")))),""),IF(41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41-(COUNTIF(ASCOPE_PMESII!$B$3:$B$62,"KCD-CANNOT")+COUNTIF(ASCOPE_PMESII!$D$3:$D$62,"KCD-CANNOT")))),""),IF(41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41-(COUNTIF(ASCOPE_PMESII!$B$3:$B$62,"KCD-CANNOT")+COUNTIF(ASCOPE_PMESII!$D$3:$D$62,"KCD-CANNOT")+COUNTIF(ASCOPE_PMESII!$F$3:$F$62,"KCD-CANNOT")))),""),IF(41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41-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41-(COUNTIF(ASCOPE_PMESII!$B$3:$B$62,"KCD-CANNOT")+COUNTIF(ASCOPE_PMESII!$D$3:$D$62,"KCD-CANNOT")+COUNTIF(ASCOPE_PMESII!$F$3:$F$62,"KCD-CANNOT")+COUNTIF(ASCOPE_PMESII!$H$3:$H$62,"KCD-CANNOT")+COUNTIF(ASCOPE_PMESII!$J$3:$J$62,"KCD-CANNOT")))),"")))))),"")</f>
        <v/>
      </c>
      <c r="L44" s="21" t="str">
        <f t="array" ref="L44">IFERROR(IF(41&lt;=COUNTIF(ASCOPE_PMESII!$B$3:$B$62,"DECISION"),IFERROR(INDEX(ASCOPE_PMESII!$C$3:$C$62,_xlfn.AGGREGATE(15,6,(ROW(ASCOPE_PMESII!$B$3:$B$62)-ROW(ASCOPE_PMESII!$B$3)+1)/(ASCOPE_PMESII!$B$3:$B$62="DECISION"),41)),""),IF(41&lt;=(COUNTIF(ASCOPE_PMESII!$B$3:$B$62,"DECISION")+COUNTIF(ASCOPE_PMESII!$D$3:$D$62,"DECISION")),IFERROR(INDEX(ASCOPE_PMESII!$E$3:$E$62,_xlfn.AGGREGATE(15,6,(ROW(ASCOPE_PMESII!$D$3:$D$62)-ROW(ASCOPE_PMESII!$D$3)+1)/(ASCOPE_PMESII!$D$3:$D$62="DECISION"),41-(COUNTIF(ASCOPE_PMESII!$B$3:$B$62,"DECISION")))),""),IF(41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41-(COUNTIF(ASCOPE_PMESII!$B$3:$B$62,"DECISION")+COUNTIF(ASCOPE_PMESII!$D$3:$D$62,"DECISION")))),""),IF(41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41-(COUNTIF(ASCOPE_PMESII!$B$3:$B$62,"DECISION")+COUNTIF(ASCOPE_PMESII!$D$3:$D$62,"DECISION")+COUNTIF(ASCOPE_PMESII!$F$3:$F$62,"DECISION")))),""),IF(41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41-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41-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44" s="21" t="str">
        <f t="array" ref="M44">IFERROR(IF(41&lt;=COUNTIF(ASCOPE_PMESII!$B$3:$B$62,"ASSUMPTION"),IFERROR(INDEX(ASCOPE_PMESII!$C$3:$C$62,_xlfn.AGGREGATE(15,6,(ROW(ASCOPE_PMESII!$B$3:$B$62)-ROW(ASCOPE_PMESII!$B$3)+1)/(ASCOPE_PMESII!$B$3:$B$62="ASSUMPTION"),41)),""),IF(41&lt;=(COUNTIF(ASCOPE_PMESII!$B$3:$B$62,"ASSUMPTION")+COUNTIF(ASCOPE_PMESII!$D$3:$D$62,"ASSUMPTION")),IFERROR(INDEX(ASCOPE_PMESII!$E$3:$E$62,_xlfn.AGGREGATE(15,6,(ROW(ASCOPE_PMESII!$D$3:$D$62)-ROW(ASCOPE_PMESII!$D$3)+1)/(ASCOPE_PMESII!$D$3:$D$62="ASSUMPTION"),41-(COUNTIF(ASCOPE_PMESII!$B$3:$B$62,"ASSUMPTION")))),""),IF(41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41-(COUNTIF(ASCOPE_PMESII!$B$3:$B$62,"ASSUMPTION")+COUNTIF(ASCOPE_PMESII!$D$3:$D$62,"ASSUMPTION")))),""),IF(41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41-(COUNTIF(ASCOPE_PMESII!$B$3:$B$62,"ASSUMPTION")+COUNTIF(ASCOPE_PMESII!$D$3:$D$62,"ASSUMPTION")+COUNTIF(ASCOPE_PMESII!$F$3:$F$62,"ASSUMPTION")))),""),IF(41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41-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41-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44" s="21" t="str">
        <f t="array" ref="N44">IFERROR(IF(41&lt;=COUNTIF(ASCOPE_PMESII!$B$3:$B$62,"CONSTRAINT"),IFERROR(INDEX(ASCOPE_PMESII!$C$3:$C$62,_xlfn.AGGREGATE(15,6,(ROW(ASCOPE_PMESII!$B$3:$B$62)-ROW(ASCOPE_PMESII!$B$3)+1)/(ASCOPE_PMESII!$B$3:$B$62="CONSTRAINT"),41)),""),IF(41&lt;=(COUNTIF(ASCOPE_PMESII!$B$3:$B$62,"CONSTRAINT")+COUNTIF(ASCOPE_PMESII!$D$3:$D$62,"CONSTRAINT")),IFERROR(INDEX(ASCOPE_PMESII!$E$3:$E$62,_xlfn.AGGREGATE(15,6,(ROW(ASCOPE_PMESII!$D$3:$D$62)-ROW(ASCOPE_PMESII!$D$3)+1)/(ASCOPE_PMESII!$D$3:$D$62="CONSTRAINT"),41-(COUNTIF(ASCOPE_PMESII!$B$3:$B$62,"CONSTRAINT")))),""),IF(41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41-(COUNTIF(ASCOPE_PMESII!$B$3:$B$62,"CONSTRAINT")+COUNTIF(ASCOPE_PMESII!$D$3:$D$62,"CONSTRAINT")))),""),IF(41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41-(COUNTIF(ASCOPE_PMESII!$B$3:$B$62,"CONSTRAINT")+COUNTIF(ASCOPE_PMESII!$D$3:$D$62,"CONSTRAINT")+COUNTIF(ASCOPE_PMESII!$F$3:$F$62,"CONSTRAINT")))),""),IF(41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41-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41-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44" s="21" t="str">
        <f t="array" ref="O44">IFERROR(IF(41&lt;=COUNTIF(ASCOPE_PMESII!$B$3:$B$62,"LIMITATION"),IFERROR(INDEX(ASCOPE_PMESII!$C$3:$C$62,_xlfn.AGGREGATE(15,6,(ROW(ASCOPE_PMESII!$B$3:$B$62)-ROW(ASCOPE_PMESII!$B$3)+1)/(ASCOPE_PMESII!$B$3:$B$62="LIMITATION"),41)),""),IF(41&lt;=(COUNTIF(ASCOPE_PMESII!$B$3:$B$62,"LIMITATION")+COUNTIF(ASCOPE_PMESII!$D$3:$D$62,"LIMITATION")),IFERROR(INDEX(ASCOPE_PMESII!$E$3:$E$62,_xlfn.AGGREGATE(15,6,(ROW(ASCOPE_PMESII!$D$3:$D$62)-ROW(ASCOPE_PMESII!$D$3)+1)/(ASCOPE_PMESII!$D$3:$D$62="LIMITATION"),41-(COUNTIF(ASCOPE_PMESII!$B$3:$B$62,"LIMITATION")))),""),IF(41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41-(COUNTIF(ASCOPE_PMESII!$B$3:$B$62,"LIMITATION")+COUNTIF(ASCOPE_PMESII!$D$3:$D$62,"LIMITATION")))),""),IF(41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41-(COUNTIF(ASCOPE_PMESII!$B$3:$B$62,"LIMITATION")+COUNTIF(ASCOPE_PMESII!$D$3:$D$62,"LIMITATION")+COUNTIF(ASCOPE_PMESII!$F$3:$F$62,"LIMITATION")))),""),IF(41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41-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41-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44" s="21" t="str">
        <f t="array" ref="P44">IFERROR(IF(41&lt;=COUNTIF(ASCOPE_PMESII!$B$3:$B$62,"CC"),IFERROR(INDEX(ASCOPE_PMESII!$C$3:$C$62,_xlfn.AGGREGATE(15,6,(ROW(ASCOPE_PMESII!$B$3:$B$62)-ROW(ASCOPE_PMESII!$B$3)+1)/(ASCOPE_PMESII!$B$3:$B$62="CC"),41)),""),IF(41&lt;=(COUNTIF(ASCOPE_PMESII!$B$3:$B$62,"CC")+COUNTIF(ASCOPE_PMESII!$D$3:$D$62,"CC")),IFERROR(INDEX(ASCOPE_PMESII!$E$3:$E$62,_xlfn.AGGREGATE(15,6,(ROW(ASCOPE_PMESII!$D$3:$D$62)-ROW(ASCOPE_PMESII!$D$3)+1)/(ASCOPE_PMESII!$D$3:$D$62="CC"),41-(COUNTIF(ASCOPE_PMESII!$B$3:$B$62,"CC")))),""),IF(41&lt;=(COUNTIF(ASCOPE_PMESII!$B$3:$B$62,"CC")+COUNTIF(ASCOPE_PMESII!$D$3:$D$62,"CC")+COUNTIF(ASCOPE_PMESII!$F$3:$F$62,"CC")),IFERROR(INDEX(ASCOPE_PMESII!$G$3:$G$62,_xlfn.AGGREGATE(15,6,(ROW(ASCOPE_PMESII!$F$3:$F$62)-ROW(ASCOPE_PMESII!$F$3)+1)/(ASCOPE_PMESII!$F$3:$F$62="CC"),41-(COUNTIF(ASCOPE_PMESII!$B$3:$B$62,"CC")+COUNTIF(ASCOPE_PMESII!$D$3:$D$62,"CC")))),""),IF(41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41-(COUNTIF(ASCOPE_PMESII!$B$3:$B$62,"CC")+COUNTIF(ASCOPE_PMESII!$D$3:$D$62,"CC")+COUNTIF(ASCOPE_PMESII!$F$3:$F$62,"CC")))),""),IF(41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41-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41-(COUNTIF(ASCOPE_PMESII!$B$3:$B$62,"CC")+COUNTIF(ASCOPE_PMESII!$D$3:$D$62,"CC")+COUNTIF(ASCOPE_PMESII!$F$3:$F$62,"CC")+COUNTIF(ASCOPE_PMESII!$H$3:$H$62,"CC")+COUNTIF(ASCOPE_PMESII!$J$3:$J$62,"CC")))),"")))))),"")</f>
        <v>Atrocity rumours can move populations faster than facts</v>
      </c>
      <c r="Q44" s="21" t="str">
        <f t="array" ref="Q44">IFERROR(IF(41&lt;=COUNTIF(ASCOPE_PMESII!$B$3:$B$62,"CR"),IFERROR(INDEX(ASCOPE_PMESII!$C$3:$C$62,_xlfn.AGGREGATE(15,6,(ROW(ASCOPE_PMESII!$B$3:$B$62)-ROW(ASCOPE_PMESII!$B$3)+1)/(ASCOPE_PMESII!$B$3:$B$62="CR"),41)),""),IF(41&lt;=(COUNTIF(ASCOPE_PMESII!$B$3:$B$62,"CR")+COUNTIF(ASCOPE_PMESII!$D$3:$D$62,"CR")),IFERROR(INDEX(ASCOPE_PMESII!$E$3:$E$62,_xlfn.AGGREGATE(15,6,(ROW(ASCOPE_PMESII!$D$3:$D$62)-ROW(ASCOPE_PMESII!$D$3)+1)/(ASCOPE_PMESII!$D$3:$D$62="CR"),41-(COUNTIF(ASCOPE_PMESII!$B$3:$B$62,"CR")))),""),IF(41&lt;=(COUNTIF(ASCOPE_PMESII!$B$3:$B$62,"CR")+COUNTIF(ASCOPE_PMESII!$D$3:$D$62,"CR")+COUNTIF(ASCOPE_PMESII!$F$3:$F$62,"CR")),IFERROR(INDEX(ASCOPE_PMESII!$G$3:$G$62,_xlfn.AGGREGATE(15,6,(ROW(ASCOPE_PMESII!$F$3:$F$62)-ROW(ASCOPE_PMESII!$F$3)+1)/(ASCOPE_PMESII!$F$3:$F$62="CR"),41-(COUNTIF(ASCOPE_PMESII!$B$3:$B$62,"CR")+COUNTIF(ASCOPE_PMESII!$D$3:$D$62,"CR")))),""),IF(41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41-(COUNTIF(ASCOPE_PMESII!$B$3:$B$62,"CR")+COUNTIF(ASCOPE_PMESII!$D$3:$D$62,"CR")+COUNTIF(ASCOPE_PMESII!$F$3:$F$62,"CR")))),""),IF(41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41-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41-(COUNTIF(ASCOPE_PMESII!$B$3:$B$62,"CR")+COUNTIF(ASCOPE_PMESII!$D$3:$D$62,"CR")+COUNTIF(ASCOPE_PMESII!$F$3:$F$62,"CR")+COUNTIF(ASCOPE_PMESII!$H$3:$H$62,"CR")+COUNTIF(ASCOPE_PMESII!$J$3:$J$62,"CR")))),"")))))),"")</f>
        <v/>
      </c>
      <c r="R44" s="94" t="str">
        <f t="array" ref="R44">IFERROR(IF(41&lt;=COUNTIF(ASCOPE_PMESII!$B$3:$B$62,"PCS"),IFERROR(INDEX(ASCOPE_PMESII!$C$3:$C$62,_xlfn.AGGREGATE(15,6,(ROW(ASCOPE_PMESII!$B$3:$B$62)-ROW(ASCOPE_PMESII!$B$3)+1)/(ASCOPE_PMESII!$B$3:$B$62="PCS"),41)),""),IF(41&lt;=(COUNTIF(ASCOPE_PMESII!$B$3:$B$62,"PCS")+COUNTIF(ASCOPE_PMESII!$D$3:$D$62,"PCS")),IFERROR(INDEX(ASCOPE_PMESII!$E$3:$E$62,_xlfn.AGGREGATE(15,6,(ROW(ASCOPE_PMESII!$D$3:$D$62)-ROW(ASCOPE_PMESII!$D$3)+1)/(ASCOPE_PMESII!$D$3:$D$62="PCS"),41-(COUNTIF(ASCOPE_PMESII!$B$3:$B$62,"PCS")))),""),IF(41&lt;=(COUNTIF(ASCOPE_PMESII!$B$3:$B$62,"PCS")+COUNTIF(ASCOPE_PMESII!$D$3:$D$62,"PCS")+COUNTIF(ASCOPE_PMESII!$F$3:$F$62,"PCS")),IFERROR(INDEX(ASCOPE_PMESII!$G$3:$G$62,_xlfn.AGGREGATE(15,6,(ROW(ASCOPE_PMESII!$F$3:$F$62)-ROW(ASCOPE_PMESII!$F$3)+1)/(ASCOPE_PMESII!$F$3:$F$62="PCS"),41-(COUNTIF(ASCOPE_PMESII!$B$3:$B$62,"PCS")+COUNTIF(ASCOPE_PMESII!$D$3:$D$62,"PCS")))),""),IF(41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41-(COUNTIF(ASCOPE_PMESII!$B$3:$B$62,"PCS")+COUNTIF(ASCOPE_PMESII!$D$3:$D$62,"PCS")+COUNTIF(ASCOPE_PMESII!$F$3:$F$62,"PCS")))),""),IF(41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41-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41-(COUNTIF(ASCOPE_PMESII!$B$3:$B$62,"PCS")+COUNTIF(ASCOPE_PMESII!$D$3:$D$62,"PCS")+COUNTIF(ASCOPE_PMESII!$F$3:$F$62,"PCS")+COUNTIF(ASCOPE_PMESII!$H$3:$H$62,"PCS")+COUNTIF(ASCOPE_PMESII!$J$3:$J$62,"PCS")))),"")))))),"")</f>
        <v/>
      </c>
    </row>
    <row r="45" spans="1:18" ht="34.5" customHeight="1">
      <c r="A45" s="22" t="str">
        <f t="array" ref="A45">IFERROR(IF(42&lt;=COUNTIF(ASCOPE_PMESII!$B$3:$B$62,"OE"),IFERROR(INDEX(ASCOPE_PMESII!$C$3:$C$62,_xlfn.AGGREGATE(15,6,(ROW(ASCOPE_PMESII!$B$3:$B$62)-ROW(ASCOPE_PMESII!$B$3)+1)/(ASCOPE_PMESII!$B$3:$B$62="OE"),42)),""),IF(42&lt;=(COUNTIF(ASCOPE_PMESII!$B$3:$B$62,"OE")+COUNTIF(ASCOPE_PMESII!$D$3:$D$62,"OE")),IFERROR(INDEX(ASCOPE_PMESII!$E$3:$E$62,_xlfn.AGGREGATE(15,6,(ROW(ASCOPE_PMESII!$D$3:$D$62)-ROW(ASCOPE_PMESII!$D$3)+1)/(ASCOPE_PMESII!$D$3:$D$62="OE"),42-(COUNTIF(ASCOPE_PMESII!$B$3:$B$62,"OE")))),""),IF(42&lt;=(COUNTIF(ASCOPE_PMESII!$B$3:$B$62,"OE")+COUNTIF(ASCOPE_PMESII!$D$3:$D$62,"OE")+COUNTIF(ASCOPE_PMESII!$F$3:$F$62,"OE")),IFERROR(INDEX(ASCOPE_PMESII!$G$3:$G$62,_xlfn.AGGREGATE(15,6,(ROW(ASCOPE_PMESII!$F$3:$F$62)-ROW(ASCOPE_PMESII!$F$3)+1)/(ASCOPE_PMESII!$F$3:$F$62="OE"),42-(COUNTIF(ASCOPE_PMESII!$B$3:$B$62,"OE")+COUNTIF(ASCOPE_PMESII!$D$3:$D$62,"OE")))),""),IF(42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42-(COUNTIF(ASCOPE_PMESII!$B$3:$B$62,"OE")+COUNTIF(ASCOPE_PMESII!$D$3:$D$62,"OE")+COUNTIF(ASCOPE_PMESII!$F$3:$F$62,"OE")))),""),IF(42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42-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42-(COUNTIF(ASCOPE_PMESII!$B$3:$B$62,"OE")+COUNTIF(ASCOPE_PMESII!$D$3:$D$62,"OE")+COUNTIF(ASCOPE_PMESII!$F$3:$F$62,"OE")+COUNTIF(ASCOPE_PMESII!$H$3:$H$62,"OE")+COUNTIF(ASCOPE_PMESII!$J$3:$J$62,"OE")))),"")))))),"")</f>
        <v/>
      </c>
      <c r="B45" s="22" t="str">
        <f t="array" ref="B45">IFERROR(IF(42&lt;=COUNTIF(ASCOPE_PMESII!$B$3:$B$62,"OA"),IFERROR(INDEX(ASCOPE_PMESII!$C$3:$C$62,_xlfn.AGGREGATE(15,6,(ROW(ASCOPE_PMESII!$B$3:$B$62)-ROW(ASCOPE_PMESII!$B$3)+1)/(ASCOPE_PMESII!$B$3:$B$62="OA"),42)),""),IF(42&lt;=(COUNTIF(ASCOPE_PMESII!$B$3:$B$62,"OA")+COUNTIF(ASCOPE_PMESII!$D$3:$D$62,"OA")),IFERROR(INDEX(ASCOPE_PMESII!$E$3:$E$62,_xlfn.AGGREGATE(15,6,(ROW(ASCOPE_PMESII!$D$3:$D$62)-ROW(ASCOPE_PMESII!$D$3)+1)/(ASCOPE_PMESII!$D$3:$D$62="OA"),42-(COUNTIF(ASCOPE_PMESII!$B$3:$B$62,"OA")))),""),IF(42&lt;=(COUNTIF(ASCOPE_PMESII!$B$3:$B$62,"OA")+COUNTIF(ASCOPE_PMESII!$D$3:$D$62,"OA")+COUNTIF(ASCOPE_PMESII!$F$3:$F$62,"OA")),IFERROR(INDEX(ASCOPE_PMESII!$G$3:$G$62,_xlfn.AGGREGATE(15,6,(ROW(ASCOPE_PMESII!$F$3:$F$62)-ROW(ASCOPE_PMESII!$F$3)+1)/(ASCOPE_PMESII!$F$3:$F$62="OA"),42-(COUNTIF(ASCOPE_PMESII!$B$3:$B$62,"OA")+COUNTIF(ASCOPE_PMESII!$D$3:$D$62,"OA")))),""),IF(42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42-(COUNTIF(ASCOPE_PMESII!$B$3:$B$62,"OA")+COUNTIF(ASCOPE_PMESII!$D$3:$D$62,"OA")+COUNTIF(ASCOPE_PMESII!$F$3:$F$62,"OA")))),""),IF(42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42-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42-(COUNTIF(ASCOPE_PMESII!$B$3:$B$62,"OA")+COUNTIF(ASCOPE_PMESII!$D$3:$D$62,"OA")+COUNTIF(ASCOPE_PMESII!$F$3:$F$62,"OA")+COUNTIF(ASCOPE_PMESII!$H$3:$H$62,"OA")+COUNTIF(ASCOPE_PMESII!$J$3:$J$62,"OA")))),"")))))),"")</f>
        <v/>
      </c>
      <c r="C45" s="22" t="str">
        <f t="array" ref="C45">IFERROR(IF(42&lt;=COUNTIF(ASCOPE_PMESII!$B$3:$B$62,"RISK"),IFERROR(INDEX(ASCOPE_PMESII!$C$3:$C$62,_xlfn.AGGREGATE(15,6,(ROW(ASCOPE_PMESII!$B$3:$B$62)-ROW(ASCOPE_PMESII!$B$3)+1)/(ASCOPE_PMESII!$B$3:$B$62="RISK"),42)),""),IF(42&lt;=(COUNTIF(ASCOPE_PMESII!$B$3:$B$62,"RISK")+COUNTIF(ASCOPE_PMESII!$D$3:$D$62,"RISK")),IFERROR(INDEX(ASCOPE_PMESII!$E$3:$E$62,_xlfn.AGGREGATE(15,6,(ROW(ASCOPE_PMESII!$D$3:$D$62)-ROW(ASCOPE_PMESII!$D$3)+1)/(ASCOPE_PMESII!$D$3:$D$62="RISK"),42-(COUNTIF(ASCOPE_PMESII!$B$3:$B$62,"RISK")))),""),IF(42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42-(COUNTIF(ASCOPE_PMESII!$B$3:$B$62,"RISK")+COUNTIF(ASCOPE_PMESII!$D$3:$D$62,"RISK")))),""),IF(42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42-(COUNTIF(ASCOPE_PMESII!$B$3:$B$62,"RISK")+COUNTIF(ASCOPE_PMESII!$D$3:$D$62,"RISK")+COUNTIF(ASCOPE_PMESII!$F$3:$F$62,"RISK")))),""),IF(42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42-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42-(COUNTIF(ASCOPE_PMESII!$B$3:$B$62,"RISK")+COUNTIF(ASCOPE_PMESII!$D$3:$D$62,"RISK")+COUNTIF(ASCOPE_PMESII!$F$3:$F$62,"RISK")+COUNTIF(ASCOPE_PMESII!$H$3:$H$62,"RISK")+COUNTIF(ASCOPE_PMESII!$J$3:$J$62,"RISK")))),"")))))),"")</f>
        <v/>
      </c>
      <c r="D45" s="22" t="str">
        <f t="array" ref="D45">IFERROR(IF(42&lt;=COUNTIF(ASCOPE_PMESII!$B$3:$B$62,"CV"),IFERROR(INDEX(ASCOPE_PMESII!$C$3:$C$62,_xlfn.AGGREGATE(15,6,(ROW(ASCOPE_PMESII!$B$3:$B$62)-ROW(ASCOPE_PMESII!$B$3)+1)/(ASCOPE_PMESII!$B$3:$B$62="CV"),42)),""),IF(42&lt;=(COUNTIF(ASCOPE_PMESII!$B$3:$B$62,"CV")+COUNTIF(ASCOPE_PMESII!$D$3:$D$62,"CV")),IFERROR(INDEX(ASCOPE_PMESII!$E$3:$E$62,_xlfn.AGGREGATE(15,6,(ROW(ASCOPE_PMESII!$D$3:$D$62)-ROW(ASCOPE_PMESII!$D$3)+1)/(ASCOPE_PMESII!$D$3:$D$62="CV"),42-(COUNTIF(ASCOPE_PMESII!$B$3:$B$62,"CV")))),""),IF(42&lt;=(COUNTIF(ASCOPE_PMESII!$B$3:$B$62,"CV")+COUNTIF(ASCOPE_PMESII!$D$3:$D$62,"CV")+COUNTIF(ASCOPE_PMESII!$F$3:$F$62,"CV")),IFERROR(INDEX(ASCOPE_PMESII!$G$3:$G$62,_xlfn.AGGREGATE(15,6,(ROW(ASCOPE_PMESII!$F$3:$F$62)-ROW(ASCOPE_PMESII!$F$3)+1)/(ASCOPE_PMESII!$F$3:$F$62="CV"),42-(COUNTIF(ASCOPE_PMESII!$B$3:$B$62,"CV")+COUNTIF(ASCOPE_PMESII!$D$3:$D$62,"CV")))),""),IF(42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42-(COUNTIF(ASCOPE_PMESII!$B$3:$B$62,"CV")+COUNTIF(ASCOPE_PMESII!$D$3:$D$62,"CV")+COUNTIF(ASCOPE_PMESII!$F$3:$F$62,"CV")))),""),IF(42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42-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42-(COUNTIF(ASCOPE_PMESII!$B$3:$B$62,"CV")+COUNTIF(ASCOPE_PMESII!$D$3:$D$62,"CV")+COUNTIF(ASCOPE_PMESII!$F$3:$F$62,"CV")+COUNTIF(ASCOPE_PMESII!$H$3:$H$62,"CV")+COUNTIF(ASCOPE_PMESII!$J$3:$J$62,"CV")))),"")))))),"")</f>
        <v>One message fails across all audiences</v>
      </c>
      <c r="E45" s="22" t="str">
        <f t="array" ref="E45">IFERROR(IF(42&lt;=COUNTIF(ASCOPE_PMESII!$B$3:$B$62,"COR"),IFERROR(INDEX(ASCOPE_PMESII!$C$3:$C$62,_xlfn.AGGREGATE(15,6,(ROW(ASCOPE_PMESII!$B$3:$B$62)-ROW(ASCOPE_PMESII!$B$3)+1)/(ASCOPE_PMESII!$B$3:$B$62="COR"),42)),""),IF(42&lt;=(COUNTIF(ASCOPE_PMESII!$B$3:$B$62,"COR")+COUNTIF(ASCOPE_PMESII!$D$3:$D$62,"COR")),IFERROR(INDEX(ASCOPE_PMESII!$E$3:$E$62,_xlfn.AGGREGATE(15,6,(ROW(ASCOPE_PMESII!$D$3:$D$62)-ROW(ASCOPE_PMESII!$D$3)+1)/(ASCOPE_PMESII!$D$3:$D$62="COR"),42-(COUNTIF(ASCOPE_PMESII!$B$3:$B$62,"COR")))),""),IF(42&lt;=(COUNTIF(ASCOPE_PMESII!$B$3:$B$62,"COR")+COUNTIF(ASCOPE_PMESII!$D$3:$D$62,"COR")+COUNTIF(ASCOPE_PMESII!$F$3:$F$62,"COR")),IFERROR(INDEX(ASCOPE_PMESII!$G$3:$G$62,_xlfn.AGGREGATE(15,6,(ROW(ASCOPE_PMESII!$F$3:$F$62)-ROW(ASCOPE_PMESII!$F$3)+1)/(ASCOPE_PMESII!$F$3:$F$62="COR"),42-(COUNTIF(ASCOPE_PMESII!$B$3:$B$62,"COR")+COUNTIF(ASCOPE_PMESII!$D$3:$D$62,"COR")))),""),IF(42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42-(COUNTIF(ASCOPE_PMESII!$B$3:$B$62,"COR")+COUNTIF(ASCOPE_PMESII!$D$3:$D$62,"COR")+COUNTIF(ASCOPE_PMESII!$F$3:$F$62,"COR")))),""),IF(42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42-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42-(COUNTIF(ASCOPE_PMESII!$B$3:$B$62,"COR")+COUNTIF(ASCOPE_PMESII!$D$3:$D$62,"COR")+COUNTIF(ASCOPE_PMESII!$F$3:$F$62,"COR")+COUNTIF(ASCOPE_PMESII!$H$3:$H$62,"COR")+COUNTIF(ASCOPE_PMESII!$J$3:$J$62,"COR")))),"")))))),"")</f>
        <v/>
      </c>
      <c r="F45" s="22" t="str">
        <f t="array" ref="F45">IFERROR(IF(42&lt;=COUNTIF(ASCOPE_PMESII!$B$3:$B$62,"REQT"),IFERROR(INDEX(ASCOPE_PMESII!$C$3:$C$62,_xlfn.AGGREGATE(15,6,(ROW(ASCOPE_PMESII!$B$3:$B$62)-ROW(ASCOPE_PMESII!$B$3)+1)/(ASCOPE_PMESII!$B$3:$B$62="REQT"),42)),""),IF(42&lt;=(COUNTIF(ASCOPE_PMESII!$B$3:$B$62,"REQT")+COUNTIF(ASCOPE_PMESII!$D$3:$D$62,"REQT")),IFERROR(INDEX(ASCOPE_PMESII!$E$3:$E$62,_xlfn.AGGREGATE(15,6,(ROW(ASCOPE_PMESII!$D$3:$D$62)-ROW(ASCOPE_PMESII!$D$3)+1)/(ASCOPE_PMESII!$D$3:$D$62="REQT"),42-(COUNTIF(ASCOPE_PMESII!$B$3:$B$62,"REQT")))),""),IF(42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42-(COUNTIF(ASCOPE_PMESII!$B$3:$B$62,"REQT")+COUNTIF(ASCOPE_PMESII!$D$3:$D$62,"REQT")))),""),IF(42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42-(COUNTIF(ASCOPE_PMESII!$B$3:$B$62,"REQT")+COUNTIF(ASCOPE_PMESII!$D$3:$D$62,"REQT")+COUNTIF(ASCOPE_PMESII!$F$3:$F$62,"REQT")))),""),IF(42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42-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42-(COUNTIF(ASCOPE_PMESII!$B$3:$B$62,"REQT")+COUNTIF(ASCOPE_PMESII!$D$3:$D$62,"REQT")+COUNTIF(ASCOPE_PMESII!$F$3:$F$62,"REQT")+COUNTIF(ASCOPE_PMESII!$H$3:$H$62,"REQT")+COUNTIF(ASCOPE_PMESII!$J$3:$J$62,"REQT")))),"")))))),"")</f>
        <v/>
      </c>
      <c r="G45" s="22" t="str">
        <f t="array" ref="G45">IFERROR(IF(42&lt;=COUNTIF(ASCOPE_PMESII!$B$3:$B$62,"REST"),IFERROR(INDEX(ASCOPE_PMESII!$C$3:$C$62,_xlfn.AGGREGATE(15,6,(ROW(ASCOPE_PMESII!$B$3:$B$62)-ROW(ASCOPE_PMESII!$B$3)+1)/(ASCOPE_PMESII!$B$3:$B$62="REST"),42)),""),IF(42&lt;=(COUNTIF(ASCOPE_PMESII!$B$3:$B$62,"REST")+COUNTIF(ASCOPE_PMESII!$D$3:$D$62,"REST")),IFERROR(INDEX(ASCOPE_PMESII!$E$3:$E$62,_xlfn.AGGREGATE(15,6,(ROW(ASCOPE_PMESII!$D$3:$D$62)-ROW(ASCOPE_PMESII!$D$3)+1)/(ASCOPE_PMESII!$D$3:$D$62="REST"),42-(COUNTIF(ASCOPE_PMESII!$B$3:$B$62,"REST")))),""),IF(42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42-(COUNTIF(ASCOPE_PMESII!$B$3:$B$62,"REST")+COUNTIF(ASCOPE_PMESII!$D$3:$D$62,"REST")))),""),IF(42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42-(COUNTIF(ASCOPE_PMESII!$B$3:$B$62,"REST")+COUNTIF(ASCOPE_PMESII!$D$3:$D$62,"REST")+COUNTIF(ASCOPE_PMESII!$F$3:$F$62,"REST")))),""),IF(42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42-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42-(COUNTIF(ASCOPE_PMESII!$B$3:$B$62,"REST")+COUNTIF(ASCOPE_PMESII!$D$3:$D$62,"REST")+COUNTIF(ASCOPE_PMESII!$F$3:$F$62,"REST")+COUNTIF(ASCOPE_PMESII!$H$3:$H$62,"REST")+COUNTIF(ASCOPE_PMESII!$J$3:$J$62,"REST")))),"")))))),"")</f>
        <v/>
      </c>
      <c r="H45" s="22" t="str">
        <f t="array" ref="H45">IFERROR(IF(42&lt;=COUNTIF(ASCOPE_PMESII!$B$3:$B$62,"KCD-MUST"),IFERROR(INDEX(ASCOPE_PMESII!$C$3:$C$62,_xlfn.AGGREGATE(15,6,(ROW(ASCOPE_PMESII!$B$3:$B$62)-ROW(ASCOPE_PMESII!$B$3)+1)/(ASCOPE_PMESII!$B$3:$B$62="KCD-MUST"),42)),""),IF(42&lt;=(COUNTIF(ASCOPE_PMESII!$B$3:$B$62,"KCD-MUST")+COUNTIF(ASCOPE_PMESII!$D$3:$D$62,"KCD-MUST")),IFERROR(INDEX(ASCOPE_PMESII!$E$3:$E$62,_xlfn.AGGREGATE(15,6,(ROW(ASCOPE_PMESII!$D$3:$D$62)-ROW(ASCOPE_PMESII!$D$3)+1)/(ASCOPE_PMESII!$D$3:$D$62="KCD-MUST"),42-(COUNTIF(ASCOPE_PMESII!$B$3:$B$62,"KCD-MUST")))),""),IF(42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42-(COUNTIF(ASCOPE_PMESII!$B$3:$B$62,"KCD-MUST")+COUNTIF(ASCOPE_PMESII!$D$3:$D$62,"KCD-MUST")))),""),IF(42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42-(COUNTIF(ASCOPE_PMESII!$B$3:$B$62,"KCD-MUST")+COUNTIF(ASCOPE_PMESII!$D$3:$D$62,"KCD-MUST")+COUNTIF(ASCOPE_PMESII!$F$3:$F$62,"KCD-MUST")))),""),IF(42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42-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42-(COUNTIF(ASCOPE_PMESII!$B$3:$B$62,"KCD-MUST")+COUNTIF(ASCOPE_PMESII!$D$3:$D$62,"KCD-MUST")+COUNTIF(ASCOPE_PMESII!$F$3:$F$62,"KCD-MUST")+COUNTIF(ASCOPE_PMESII!$H$3:$H$62,"KCD-MUST")+COUNTIF(ASCOPE_PMESII!$J$3:$J$62,"KCD-MUST")))),"")))))),"")</f>
        <v/>
      </c>
      <c r="I45" s="22" t="str">
        <f t="array" ref="I45">IFERROR(IF(42&lt;=COUNTIF(ASCOPE_PMESII!$B$3:$B$62,"KCD-SHOULD"),IFERROR(INDEX(ASCOPE_PMESII!$C$3:$C$62,_xlfn.AGGREGATE(15,6,(ROW(ASCOPE_PMESII!$B$3:$B$62)-ROW(ASCOPE_PMESII!$B$3)+1)/(ASCOPE_PMESII!$B$3:$B$62="KCD-SHOULD"),42)),""),IF(42&lt;=(COUNTIF(ASCOPE_PMESII!$B$3:$B$62,"KCD-SHOULD")+COUNTIF(ASCOPE_PMESII!$D$3:$D$62,"KCD-SHOULD")),IFERROR(INDEX(ASCOPE_PMESII!$E$3:$E$62,_xlfn.AGGREGATE(15,6,(ROW(ASCOPE_PMESII!$D$3:$D$62)-ROW(ASCOPE_PMESII!$D$3)+1)/(ASCOPE_PMESII!$D$3:$D$62="KCD-SHOULD"),42-(COUNTIF(ASCOPE_PMESII!$B$3:$B$62,"KCD-SHOULD")))),""),IF(42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42-(COUNTIF(ASCOPE_PMESII!$B$3:$B$62,"KCD-SHOULD")+COUNTIF(ASCOPE_PMESII!$D$3:$D$62,"KCD-SHOULD")))),""),IF(42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42-(COUNTIF(ASCOPE_PMESII!$B$3:$B$62,"KCD-SHOULD")+COUNTIF(ASCOPE_PMESII!$D$3:$D$62,"KCD-SHOULD")+COUNTIF(ASCOPE_PMESII!$F$3:$F$62,"KCD-SHOULD")))),""),IF(42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42-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42-(COUNTIF(ASCOPE_PMESII!$B$3:$B$62,"KCD-SHOULD")+COUNTIF(ASCOPE_PMESII!$D$3:$D$62,"KCD-SHOULD")+COUNTIF(ASCOPE_PMESII!$F$3:$F$62,"KCD-SHOULD")+COUNTIF(ASCOPE_PMESII!$H$3:$H$62,"KCD-SHOULD")+COUNTIF(ASCOPE_PMESII!$J$3:$J$62,"KCD-SHOULD")))),"")))))),"")</f>
        <v/>
      </c>
      <c r="J45" s="22" t="str">
        <f t="array" ref="J45">IFERROR(IF(42&lt;=COUNTIF(ASCOPE_PMESII!$B$3:$B$62,"KCD-SHOULD NOT"),IFERROR(INDEX(ASCOPE_PMESII!$C$3:$C$62,_xlfn.AGGREGATE(15,6,(ROW(ASCOPE_PMESII!$B$3:$B$62)-ROW(ASCOPE_PMESII!$B$3)+1)/(ASCOPE_PMESII!$B$3:$B$62="KCD-SHOULD NOT"),42)),""),IF(42&lt;=(COUNTIF(ASCOPE_PMESII!$B$3:$B$62,"KCD-SHOULD NOT")+COUNTIF(ASCOPE_PMESII!$D$3:$D$62,"KCD-SHOULD NOT")),IFERROR(INDEX(ASCOPE_PMESII!$E$3:$E$62,_xlfn.AGGREGATE(15,6,(ROW(ASCOPE_PMESII!$D$3:$D$62)-ROW(ASCOPE_PMESII!$D$3)+1)/(ASCOPE_PMESII!$D$3:$D$62="KCD-SHOULD NOT"),42-(COUNTIF(ASCOPE_PMESII!$B$3:$B$62,"KCD-SHOULD NOT")))),""),IF(42&lt;=(COUNTIF(ASCOPE_PMESII!$B$3:$B$62,"KCD-SHOULD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NOT"),42-(COUNTIF(ASCOPE_PMESII!$B$3:$B$62,"KCD-SHOULD NOT")+COUNTIF(ASCOPE_PMESII!$D$3:$D$62,"KCD-SHOULD NOT")))),""),IF(42&lt;=(COUNTIF(ASCOPE_PMESII!$B$3:$B$62,"KCD-SHOULD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NOT"),42-(COUNTIF(ASCOPE_PMESII!$B$3:$B$62,"KCD-SHOULD NOT")+COUNTIF(ASCOPE_PMESII!$D$3:$D$62,"KCD-SHOULD NOT")+COUNTIF(ASCOPE_PMESII!$F$3:$F$62,"KCD-SHOULD NOT")))),""),IF(42&lt;=(COUNTIF(ASCOPE_PMESII!$B$3:$B$62,"KCD-SHOULD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NOT"),42-(COUNTIF(ASCOPE_PMESII!$B$3:$B$62,"KCD-SHOULD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NOT"),42-(COUNTIF(ASCOPE_PMESII!$B$3:$B$62,"KCD-SHOULD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45" s="22" t="str">
        <f t="array" ref="K45">IFERROR(IF(42&lt;=COUNTIF(ASCOPE_PMESII!$B$3:$B$62,"KCD-CANNOT"),IFERROR(INDEX(ASCOPE_PMESII!$C$3:$C$62,_xlfn.AGGREGATE(15,6,(ROW(ASCOPE_PMESII!$B$3:$B$62)-ROW(ASCOPE_PMESII!$B$3)+1)/(ASCOPE_PMESII!$B$3:$B$62="KCD-CANNOT"),42)),""),IF(42&lt;=(COUNTIF(ASCOPE_PMESII!$B$3:$B$62,"KCD-CANNOT")+COUNTIF(ASCOPE_PMESII!$D$3:$D$62,"KCD-CANNOT")),IFERROR(INDEX(ASCOPE_PMESII!$E$3:$E$62,_xlfn.AGGREGATE(15,6,(ROW(ASCOPE_PMESII!$D$3:$D$62)-ROW(ASCOPE_PMESII!$D$3)+1)/(ASCOPE_PMESII!$D$3:$D$62="KCD-CANNOT"),42-(COUNTIF(ASCOPE_PMESII!$B$3:$B$62,"KCD-CANNOT")))),""),IF(42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42-(COUNTIF(ASCOPE_PMESII!$B$3:$B$62,"KCD-CANNOT")+COUNTIF(ASCOPE_PMESII!$D$3:$D$62,"KCD-CANNOT")))),""),IF(42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42-(COUNTIF(ASCOPE_PMESII!$B$3:$B$62,"KCD-CANNOT")+COUNTIF(ASCOPE_PMESII!$D$3:$D$62,"KCD-CANNOT")+COUNTIF(ASCOPE_PMESII!$F$3:$F$62,"KCD-CANNOT")))),""),IF(42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42-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42-(COUNTIF(ASCOPE_PMESII!$B$3:$B$62,"KCD-CANNOT")+COUNTIF(ASCOPE_PMESII!$D$3:$D$62,"KCD-CANNOT")+COUNTIF(ASCOPE_PMESII!$F$3:$F$62,"KCD-CANNOT")+COUNTIF(ASCOPE_PMESII!$H$3:$H$62,"KCD-CANNOT")+COUNTIF(ASCOPE_PMESII!$J$3:$J$62,"KCD-CANNOT")))),"")))))),"")</f>
        <v/>
      </c>
      <c r="L45" s="22" t="str">
        <f t="array" ref="L45">IFERROR(IF(42&lt;=COUNTIF(ASCOPE_PMESII!$B$3:$B$62,"DECISION"),IFERROR(INDEX(ASCOPE_PMESII!$C$3:$C$62,_xlfn.AGGREGATE(15,6,(ROW(ASCOPE_PMESII!$B$3:$B$62)-ROW(ASCOPE_PMESII!$B$3)+1)/(ASCOPE_PMESII!$B$3:$B$62="DECISION"),42)),""),IF(42&lt;=(COUNTIF(ASCOPE_PMESII!$B$3:$B$62,"DECISION")+COUNTIF(ASCOPE_PMESII!$D$3:$D$62,"DECISION")),IFERROR(INDEX(ASCOPE_PMESII!$E$3:$E$62,_xlfn.AGGREGATE(15,6,(ROW(ASCOPE_PMESII!$D$3:$D$62)-ROW(ASCOPE_PMESII!$D$3)+1)/(ASCOPE_PMESII!$D$3:$D$62="DECISION"),42-(COUNTIF(ASCOPE_PMESII!$B$3:$B$62,"DECISION")))),""),IF(42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42-(COUNTIF(ASCOPE_PMESII!$B$3:$B$62,"DECISION")+COUNTIF(ASCOPE_PMESII!$D$3:$D$62,"DECISION")))),""),IF(42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42-(COUNTIF(ASCOPE_PMESII!$B$3:$B$62,"DECISION")+COUNTIF(ASCOPE_PMESII!$D$3:$D$62,"DECISION")+COUNTIF(ASCOPE_PMESII!$F$3:$F$62,"DECISION")))),""),IF(42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42-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42-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45" s="22" t="str">
        <f t="array" ref="M45">IFERROR(IF(42&lt;=COUNTIF(ASCOPE_PMESII!$B$3:$B$62,"ASSUMPTION"),IFERROR(INDEX(ASCOPE_PMESII!$C$3:$C$62,_xlfn.AGGREGATE(15,6,(ROW(ASCOPE_PMESII!$B$3:$B$62)-ROW(ASCOPE_PMESII!$B$3)+1)/(ASCOPE_PMESII!$B$3:$B$62="ASSUMPTION"),42)),""),IF(42&lt;=(COUNTIF(ASCOPE_PMESII!$B$3:$B$62,"ASSUMPTION")+COUNTIF(ASCOPE_PMESII!$D$3:$D$62,"ASSUMPTION")),IFERROR(INDEX(ASCOPE_PMESII!$E$3:$E$62,_xlfn.AGGREGATE(15,6,(ROW(ASCOPE_PMESII!$D$3:$D$62)-ROW(ASCOPE_PMESII!$D$3)+1)/(ASCOPE_PMESII!$D$3:$D$62="ASSUMPTION"),42-(COUNTIF(ASCOPE_PMESII!$B$3:$B$62,"ASSUMPTION")))),""),IF(42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42-(COUNTIF(ASCOPE_PMESII!$B$3:$B$62,"ASSUMPTION")+COUNTIF(ASCOPE_PMESII!$D$3:$D$62,"ASSUMPTION")))),""),IF(42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42-(COUNTIF(ASCOPE_PMESII!$B$3:$B$62,"ASSUMPTION")+COUNTIF(ASCOPE_PMESII!$D$3:$D$62,"ASSUMPTION")+COUNTIF(ASCOPE_PMESII!$F$3:$F$62,"ASSUMPTION")))),""),IF(42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42-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42-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45" s="22" t="str">
        <f t="array" ref="N45">IFERROR(IF(42&lt;=COUNTIF(ASCOPE_PMESII!$B$3:$B$62,"CONSTRAINT"),IFERROR(INDEX(ASCOPE_PMESII!$C$3:$C$62,_xlfn.AGGREGATE(15,6,(ROW(ASCOPE_PMESII!$B$3:$B$62)-ROW(ASCOPE_PMESII!$B$3)+1)/(ASCOPE_PMESII!$B$3:$B$62="CONSTRAINT"),42)),""),IF(42&lt;=(COUNTIF(ASCOPE_PMESII!$B$3:$B$62,"CONSTRAINT")+COUNTIF(ASCOPE_PMESII!$D$3:$D$62,"CONSTRAINT")),IFERROR(INDEX(ASCOPE_PMESII!$E$3:$E$62,_xlfn.AGGREGATE(15,6,(ROW(ASCOPE_PMESII!$D$3:$D$62)-ROW(ASCOPE_PMESII!$D$3)+1)/(ASCOPE_PMESII!$D$3:$D$62="CONSTRAINT"),42-(COUNTIF(ASCOPE_PMESII!$B$3:$B$62,"CONSTRAINT")))),""),IF(42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42-(COUNTIF(ASCOPE_PMESII!$B$3:$B$62,"CONSTRAINT")+COUNTIF(ASCOPE_PMESII!$D$3:$D$62,"CONSTRAINT")))),""),IF(42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42-(COUNTIF(ASCOPE_PMESII!$B$3:$B$62,"CONSTRAINT")+COUNTIF(ASCOPE_PMESII!$D$3:$D$62,"CONSTRAINT")+COUNTIF(ASCOPE_PMESII!$F$3:$F$62,"CONSTRAINT")))),""),IF(42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42-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42-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45" s="22" t="str">
        <f t="array" ref="O45">IFERROR(IF(42&lt;=COUNTIF(ASCOPE_PMESII!$B$3:$B$62,"LIMITATION"),IFERROR(INDEX(ASCOPE_PMESII!$C$3:$C$62,_xlfn.AGGREGATE(15,6,(ROW(ASCOPE_PMESII!$B$3:$B$62)-ROW(ASCOPE_PMESII!$B$3)+1)/(ASCOPE_PMESII!$B$3:$B$62="LIMITATION"),42)),""),IF(42&lt;=(COUNTIF(ASCOPE_PMESII!$B$3:$B$62,"LIMITATION")+COUNTIF(ASCOPE_PMESII!$D$3:$D$62,"LIMITATION")),IFERROR(INDEX(ASCOPE_PMESII!$E$3:$E$62,_xlfn.AGGREGATE(15,6,(ROW(ASCOPE_PMESII!$D$3:$D$62)-ROW(ASCOPE_PMESII!$D$3)+1)/(ASCOPE_PMESII!$D$3:$D$62="LIMITATION"),42-(COUNTIF(ASCOPE_PMESII!$B$3:$B$62,"LIMITATION")))),""),IF(42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42-(COUNTIF(ASCOPE_PMESII!$B$3:$B$62,"LIMITATION")+COUNTIF(ASCOPE_PMESII!$D$3:$D$62,"LIMITATION")))),""),IF(42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42-(COUNTIF(ASCOPE_PMESII!$B$3:$B$62,"LIMITATION")+COUNTIF(ASCOPE_PMESII!$D$3:$D$62,"LIMITATION")+COUNTIF(ASCOPE_PMESII!$F$3:$F$62,"LIMITATION")))),""),IF(42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42-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42-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45" s="22" t="str">
        <f t="array" ref="P45">IFERROR(IF(42&lt;=COUNTIF(ASCOPE_PMESII!$B$3:$B$62,"CC"),IFERROR(INDEX(ASCOPE_PMESII!$C$3:$C$62,_xlfn.AGGREGATE(15,6,(ROW(ASCOPE_PMESII!$B$3:$B$62)-ROW(ASCOPE_PMESII!$B$3)+1)/(ASCOPE_PMESII!$B$3:$B$62="CC"),42)),""),IF(42&lt;=(COUNTIF(ASCOPE_PMESII!$B$3:$B$62,"CC")+COUNTIF(ASCOPE_PMESII!$D$3:$D$62,"CC")),IFERROR(INDEX(ASCOPE_PMESII!$E$3:$E$62,_xlfn.AGGREGATE(15,6,(ROW(ASCOPE_PMESII!$D$3:$D$62)-ROW(ASCOPE_PMESII!$D$3)+1)/(ASCOPE_PMESII!$D$3:$D$62="CC"),42-(COUNTIF(ASCOPE_PMESII!$B$3:$B$62,"CC")))),""),IF(42&lt;=(COUNTIF(ASCOPE_PMESII!$B$3:$B$62,"CC")+COUNTIF(ASCOPE_PMESII!$D$3:$D$62,"CC")+COUNTIF(ASCOPE_PMESII!$F$3:$F$62,"CC")),IFERROR(INDEX(ASCOPE_PMESII!$G$3:$G$62,_xlfn.AGGREGATE(15,6,(ROW(ASCOPE_PMESII!$F$3:$F$62)-ROW(ASCOPE_PMESII!$F$3)+1)/(ASCOPE_PMESII!$F$3:$F$62="CC"),42-(COUNTIF(ASCOPE_PMESII!$B$3:$B$62,"CC")+COUNTIF(ASCOPE_PMESII!$D$3:$D$62,"CC")))),""),IF(42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42-(COUNTIF(ASCOPE_PMESII!$B$3:$B$62,"CC")+COUNTIF(ASCOPE_PMESII!$D$3:$D$62,"CC")+COUNTIF(ASCOPE_PMESII!$F$3:$F$62,"CC")))),""),IF(42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42-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42-(COUNTIF(ASCOPE_PMESII!$B$3:$B$62,"CC")+COUNTIF(ASCOPE_PMESII!$D$3:$D$62,"CC")+COUNTIF(ASCOPE_PMESII!$F$3:$F$62,"CC")+COUNTIF(ASCOPE_PMESII!$H$3:$H$62,"CC")+COUNTIF(ASCOPE_PMESII!$J$3:$J$62,"CC")))),"")))))),"")</f>
        <v>Infrastructure sabotage likely when IRS loses nodes</v>
      </c>
      <c r="Q45" s="22" t="str">
        <f t="array" ref="Q45">IFERROR(IF(42&lt;=COUNTIF(ASCOPE_PMESII!$B$3:$B$62,"CR"),IFERROR(INDEX(ASCOPE_PMESII!$C$3:$C$62,_xlfn.AGGREGATE(15,6,(ROW(ASCOPE_PMESII!$B$3:$B$62)-ROW(ASCOPE_PMESII!$B$3)+1)/(ASCOPE_PMESII!$B$3:$B$62="CR"),42)),""),IF(42&lt;=(COUNTIF(ASCOPE_PMESII!$B$3:$B$62,"CR")+COUNTIF(ASCOPE_PMESII!$D$3:$D$62,"CR")),IFERROR(INDEX(ASCOPE_PMESII!$E$3:$E$62,_xlfn.AGGREGATE(15,6,(ROW(ASCOPE_PMESII!$D$3:$D$62)-ROW(ASCOPE_PMESII!$D$3)+1)/(ASCOPE_PMESII!$D$3:$D$62="CR"),42-(COUNTIF(ASCOPE_PMESII!$B$3:$B$62,"CR")))),""),IF(42&lt;=(COUNTIF(ASCOPE_PMESII!$B$3:$B$62,"CR")+COUNTIF(ASCOPE_PMESII!$D$3:$D$62,"CR")+COUNTIF(ASCOPE_PMESII!$F$3:$F$62,"CR")),IFERROR(INDEX(ASCOPE_PMESII!$G$3:$G$62,_xlfn.AGGREGATE(15,6,(ROW(ASCOPE_PMESII!$F$3:$F$62)-ROW(ASCOPE_PMESII!$F$3)+1)/(ASCOPE_PMESII!$F$3:$F$62="CR"),42-(COUNTIF(ASCOPE_PMESII!$B$3:$B$62,"CR")+COUNTIF(ASCOPE_PMESII!$D$3:$D$62,"CR")))),""),IF(42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42-(COUNTIF(ASCOPE_PMESII!$B$3:$B$62,"CR")+COUNTIF(ASCOPE_PMESII!$D$3:$D$62,"CR")+COUNTIF(ASCOPE_PMESII!$F$3:$F$62,"CR")))),""),IF(42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42-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42-(COUNTIF(ASCOPE_PMESII!$B$3:$B$62,"CR")+COUNTIF(ASCOPE_PMESII!$D$3:$D$62,"CR")+COUNTIF(ASCOPE_PMESII!$F$3:$F$62,"CR")+COUNTIF(ASCOPE_PMESII!$H$3:$H$62,"CR")+COUNTIF(ASCOPE_PMESII!$J$3:$J$62,"CR")))),"")))))),"")</f>
        <v/>
      </c>
      <c r="R45" s="95" t="str">
        <f t="array" ref="R45">IFERROR(IF(42&lt;=COUNTIF(ASCOPE_PMESII!$B$3:$B$62,"PCS"),IFERROR(INDEX(ASCOPE_PMESII!$C$3:$C$62,_xlfn.AGGREGATE(15,6,(ROW(ASCOPE_PMESII!$B$3:$B$62)-ROW(ASCOPE_PMESII!$B$3)+1)/(ASCOPE_PMESII!$B$3:$B$62="PCS"),42)),""),IF(42&lt;=(COUNTIF(ASCOPE_PMESII!$B$3:$B$62,"PCS")+COUNTIF(ASCOPE_PMESII!$D$3:$D$62,"PCS")),IFERROR(INDEX(ASCOPE_PMESII!$E$3:$E$62,_xlfn.AGGREGATE(15,6,(ROW(ASCOPE_PMESII!$D$3:$D$62)-ROW(ASCOPE_PMESII!$D$3)+1)/(ASCOPE_PMESII!$D$3:$D$62="PCS"),42-(COUNTIF(ASCOPE_PMESII!$B$3:$B$62,"PCS")))),""),IF(42&lt;=(COUNTIF(ASCOPE_PMESII!$B$3:$B$62,"PCS")+COUNTIF(ASCOPE_PMESII!$D$3:$D$62,"PCS")+COUNTIF(ASCOPE_PMESII!$F$3:$F$62,"PCS")),IFERROR(INDEX(ASCOPE_PMESII!$G$3:$G$62,_xlfn.AGGREGATE(15,6,(ROW(ASCOPE_PMESII!$F$3:$F$62)-ROW(ASCOPE_PMESII!$F$3)+1)/(ASCOPE_PMESII!$F$3:$F$62="PCS"),42-(COUNTIF(ASCOPE_PMESII!$B$3:$B$62,"PCS")+COUNTIF(ASCOPE_PMESII!$D$3:$D$62,"PCS")))),""),IF(42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42-(COUNTIF(ASCOPE_PMESII!$B$3:$B$62,"PCS")+COUNTIF(ASCOPE_PMESII!$D$3:$D$62,"PCS")+COUNTIF(ASCOPE_PMESII!$F$3:$F$62,"PCS")))),""),IF(42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42-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42-(COUNTIF(ASCOPE_PMESII!$B$3:$B$62,"PCS")+COUNTIF(ASCOPE_PMESII!$D$3:$D$62,"PCS")+COUNTIF(ASCOPE_PMESII!$F$3:$F$62,"PCS")+COUNTIF(ASCOPE_PMESII!$H$3:$H$62,"PCS")+COUNTIF(ASCOPE_PMESII!$J$3:$J$62,"PCS")))),"")))))),"")</f>
        <v/>
      </c>
    </row>
    <row r="46" spans="1:18" ht="34.5" customHeight="1">
      <c r="A46" s="21" t="str">
        <f t="array" ref="A46">IFERROR(IF(43&lt;=COUNTIF(ASCOPE_PMESII!$B$3:$B$62,"OE"),IFERROR(INDEX(ASCOPE_PMESII!$C$3:$C$62,_xlfn.AGGREGATE(15,6,(ROW(ASCOPE_PMESII!$B$3:$B$62)-ROW(ASCOPE_PMESII!$B$3)+1)/(ASCOPE_PMESII!$B$3:$B$62="OE"),43)),""),IF(43&lt;=(COUNTIF(ASCOPE_PMESII!$B$3:$B$62,"OE")+COUNTIF(ASCOPE_PMESII!$D$3:$D$62,"OE")),IFERROR(INDEX(ASCOPE_PMESII!$E$3:$E$62,_xlfn.AGGREGATE(15,6,(ROW(ASCOPE_PMESII!$D$3:$D$62)-ROW(ASCOPE_PMESII!$D$3)+1)/(ASCOPE_PMESII!$D$3:$D$62="OE"),43-(COUNTIF(ASCOPE_PMESII!$B$3:$B$62,"OE")))),""),IF(43&lt;=(COUNTIF(ASCOPE_PMESII!$B$3:$B$62,"OE")+COUNTIF(ASCOPE_PMESII!$D$3:$D$62,"OE")+COUNTIF(ASCOPE_PMESII!$F$3:$F$62,"OE")),IFERROR(INDEX(ASCOPE_PMESII!$G$3:$G$62,_xlfn.AGGREGATE(15,6,(ROW(ASCOPE_PMESII!$F$3:$F$62)-ROW(ASCOPE_PMESII!$F$3)+1)/(ASCOPE_PMESII!$F$3:$F$62="OE"),43-(COUNTIF(ASCOPE_PMESII!$B$3:$B$62,"OE")+COUNTIF(ASCOPE_PMESII!$D$3:$D$62,"OE")))),""),IF(43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43-(COUNTIF(ASCOPE_PMESII!$B$3:$B$62,"OE")+COUNTIF(ASCOPE_PMESII!$D$3:$D$62,"OE")+COUNTIF(ASCOPE_PMESII!$F$3:$F$62,"OE")))),""),IF(43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43-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43-(COUNTIF(ASCOPE_PMESII!$B$3:$B$62,"OE")+COUNTIF(ASCOPE_PMESII!$D$3:$D$62,"OE")+COUNTIF(ASCOPE_PMESII!$F$3:$F$62,"OE")+COUNTIF(ASCOPE_PMESII!$H$3:$H$62,"OE")+COUNTIF(ASCOPE_PMESII!$J$3:$J$62,"OE")))),"")))))),"")</f>
        <v/>
      </c>
      <c r="B46" s="21" t="str">
        <f t="array" ref="B46">IFERROR(IF(43&lt;=COUNTIF(ASCOPE_PMESII!$B$3:$B$62,"OA"),IFERROR(INDEX(ASCOPE_PMESII!$C$3:$C$62,_xlfn.AGGREGATE(15,6,(ROW(ASCOPE_PMESII!$B$3:$B$62)-ROW(ASCOPE_PMESII!$B$3)+1)/(ASCOPE_PMESII!$B$3:$B$62="OA"),43)),""),IF(43&lt;=(COUNTIF(ASCOPE_PMESII!$B$3:$B$62,"OA")+COUNTIF(ASCOPE_PMESII!$D$3:$D$62,"OA")),IFERROR(INDEX(ASCOPE_PMESII!$E$3:$E$62,_xlfn.AGGREGATE(15,6,(ROW(ASCOPE_PMESII!$D$3:$D$62)-ROW(ASCOPE_PMESII!$D$3)+1)/(ASCOPE_PMESII!$D$3:$D$62="OA"),43-(COUNTIF(ASCOPE_PMESII!$B$3:$B$62,"OA")))),""),IF(43&lt;=(COUNTIF(ASCOPE_PMESII!$B$3:$B$62,"OA")+COUNTIF(ASCOPE_PMESII!$D$3:$D$62,"OA")+COUNTIF(ASCOPE_PMESII!$F$3:$F$62,"OA")),IFERROR(INDEX(ASCOPE_PMESII!$G$3:$G$62,_xlfn.AGGREGATE(15,6,(ROW(ASCOPE_PMESII!$F$3:$F$62)-ROW(ASCOPE_PMESII!$F$3)+1)/(ASCOPE_PMESII!$F$3:$F$62="OA"),43-(COUNTIF(ASCOPE_PMESII!$B$3:$B$62,"OA")+COUNTIF(ASCOPE_PMESII!$D$3:$D$62,"OA")))),""),IF(43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43-(COUNTIF(ASCOPE_PMESII!$B$3:$B$62,"OA")+COUNTIF(ASCOPE_PMESII!$D$3:$D$62,"OA")+COUNTIF(ASCOPE_PMESII!$F$3:$F$62,"OA")))),""),IF(43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43-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43-(COUNTIF(ASCOPE_PMESII!$B$3:$B$62,"OA")+COUNTIF(ASCOPE_PMESII!$D$3:$D$62,"OA")+COUNTIF(ASCOPE_PMESII!$F$3:$F$62,"OA")+COUNTIF(ASCOPE_PMESII!$H$3:$H$62,"OA")+COUNTIF(ASCOPE_PMESII!$J$3:$J$62,"OA")))),"")))))),"")</f>
        <v/>
      </c>
      <c r="C46" s="21" t="str">
        <f t="array" ref="C46">IFERROR(IF(43&lt;=COUNTIF(ASCOPE_PMESII!$B$3:$B$62,"RISK"),IFERROR(INDEX(ASCOPE_PMESII!$C$3:$C$62,_xlfn.AGGREGATE(15,6,(ROW(ASCOPE_PMESII!$B$3:$B$62)-ROW(ASCOPE_PMESII!$B$3)+1)/(ASCOPE_PMESII!$B$3:$B$62="RISK"),43)),""),IF(43&lt;=(COUNTIF(ASCOPE_PMESII!$B$3:$B$62,"RISK")+COUNTIF(ASCOPE_PMESII!$D$3:$D$62,"RISK")),IFERROR(INDEX(ASCOPE_PMESII!$E$3:$E$62,_xlfn.AGGREGATE(15,6,(ROW(ASCOPE_PMESII!$D$3:$D$62)-ROW(ASCOPE_PMESII!$D$3)+1)/(ASCOPE_PMESII!$D$3:$D$62="RISK"),43-(COUNTIF(ASCOPE_PMESII!$B$3:$B$62,"RISK")))),""),IF(43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43-(COUNTIF(ASCOPE_PMESII!$B$3:$B$62,"RISK")+COUNTIF(ASCOPE_PMESII!$D$3:$D$62,"RISK")))),""),IF(43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43-(COUNTIF(ASCOPE_PMESII!$B$3:$B$62,"RISK")+COUNTIF(ASCOPE_PMESII!$D$3:$D$62,"RISK")+COUNTIF(ASCOPE_PMESII!$F$3:$F$62,"RISK")))),""),IF(43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43-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43-(COUNTIF(ASCOPE_PMESII!$B$3:$B$62,"RISK")+COUNTIF(ASCOPE_PMESII!$D$3:$D$62,"RISK")+COUNTIF(ASCOPE_PMESII!$F$3:$F$62,"RISK")+COUNTIF(ASCOPE_PMESII!$H$3:$H$62,"RISK")+COUNTIF(ASCOPE_PMESII!$J$3:$J$62,"RISK")))),"")))))),"")</f>
        <v/>
      </c>
      <c r="D46" s="21" t="str">
        <f t="array" ref="D46">IFERROR(IF(43&lt;=COUNTIF(ASCOPE_PMESII!$B$3:$B$62,"CV"),IFERROR(INDEX(ASCOPE_PMESII!$C$3:$C$62,_xlfn.AGGREGATE(15,6,(ROW(ASCOPE_PMESII!$B$3:$B$62)-ROW(ASCOPE_PMESII!$B$3)+1)/(ASCOPE_PMESII!$B$3:$B$62="CV"),43)),""),IF(43&lt;=(COUNTIF(ASCOPE_PMESII!$B$3:$B$62,"CV")+COUNTIF(ASCOPE_PMESII!$D$3:$D$62,"CV")),IFERROR(INDEX(ASCOPE_PMESII!$E$3:$E$62,_xlfn.AGGREGATE(15,6,(ROW(ASCOPE_PMESII!$D$3:$D$62)-ROW(ASCOPE_PMESII!$D$3)+1)/(ASCOPE_PMESII!$D$3:$D$62="CV"),43-(COUNTIF(ASCOPE_PMESII!$B$3:$B$62,"CV")))),""),IF(43&lt;=(COUNTIF(ASCOPE_PMESII!$B$3:$B$62,"CV")+COUNTIF(ASCOPE_PMESII!$D$3:$D$62,"CV")+COUNTIF(ASCOPE_PMESII!$F$3:$F$62,"CV")),IFERROR(INDEX(ASCOPE_PMESII!$G$3:$G$62,_xlfn.AGGREGATE(15,6,(ROW(ASCOPE_PMESII!$F$3:$F$62)-ROW(ASCOPE_PMESII!$F$3)+1)/(ASCOPE_PMESII!$F$3:$F$62="CV"),43-(COUNTIF(ASCOPE_PMESII!$B$3:$B$62,"CV")+COUNTIF(ASCOPE_PMESII!$D$3:$D$62,"CV")))),""),IF(43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43-(COUNTIF(ASCOPE_PMESII!$B$3:$B$62,"CV")+COUNTIF(ASCOPE_PMESII!$D$3:$D$62,"CV")+COUNTIF(ASCOPE_PMESII!$F$3:$F$62,"CV")))),""),IF(43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43-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43-(COUNTIF(ASCOPE_PMESII!$B$3:$B$62,"CV")+COUNTIF(ASCOPE_PMESII!$D$3:$D$62,"CV")+COUNTIF(ASCOPE_PMESII!$F$3:$F$62,"CV")+COUNTIF(ASCOPE_PMESII!$H$3:$H$62,"CV")+COUNTIF(ASCOPE_PMESII!$J$3:$J$62,"CV")))),"")))))),"")</f>
        <v>Anti-Java grievance predates the coup</v>
      </c>
      <c r="E46" s="21" t="str">
        <f t="array" ref="E46">IFERROR(IF(43&lt;=COUNTIF(ASCOPE_PMESII!$B$3:$B$62,"COR"),IFERROR(INDEX(ASCOPE_PMESII!$C$3:$C$62,_xlfn.AGGREGATE(15,6,(ROW(ASCOPE_PMESII!$B$3:$B$62)-ROW(ASCOPE_PMESII!$B$3)+1)/(ASCOPE_PMESII!$B$3:$B$62="COR"),43)),""),IF(43&lt;=(COUNTIF(ASCOPE_PMESII!$B$3:$B$62,"COR")+COUNTIF(ASCOPE_PMESII!$D$3:$D$62,"COR")),IFERROR(INDEX(ASCOPE_PMESII!$E$3:$E$62,_xlfn.AGGREGATE(15,6,(ROW(ASCOPE_PMESII!$D$3:$D$62)-ROW(ASCOPE_PMESII!$D$3)+1)/(ASCOPE_PMESII!$D$3:$D$62="COR"),43-(COUNTIF(ASCOPE_PMESII!$B$3:$B$62,"COR")))),""),IF(43&lt;=(COUNTIF(ASCOPE_PMESII!$B$3:$B$62,"COR")+COUNTIF(ASCOPE_PMESII!$D$3:$D$62,"COR")+COUNTIF(ASCOPE_PMESII!$F$3:$F$62,"COR")),IFERROR(INDEX(ASCOPE_PMESII!$G$3:$G$62,_xlfn.AGGREGATE(15,6,(ROW(ASCOPE_PMESII!$F$3:$F$62)-ROW(ASCOPE_PMESII!$F$3)+1)/(ASCOPE_PMESII!$F$3:$F$62="COR"),43-(COUNTIF(ASCOPE_PMESII!$B$3:$B$62,"COR")+COUNTIF(ASCOPE_PMESII!$D$3:$D$62,"COR")))),""),IF(43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43-(COUNTIF(ASCOPE_PMESII!$B$3:$B$62,"COR")+COUNTIF(ASCOPE_PMESII!$D$3:$D$62,"COR")+COUNTIF(ASCOPE_PMESII!$F$3:$F$62,"COR")))),""),IF(43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43-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43-(COUNTIF(ASCOPE_PMESII!$B$3:$B$62,"COR")+COUNTIF(ASCOPE_PMESII!$D$3:$D$62,"COR")+COUNTIF(ASCOPE_PMESII!$F$3:$F$62,"COR")+COUNTIF(ASCOPE_PMESII!$H$3:$H$62,"COR")+COUNTIF(ASCOPE_PMESII!$J$3:$J$62,"COR")))),"")))))),"")</f>
        <v/>
      </c>
      <c r="F46" s="21" t="str">
        <f t="array" ref="F46">IFERROR(IF(43&lt;=COUNTIF(ASCOPE_PMESII!$B$3:$B$62,"REQT"),IFERROR(INDEX(ASCOPE_PMESII!$C$3:$C$62,_xlfn.AGGREGATE(15,6,(ROW(ASCOPE_PMESII!$B$3:$B$62)-ROW(ASCOPE_PMESII!$B$3)+1)/(ASCOPE_PMESII!$B$3:$B$62="REQT"),43)),""),IF(43&lt;=(COUNTIF(ASCOPE_PMESII!$B$3:$B$62,"REQT")+COUNTIF(ASCOPE_PMESII!$D$3:$D$62,"REQT")),IFERROR(INDEX(ASCOPE_PMESII!$E$3:$E$62,_xlfn.AGGREGATE(15,6,(ROW(ASCOPE_PMESII!$D$3:$D$62)-ROW(ASCOPE_PMESII!$D$3)+1)/(ASCOPE_PMESII!$D$3:$D$62="REQT"),43-(COUNTIF(ASCOPE_PMESII!$B$3:$B$62,"REQT")))),""),IF(43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43-(COUNTIF(ASCOPE_PMESII!$B$3:$B$62,"REQT")+COUNTIF(ASCOPE_PMESII!$D$3:$D$62,"REQT")))),""),IF(43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43-(COUNTIF(ASCOPE_PMESII!$B$3:$B$62,"REQT")+COUNTIF(ASCOPE_PMESII!$D$3:$D$62,"REQT")+COUNTIF(ASCOPE_PMESII!$F$3:$F$62,"REQT")))),""),IF(43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43-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43-(COUNTIF(ASCOPE_PMESII!$B$3:$B$62,"REQT")+COUNTIF(ASCOPE_PMESII!$D$3:$D$62,"REQT")+COUNTIF(ASCOPE_PMESII!$F$3:$F$62,"REQT")+COUNTIF(ASCOPE_PMESII!$H$3:$H$62,"REQT")+COUNTIF(ASCOPE_PMESII!$J$3:$J$62,"REQT")))),"")))))),"")</f>
        <v/>
      </c>
      <c r="G46" s="21" t="str">
        <f t="array" ref="G46">IFERROR(IF(43&lt;=COUNTIF(ASCOPE_PMESII!$B$3:$B$62,"REST"),IFERROR(INDEX(ASCOPE_PMESII!$C$3:$C$62,_xlfn.AGGREGATE(15,6,(ROW(ASCOPE_PMESII!$B$3:$B$62)-ROW(ASCOPE_PMESII!$B$3)+1)/(ASCOPE_PMESII!$B$3:$B$62="REST"),43)),""),IF(43&lt;=(COUNTIF(ASCOPE_PMESII!$B$3:$B$62,"REST")+COUNTIF(ASCOPE_PMESII!$D$3:$D$62,"REST")),IFERROR(INDEX(ASCOPE_PMESII!$E$3:$E$62,_xlfn.AGGREGATE(15,6,(ROW(ASCOPE_PMESII!$D$3:$D$62)-ROW(ASCOPE_PMESII!$D$3)+1)/(ASCOPE_PMESII!$D$3:$D$62="REST"),43-(COUNTIF(ASCOPE_PMESII!$B$3:$B$62,"REST")))),""),IF(43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43-(COUNTIF(ASCOPE_PMESII!$B$3:$B$62,"REST")+COUNTIF(ASCOPE_PMESII!$D$3:$D$62,"REST")))),""),IF(43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43-(COUNTIF(ASCOPE_PMESII!$B$3:$B$62,"REST")+COUNTIF(ASCOPE_PMESII!$D$3:$D$62,"REST")+COUNTIF(ASCOPE_PMESII!$F$3:$F$62,"REST")))),""),IF(43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43-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43-(COUNTIF(ASCOPE_PMESII!$B$3:$B$62,"REST")+COUNTIF(ASCOPE_PMESII!$D$3:$D$62,"REST")+COUNTIF(ASCOPE_PMESII!$F$3:$F$62,"REST")+COUNTIF(ASCOPE_PMESII!$H$3:$H$62,"REST")+COUNTIF(ASCOPE_PMESII!$J$3:$J$62,"REST")))),"")))))),"")</f>
        <v/>
      </c>
      <c r="H46" s="21" t="str">
        <f t="array" ref="H46">IFERROR(IF(43&lt;=COUNTIF(ASCOPE_PMESII!$B$3:$B$62,"KCD-MUST"),IFERROR(INDEX(ASCOPE_PMESII!$C$3:$C$62,_xlfn.AGGREGATE(15,6,(ROW(ASCOPE_PMESII!$B$3:$B$62)-ROW(ASCOPE_PMESII!$B$3)+1)/(ASCOPE_PMESII!$B$3:$B$62="KCD-MUST"),43)),""),IF(43&lt;=(COUNTIF(ASCOPE_PMESII!$B$3:$B$62,"KCD-MUST")+COUNTIF(ASCOPE_PMESII!$D$3:$D$62,"KCD-MUST")),IFERROR(INDEX(ASCOPE_PMESII!$E$3:$E$62,_xlfn.AGGREGATE(15,6,(ROW(ASCOPE_PMESII!$D$3:$D$62)-ROW(ASCOPE_PMESII!$D$3)+1)/(ASCOPE_PMESII!$D$3:$D$62="KCD-MUST"),43-(COUNTIF(ASCOPE_PMESII!$B$3:$B$62,"KCD-MUST")))),""),IF(43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43-(COUNTIF(ASCOPE_PMESII!$B$3:$B$62,"KCD-MUST")+COUNTIF(ASCOPE_PMESII!$D$3:$D$62,"KCD-MUST")))),""),IF(43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43-(COUNTIF(ASCOPE_PMESII!$B$3:$B$62,"KCD-MUST")+COUNTIF(ASCOPE_PMESII!$D$3:$D$62,"KCD-MUST")+COUNTIF(ASCOPE_PMESII!$F$3:$F$62,"KCD-MUST")))),""),IF(43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43-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43-(COUNTIF(ASCOPE_PMESII!$B$3:$B$62,"KCD-MUST")+COUNTIF(ASCOPE_PMESII!$D$3:$D$62,"KCD-MUST")+COUNTIF(ASCOPE_PMESII!$F$3:$F$62,"KCD-MUST")+COUNTIF(ASCOPE_PMESII!$H$3:$H$62,"KCD-MUST")+COUNTIF(ASCOPE_PMESII!$J$3:$J$62,"KCD-MUST")))),"")))))),"")</f>
        <v/>
      </c>
      <c r="I46" s="21" t="str">
        <f t="array" ref="I46">IFERROR(IF(43&lt;=COUNTIF(ASCOPE_PMESII!$B$3:$B$62,"KCD-SHOULD"),IFERROR(INDEX(ASCOPE_PMESII!$C$3:$C$62,_xlfn.AGGREGATE(15,6,(ROW(ASCOPE_PMESII!$B$3:$B$62)-ROW(ASCOPE_PMESII!$B$3)+1)/(ASCOPE_PMESII!$B$3:$B$62="KCD-SHOULD"),43)),""),IF(43&lt;=(COUNTIF(ASCOPE_PMESII!$B$3:$B$62,"KCD-SHOULD")+COUNTIF(ASCOPE_PMESII!$D$3:$D$62,"KCD-SHOULD")),IFERROR(INDEX(ASCOPE_PMESII!$E$3:$E$62,_xlfn.AGGREGATE(15,6,(ROW(ASCOPE_PMESII!$D$3:$D$62)-ROW(ASCOPE_PMESII!$D$3)+1)/(ASCOPE_PMESII!$D$3:$D$62="KCD-SHOULD"),43-(COUNTIF(ASCOPE_PMESII!$B$3:$B$62,"KCD-SHOULD")))),""),IF(43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43-(COUNTIF(ASCOPE_PMESII!$B$3:$B$62,"KCD-SHOULD")+COUNTIF(ASCOPE_PMESII!$D$3:$D$62,"KCD-SHOULD")))),""),IF(43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43-(COUNTIF(ASCOPE_PMESII!$B$3:$B$62,"KCD-SHOULD")+COUNTIF(ASCOPE_PMESII!$D$3:$D$62,"KCD-SHOULD")+COUNTIF(ASCOPE_PMESII!$F$3:$F$62,"KCD-SHOULD")))),""),IF(43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43-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43-(COUNTIF(ASCOPE_PMESII!$B$3:$B$62,"KCD-SHOULD")+COUNTIF(ASCOPE_PMESII!$D$3:$D$62,"KCD-SHOULD")+COUNTIF(ASCOPE_PMESII!$F$3:$F$62,"KCD-SHOULD")+COUNTIF(ASCOPE_PMESII!$H$3:$H$62,"KCD-SHOULD")+COUNTIF(ASCOPE_PMESII!$J$3:$J$62,"KCD-SHOULD")))),"")))))),"")</f>
        <v/>
      </c>
      <c r="J46" s="21" t="str">
        <f t="array" ref="J46">IFERROR(IF(43&lt;=COUNTIF(ASCOPE_PMESII!$B$3:$B$62,"KCD-SHOULD NOT"),IFERROR(INDEX(ASCOPE_PMESII!$C$3:$C$62,_xlfn.AGGREGATE(15,6,(ROW(ASCOPE_PMESII!$B$3:$B$62)-ROW(ASCOPE_PMESII!$B$3)+1)/(ASCOPE_PMESII!$B$3:$B$62="KCD-SHOULD NOT"),43)),""),IF(43&lt;=(COUNTIF(ASCOPE_PMESII!$B$3:$B$62,"KCD-SHOULD NOT")+COUNTIF(ASCOPE_PMESII!$D$3:$D$62,"KCD-SHOULD NOT")),IFERROR(INDEX(ASCOPE_PMESII!$E$3:$E$62,_xlfn.AGGREGATE(15,6,(ROW(ASCOPE_PMESII!$D$3:$D$62)-ROW(ASCOPE_PMESII!$D$3)+1)/(ASCOPE_PMESII!$D$3:$D$62="KCD-SHOULD NOT"),43-(COUNTIF(ASCOPE_PMESII!$B$3:$B$62,"KCD-SHOULD NOT")))),""),IF(43&lt;=(COUNTIF(ASCOPE_PMESII!$B$3:$B$62,"KCD-SHOULD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NOT"),43-(COUNTIF(ASCOPE_PMESII!$B$3:$B$62,"KCD-SHOULD NOT")+COUNTIF(ASCOPE_PMESII!$D$3:$D$62,"KCD-SHOULD NOT")))),""),IF(43&lt;=(COUNTIF(ASCOPE_PMESII!$B$3:$B$62,"KCD-SHOULD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NOT"),43-(COUNTIF(ASCOPE_PMESII!$B$3:$B$62,"KCD-SHOULD NOT")+COUNTIF(ASCOPE_PMESII!$D$3:$D$62,"KCD-SHOULD NOT")+COUNTIF(ASCOPE_PMESII!$F$3:$F$62,"KCD-SHOULD NOT")))),""),IF(43&lt;=(COUNTIF(ASCOPE_PMESII!$B$3:$B$62,"KCD-SHOULD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NOT"),43-(COUNTIF(ASCOPE_PMESII!$B$3:$B$62,"KCD-SHOULD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NOT"),43-(COUNTIF(ASCOPE_PMESII!$B$3:$B$62,"KCD-SHOULD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46" s="21" t="str">
        <f t="array" ref="K46">IFERROR(IF(43&lt;=COUNTIF(ASCOPE_PMESII!$B$3:$B$62,"KCD-CANNOT"),IFERROR(INDEX(ASCOPE_PMESII!$C$3:$C$62,_xlfn.AGGREGATE(15,6,(ROW(ASCOPE_PMESII!$B$3:$B$62)-ROW(ASCOPE_PMESII!$B$3)+1)/(ASCOPE_PMESII!$B$3:$B$62="KCD-CANNOT"),43)),""),IF(43&lt;=(COUNTIF(ASCOPE_PMESII!$B$3:$B$62,"KCD-CANNOT")+COUNTIF(ASCOPE_PMESII!$D$3:$D$62,"KCD-CANNOT")),IFERROR(INDEX(ASCOPE_PMESII!$E$3:$E$62,_xlfn.AGGREGATE(15,6,(ROW(ASCOPE_PMESII!$D$3:$D$62)-ROW(ASCOPE_PMESII!$D$3)+1)/(ASCOPE_PMESII!$D$3:$D$62="KCD-CANNOT"),43-(COUNTIF(ASCOPE_PMESII!$B$3:$B$62,"KCD-CANNOT")))),""),IF(43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43-(COUNTIF(ASCOPE_PMESII!$B$3:$B$62,"KCD-CANNOT")+COUNTIF(ASCOPE_PMESII!$D$3:$D$62,"KCD-CANNOT")))),""),IF(43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43-(COUNTIF(ASCOPE_PMESII!$B$3:$B$62,"KCD-CANNOT")+COUNTIF(ASCOPE_PMESII!$D$3:$D$62,"KCD-CANNOT")+COUNTIF(ASCOPE_PMESII!$F$3:$F$62,"KCD-CANNOT")))),""),IF(43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43-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43-(COUNTIF(ASCOPE_PMESII!$B$3:$B$62,"KCD-CANNOT")+COUNTIF(ASCOPE_PMESII!$D$3:$D$62,"KCD-CANNOT")+COUNTIF(ASCOPE_PMESII!$F$3:$F$62,"KCD-CANNOT")+COUNTIF(ASCOPE_PMESII!$H$3:$H$62,"KCD-CANNOT")+COUNTIF(ASCOPE_PMESII!$J$3:$J$62,"KCD-CANNOT")))),"")))))),"")</f>
        <v/>
      </c>
      <c r="L46" s="21" t="str">
        <f t="array" ref="L46">IFERROR(IF(43&lt;=COUNTIF(ASCOPE_PMESII!$B$3:$B$62,"DECISION"),IFERROR(INDEX(ASCOPE_PMESII!$C$3:$C$62,_xlfn.AGGREGATE(15,6,(ROW(ASCOPE_PMESII!$B$3:$B$62)-ROW(ASCOPE_PMESII!$B$3)+1)/(ASCOPE_PMESII!$B$3:$B$62="DECISION"),43)),""),IF(43&lt;=(COUNTIF(ASCOPE_PMESII!$B$3:$B$62,"DECISION")+COUNTIF(ASCOPE_PMESII!$D$3:$D$62,"DECISION")),IFERROR(INDEX(ASCOPE_PMESII!$E$3:$E$62,_xlfn.AGGREGATE(15,6,(ROW(ASCOPE_PMESII!$D$3:$D$62)-ROW(ASCOPE_PMESII!$D$3)+1)/(ASCOPE_PMESII!$D$3:$D$62="DECISION"),43-(COUNTIF(ASCOPE_PMESII!$B$3:$B$62,"DECISION")))),""),IF(43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43-(COUNTIF(ASCOPE_PMESII!$B$3:$B$62,"DECISION")+COUNTIF(ASCOPE_PMESII!$D$3:$D$62,"DECISION")))),""),IF(43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43-(COUNTIF(ASCOPE_PMESII!$B$3:$B$62,"DECISION")+COUNTIF(ASCOPE_PMESII!$D$3:$D$62,"DECISION")+COUNTIF(ASCOPE_PMESII!$F$3:$F$62,"DECISION")))),""),IF(43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43-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43-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46" s="21" t="str">
        <f t="array" ref="M46">IFERROR(IF(43&lt;=COUNTIF(ASCOPE_PMESII!$B$3:$B$62,"ASSUMPTION"),IFERROR(INDEX(ASCOPE_PMESII!$C$3:$C$62,_xlfn.AGGREGATE(15,6,(ROW(ASCOPE_PMESII!$B$3:$B$62)-ROW(ASCOPE_PMESII!$B$3)+1)/(ASCOPE_PMESII!$B$3:$B$62="ASSUMPTION"),43)),""),IF(43&lt;=(COUNTIF(ASCOPE_PMESII!$B$3:$B$62,"ASSUMPTION")+COUNTIF(ASCOPE_PMESII!$D$3:$D$62,"ASSUMPTION")),IFERROR(INDEX(ASCOPE_PMESII!$E$3:$E$62,_xlfn.AGGREGATE(15,6,(ROW(ASCOPE_PMESII!$D$3:$D$62)-ROW(ASCOPE_PMESII!$D$3)+1)/(ASCOPE_PMESII!$D$3:$D$62="ASSUMPTION"),43-(COUNTIF(ASCOPE_PMESII!$B$3:$B$62,"ASSUMPTION")))),""),IF(43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43-(COUNTIF(ASCOPE_PMESII!$B$3:$B$62,"ASSUMPTION")+COUNTIF(ASCOPE_PMESII!$D$3:$D$62,"ASSUMPTION")))),""),IF(43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43-(COUNTIF(ASCOPE_PMESII!$B$3:$B$62,"ASSUMPTION")+COUNTIF(ASCOPE_PMESII!$D$3:$D$62,"ASSUMPTION")+COUNTIF(ASCOPE_PMESII!$F$3:$F$62,"ASSUMPTION")))),""),IF(43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43-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43-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46" s="21" t="str">
        <f t="array" ref="N46">IFERROR(IF(43&lt;=COUNTIF(ASCOPE_PMESII!$B$3:$B$62,"CONSTRAINT"),IFERROR(INDEX(ASCOPE_PMESII!$C$3:$C$62,_xlfn.AGGREGATE(15,6,(ROW(ASCOPE_PMESII!$B$3:$B$62)-ROW(ASCOPE_PMESII!$B$3)+1)/(ASCOPE_PMESII!$B$3:$B$62="CONSTRAINT"),43)),""),IF(43&lt;=(COUNTIF(ASCOPE_PMESII!$B$3:$B$62,"CONSTRAINT")+COUNTIF(ASCOPE_PMESII!$D$3:$D$62,"CONSTRAINT")),IFERROR(INDEX(ASCOPE_PMESII!$E$3:$E$62,_xlfn.AGGREGATE(15,6,(ROW(ASCOPE_PMESII!$D$3:$D$62)-ROW(ASCOPE_PMESII!$D$3)+1)/(ASCOPE_PMESII!$D$3:$D$62="CONSTRAINT"),43-(COUNTIF(ASCOPE_PMESII!$B$3:$B$62,"CONSTRAINT")))),""),IF(43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43-(COUNTIF(ASCOPE_PMESII!$B$3:$B$62,"CONSTRAINT")+COUNTIF(ASCOPE_PMESII!$D$3:$D$62,"CONSTRAINT")))),""),IF(43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43-(COUNTIF(ASCOPE_PMESII!$B$3:$B$62,"CONSTRAINT")+COUNTIF(ASCOPE_PMESII!$D$3:$D$62,"CONSTRAINT")+COUNTIF(ASCOPE_PMESII!$F$3:$F$62,"CONSTRAINT")))),""),IF(43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43-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43-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46" s="21" t="str">
        <f t="array" ref="O46">IFERROR(IF(43&lt;=COUNTIF(ASCOPE_PMESII!$B$3:$B$62,"LIMITATION"),IFERROR(INDEX(ASCOPE_PMESII!$C$3:$C$62,_xlfn.AGGREGATE(15,6,(ROW(ASCOPE_PMESII!$B$3:$B$62)-ROW(ASCOPE_PMESII!$B$3)+1)/(ASCOPE_PMESII!$B$3:$B$62="LIMITATION"),43)),""),IF(43&lt;=(COUNTIF(ASCOPE_PMESII!$B$3:$B$62,"LIMITATION")+COUNTIF(ASCOPE_PMESII!$D$3:$D$62,"LIMITATION")),IFERROR(INDEX(ASCOPE_PMESII!$E$3:$E$62,_xlfn.AGGREGATE(15,6,(ROW(ASCOPE_PMESII!$D$3:$D$62)-ROW(ASCOPE_PMESII!$D$3)+1)/(ASCOPE_PMESII!$D$3:$D$62="LIMITATION"),43-(COUNTIF(ASCOPE_PMESII!$B$3:$B$62,"LIMITATION")))),""),IF(43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43-(COUNTIF(ASCOPE_PMESII!$B$3:$B$62,"LIMITATION")+COUNTIF(ASCOPE_PMESII!$D$3:$D$62,"LIMITATION")))),""),IF(43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43-(COUNTIF(ASCOPE_PMESII!$B$3:$B$62,"LIMITATION")+COUNTIF(ASCOPE_PMESII!$D$3:$D$62,"LIMITATION")+COUNTIF(ASCOPE_PMESII!$F$3:$F$62,"LIMITATION")))),""),IF(43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43-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43-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46" s="21" t="str">
        <f t="array" ref="P46">IFERROR(IF(43&lt;=COUNTIF(ASCOPE_PMESII!$B$3:$B$62,"CC"),IFERROR(INDEX(ASCOPE_PMESII!$C$3:$C$62,_xlfn.AGGREGATE(15,6,(ROW(ASCOPE_PMESII!$B$3:$B$62)-ROW(ASCOPE_PMESII!$B$3)+1)/(ASCOPE_PMESII!$B$3:$B$62="CC"),43)),""),IF(43&lt;=(COUNTIF(ASCOPE_PMESII!$B$3:$B$62,"CC")+COUNTIF(ASCOPE_PMESII!$D$3:$D$62,"CC")),IFERROR(INDEX(ASCOPE_PMESII!$E$3:$E$62,_xlfn.AGGREGATE(15,6,(ROW(ASCOPE_PMESII!$D$3:$D$62)-ROW(ASCOPE_PMESII!$D$3)+1)/(ASCOPE_PMESII!$D$3:$D$62="CC"),43-(COUNTIF(ASCOPE_PMESII!$B$3:$B$62,"CC")))),""),IF(43&lt;=(COUNTIF(ASCOPE_PMESII!$B$3:$B$62,"CC")+COUNTIF(ASCOPE_PMESII!$D$3:$D$62,"CC")+COUNTIF(ASCOPE_PMESII!$F$3:$F$62,"CC")),IFERROR(INDEX(ASCOPE_PMESII!$G$3:$G$62,_xlfn.AGGREGATE(15,6,(ROW(ASCOPE_PMESII!$F$3:$F$62)-ROW(ASCOPE_PMESII!$F$3)+1)/(ASCOPE_PMESII!$F$3:$F$62="CC"),43-(COUNTIF(ASCOPE_PMESII!$B$3:$B$62,"CC")+COUNTIF(ASCOPE_PMESII!$D$3:$D$62,"CC")))),""),IF(43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43-(COUNTIF(ASCOPE_PMESII!$B$3:$B$62,"CC")+COUNTIF(ASCOPE_PMESII!$D$3:$D$62,"CC")+COUNTIF(ASCOPE_PMESII!$F$3:$F$62,"CC")))),""),IF(43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43-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43-(COUNTIF(ASCOPE_PMESII!$B$3:$B$62,"CC")+COUNTIF(ASCOPE_PMESII!$D$3:$D$62,"CC")+COUNTIF(ASCOPE_PMESII!$F$3:$F$62,"CC")+COUNTIF(ASCOPE_PMESII!$H$3:$H$62,"CC")+COUNTIF(ASCOPE_PMESII!$J$3:$J$62,"CC")))),"")))))),"")</f>
        <v>First 72 hours shape strategic consent</v>
      </c>
      <c r="Q46" s="21" t="str">
        <f t="array" ref="Q46">IFERROR(IF(43&lt;=COUNTIF(ASCOPE_PMESII!$B$3:$B$62,"CR"),IFERROR(INDEX(ASCOPE_PMESII!$C$3:$C$62,_xlfn.AGGREGATE(15,6,(ROW(ASCOPE_PMESII!$B$3:$B$62)-ROW(ASCOPE_PMESII!$B$3)+1)/(ASCOPE_PMESII!$B$3:$B$62="CR"),43)),""),IF(43&lt;=(COUNTIF(ASCOPE_PMESII!$B$3:$B$62,"CR")+COUNTIF(ASCOPE_PMESII!$D$3:$D$62,"CR")),IFERROR(INDEX(ASCOPE_PMESII!$E$3:$E$62,_xlfn.AGGREGATE(15,6,(ROW(ASCOPE_PMESII!$D$3:$D$62)-ROW(ASCOPE_PMESII!$D$3)+1)/(ASCOPE_PMESII!$D$3:$D$62="CR"),43-(COUNTIF(ASCOPE_PMESII!$B$3:$B$62,"CR")))),""),IF(43&lt;=(COUNTIF(ASCOPE_PMESII!$B$3:$B$62,"CR")+COUNTIF(ASCOPE_PMESII!$D$3:$D$62,"CR")+COUNTIF(ASCOPE_PMESII!$F$3:$F$62,"CR")),IFERROR(INDEX(ASCOPE_PMESII!$G$3:$G$62,_xlfn.AGGREGATE(15,6,(ROW(ASCOPE_PMESII!$F$3:$F$62)-ROW(ASCOPE_PMESII!$F$3)+1)/(ASCOPE_PMESII!$F$3:$F$62="CR"),43-(COUNTIF(ASCOPE_PMESII!$B$3:$B$62,"CR")+COUNTIF(ASCOPE_PMESII!$D$3:$D$62,"CR")))),""),IF(43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43-(COUNTIF(ASCOPE_PMESII!$B$3:$B$62,"CR")+COUNTIF(ASCOPE_PMESII!$D$3:$D$62,"CR")+COUNTIF(ASCOPE_PMESII!$F$3:$F$62,"CR")))),""),IF(43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43-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43-(COUNTIF(ASCOPE_PMESII!$B$3:$B$62,"CR")+COUNTIF(ASCOPE_PMESII!$D$3:$D$62,"CR")+COUNTIF(ASCOPE_PMESII!$F$3:$F$62,"CR")+COUNTIF(ASCOPE_PMESII!$H$3:$H$62,"CR")+COUNTIF(ASCOPE_PMESII!$J$3:$J$62,"CR")))),"")))))),"")</f>
        <v/>
      </c>
      <c r="R46" s="94" t="str">
        <f t="array" ref="R46">IFERROR(IF(43&lt;=COUNTIF(ASCOPE_PMESII!$B$3:$B$62,"PCS"),IFERROR(INDEX(ASCOPE_PMESII!$C$3:$C$62,_xlfn.AGGREGATE(15,6,(ROW(ASCOPE_PMESII!$B$3:$B$62)-ROW(ASCOPE_PMESII!$B$3)+1)/(ASCOPE_PMESII!$B$3:$B$62="PCS"),43)),""),IF(43&lt;=(COUNTIF(ASCOPE_PMESII!$B$3:$B$62,"PCS")+COUNTIF(ASCOPE_PMESII!$D$3:$D$62,"PCS")),IFERROR(INDEX(ASCOPE_PMESII!$E$3:$E$62,_xlfn.AGGREGATE(15,6,(ROW(ASCOPE_PMESII!$D$3:$D$62)-ROW(ASCOPE_PMESII!$D$3)+1)/(ASCOPE_PMESII!$D$3:$D$62="PCS"),43-(COUNTIF(ASCOPE_PMESII!$B$3:$B$62,"PCS")))),""),IF(43&lt;=(COUNTIF(ASCOPE_PMESII!$B$3:$B$62,"PCS")+COUNTIF(ASCOPE_PMESII!$D$3:$D$62,"PCS")+COUNTIF(ASCOPE_PMESII!$F$3:$F$62,"PCS")),IFERROR(INDEX(ASCOPE_PMESII!$G$3:$G$62,_xlfn.AGGREGATE(15,6,(ROW(ASCOPE_PMESII!$F$3:$F$62)-ROW(ASCOPE_PMESII!$F$3)+1)/(ASCOPE_PMESII!$F$3:$F$62="PCS"),43-(COUNTIF(ASCOPE_PMESII!$B$3:$B$62,"PCS")+COUNTIF(ASCOPE_PMESII!$D$3:$D$62,"PCS")))),""),IF(43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43-(COUNTIF(ASCOPE_PMESII!$B$3:$B$62,"PCS")+COUNTIF(ASCOPE_PMESII!$D$3:$D$62,"PCS")+COUNTIF(ASCOPE_PMESII!$F$3:$F$62,"PCS")))),""),IF(43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43-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43-(COUNTIF(ASCOPE_PMESII!$B$3:$B$62,"PCS")+COUNTIF(ASCOPE_PMESII!$D$3:$D$62,"PCS")+COUNTIF(ASCOPE_PMESII!$F$3:$F$62,"PCS")+COUNTIF(ASCOPE_PMESII!$H$3:$H$62,"PCS")+COUNTIF(ASCOPE_PMESII!$J$3:$J$62,"PCS")))),"")))))),"")</f>
        <v/>
      </c>
    </row>
    <row r="47" spans="1:18" ht="34.5" customHeight="1">
      <c r="A47" s="22" t="str">
        <f t="array" ref="A47">IFERROR(IF(44&lt;=COUNTIF(ASCOPE_PMESII!$B$3:$B$62,"OE"),IFERROR(INDEX(ASCOPE_PMESII!$C$3:$C$62,_xlfn.AGGREGATE(15,6,(ROW(ASCOPE_PMESII!$B$3:$B$62)-ROW(ASCOPE_PMESII!$B$3)+1)/(ASCOPE_PMESII!$B$3:$B$62="OE"),44)),""),IF(44&lt;=(COUNTIF(ASCOPE_PMESII!$B$3:$B$62,"OE")+COUNTIF(ASCOPE_PMESII!$D$3:$D$62,"OE")),IFERROR(INDEX(ASCOPE_PMESII!$E$3:$E$62,_xlfn.AGGREGATE(15,6,(ROW(ASCOPE_PMESII!$D$3:$D$62)-ROW(ASCOPE_PMESII!$D$3)+1)/(ASCOPE_PMESII!$D$3:$D$62="OE"),44-(COUNTIF(ASCOPE_PMESII!$B$3:$B$62,"OE")))),""),IF(44&lt;=(COUNTIF(ASCOPE_PMESII!$B$3:$B$62,"OE")+COUNTIF(ASCOPE_PMESII!$D$3:$D$62,"OE")+COUNTIF(ASCOPE_PMESII!$F$3:$F$62,"OE")),IFERROR(INDEX(ASCOPE_PMESII!$G$3:$G$62,_xlfn.AGGREGATE(15,6,(ROW(ASCOPE_PMESII!$F$3:$F$62)-ROW(ASCOPE_PMESII!$F$3)+1)/(ASCOPE_PMESII!$F$3:$F$62="OE"),44-(COUNTIF(ASCOPE_PMESII!$B$3:$B$62,"OE")+COUNTIF(ASCOPE_PMESII!$D$3:$D$62,"OE")))),""),IF(44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44-(COUNTIF(ASCOPE_PMESII!$B$3:$B$62,"OE")+COUNTIF(ASCOPE_PMESII!$D$3:$D$62,"OE")+COUNTIF(ASCOPE_PMESII!$F$3:$F$62,"OE")))),""),IF(44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44-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44-(COUNTIF(ASCOPE_PMESII!$B$3:$B$62,"OE")+COUNTIF(ASCOPE_PMESII!$D$3:$D$62,"OE")+COUNTIF(ASCOPE_PMESII!$F$3:$F$62,"OE")+COUNTIF(ASCOPE_PMESII!$H$3:$H$62,"OE")+COUNTIF(ASCOPE_PMESII!$J$3:$J$62,"OE")))),"")))))),"")</f>
        <v/>
      </c>
      <c r="B47" s="22" t="str">
        <f t="array" ref="B47">IFERROR(IF(44&lt;=COUNTIF(ASCOPE_PMESII!$B$3:$B$62,"OA"),IFERROR(INDEX(ASCOPE_PMESII!$C$3:$C$62,_xlfn.AGGREGATE(15,6,(ROW(ASCOPE_PMESII!$B$3:$B$62)-ROW(ASCOPE_PMESII!$B$3)+1)/(ASCOPE_PMESII!$B$3:$B$62="OA"),44)),""),IF(44&lt;=(COUNTIF(ASCOPE_PMESII!$B$3:$B$62,"OA")+COUNTIF(ASCOPE_PMESII!$D$3:$D$62,"OA")),IFERROR(INDEX(ASCOPE_PMESII!$E$3:$E$62,_xlfn.AGGREGATE(15,6,(ROW(ASCOPE_PMESII!$D$3:$D$62)-ROW(ASCOPE_PMESII!$D$3)+1)/(ASCOPE_PMESII!$D$3:$D$62="OA"),44-(COUNTIF(ASCOPE_PMESII!$B$3:$B$62,"OA")))),""),IF(44&lt;=(COUNTIF(ASCOPE_PMESII!$B$3:$B$62,"OA")+COUNTIF(ASCOPE_PMESII!$D$3:$D$62,"OA")+COUNTIF(ASCOPE_PMESII!$F$3:$F$62,"OA")),IFERROR(INDEX(ASCOPE_PMESII!$G$3:$G$62,_xlfn.AGGREGATE(15,6,(ROW(ASCOPE_PMESII!$F$3:$F$62)-ROW(ASCOPE_PMESII!$F$3)+1)/(ASCOPE_PMESII!$F$3:$F$62="OA"),44-(COUNTIF(ASCOPE_PMESII!$B$3:$B$62,"OA")+COUNTIF(ASCOPE_PMESII!$D$3:$D$62,"OA")))),""),IF(44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44-(COUNTIF(ASCOPE_PMESII!$B$3:$B$62,"OA")+COUNTIF(ASCOPE_PMESII!$D$3:$D$62,"OA")+COUNTIF(ASCOPE_PMESII!$F$3:$F$62,"OA")))),""),IF(44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44-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44-(COUNTIF(ASCOPE_PMESII!$B$3:$B$62,"OA")+COUNTIF(ASCOPE_PMESII!$D$3:$D$62,"OA")+COUNTIF(ASCOPE_PMESII!$F$3:$F$62,"OA")+COUNTIF(ASCOPE_PMESII!$H$3:$H$62,"OA")+COUNTIF(ASCOPE_PMESII!$J$3:$J$62,"OA")))),"")))))),"")</f>
        <v/>
      </c>
      <c r="C47" s="22" t="str">
        <f t="array" ref="C47">IFERROR(IF(44&lt;=COUNTIF(ASCOPE_PMESII!$B$3:$B$62,"RISK"),IFERROR(INDEX(ASCOPE_PMESII!$C$3:$C$62,_xlfn.AGGREGATE(15,6,(ROW(ASCOPE_PMESII!$B$3:$B$62)-ROW(ASCOPE_PMESII!$B$3)+1)/(ASCOPE_PMESII!$B$3:$B$62="RISK"),44)),""),IF(44&lt;=(COUNTIF(ASCOPE_PMESII!$B$3:$B$62,"RISK")+COUNTIF(ASCOPE_PMESII!$D$3:$D$62,"RISK")),IFERROR(INDEX(ASCOPE_PMESII!$E$3:$E$62,_xlfn.AGGREGATE(15,6,(ROW(ASCOPE_PMESII!$D$3:$D$62)-ROW(ASCOPE_PMESII!$D$3)+1)/(ASCOPE_PMESII!$D$3:$D$62="RISK"),44-(COUNTIF(ASCOPE_PMESII!$B$3:$B$62,"RISK")))),""),IF(44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44-(COUNTIF(ASCOPE_PMESII!$B$3:$B$62,"RISK")+COUNTIF(ASCOPE_PMESII!$D$3:$D$62,"RISK")))),""),IF(44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44-(COUNTIF(ASCOPE_PMESII!$B$3:$B$62,"RISK")+COUNTIF(ASCOPE_PMESII!$D$3:$D$62,"RISK")+COUNTIF(ASCOPE_PMESII!$F$3:$F$62,"RISK")))),""),IF(44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44-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44-(COUNTIF(ASCOPE_PMESII!$B$3:$B$62,"RISK")+COUNTIF(ASCOPE_PMESII!$D$3:$D$62,"RISK")+COUNTIF(ASCOPE_PMESII!$F$3:$F$62,"RISK")+COUNTIF(ASCOPE_PMESII!$H$3:$H$62,"RISK")+COUNTIF(ASCOPE_PMESII!$J$3:$J$62,"RISK")))),"")))))),"")</f>
        <v/>
      </c>
      <c r="D47" s="22" t="str">
        <f t="array" ref="D47">IFERROR(IF(44&lt;=COUNTIF(ASCOPE_PMESII!$B$3:$B$62,"CV"),IFERROR(INDEX(ASCOPE_PMESII!$C$3:$C$62,_xlfn.AGGREGATE(15,6,(ROW(ASCOPE_PMESII!$B$3:$B$62)-ROW(ASCOPE_PMESII!$B$3)+1)/(ASCOPE_PMESII!$B$3:$B$62="CV"),44)),""),IF(44&lt;=(COUNTIF(ASCOPE_PMESII!$B$3:$B$62,"CV")+COUNTIF(ASCOPE_PMESII!$D$3:$D$62,"CV")),IFERROR(INDEX(ASCOPE_PMESII!$E$3:$E$62,_xlfn.AGGREGATE(15,6,(ROW(ASCOPE_PMESII!$D$3:$D$62)-ROW(ASCOPE_PMESII!$D$3)+1)/(ASCOPE_PMESII!$D$3:$D$62="CV"),44-(COUNTIF(ASCOPE_PMESII!$B$3:$B$62,"CV")))),""),IF(44&lt;=(COUNTIF(ASCOPE_PMESII!$B$3:$B$62,"CV")+COUNTIF(ASCOPE_PMESII!$D$3:$D$62,"CV")+COUNTIF(ASCOPE_PMESII!$F$3:$F$62,"CV")),IFERROR(INDEX(ASCOPE_PMESII!$G$3:$G$62,_xlfn.AGGREGATE(15,6,(ROW(ASCOPE_PMESII!$F$3:$F$62)-ROW(ASCOPE_PMESII!$F$3)+1)/(ASCOPE_PMESII!$F$3:$F$62="CV"),44-(COUNTIF(ASCOPE_PMESII!$B$3:$B$62,"CV")+COUNTIF(ASCOPE_PMESII!$D$3:$D$62,"CV")))),""),IF(44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44-(COUNTIF(ASCOPE_PMESII!$B$3:$B$62,"CV")+COUNTIF(ASCOPE_PMESII!$D$3:$D$62,"CV")+COUNTIF(ASCOPE_PMESII!$F$3:$F$62,"CV")))),""),IF(44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44-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44-(COUNTIF(ASCOPE_PMESII!$B$3:$B$62,"CV")+COUNTIF(ASCOPE_PMESII!$D$3:$D$62,"CV")+COUNTIF(ASCOPE_PMESII!$F$3:$F$62,"CV")+COUNTIF(ASCOPE_PMESII!$H$3:$H$62,"CV")+COUNTIF(ASCOPE_PMESII!$J$3:$J$62,"CV")))),"")))))),"")</f>
        <v>Population separates sovereignty from Java dominance</v>
      </c>
      <c r="E47" s="22" t="str">
        <f t="array" ref="E47">IFERROR(IF(44&lt;=COUNTIF(ASCOPE_PMESII!$B$3:$B$62,"COR"),IFERROR(INDEX(ASCOPE_PMESII!$C$3:$C$62,_xlfn.AGGREGATE(15,6,(ROW(ASCOPE_PMESII!$B$3:$B$62)-ROW(ASCOPE_PMESII!$B$3)+1)/(ASCOPE_PMESII!$B$3:$B$62="COR"),44)),""),IF(44&lt;=(COUNTIF(ASCOPE_PMESII!$B$3:$B$62,"COR")+COUNTIF(ASCOPE_PMESII!$D$3:$D$62,"COR")),IFERROR(INDEX(ASCOPE_PMESII!$E$3:$E$62,_xlfn.AGGREGATE(15,6,(ROW(ASCOPE_PMESII!$D$3:$D$62)-ROW(ASCOPE_PMESII!$D$3)+1)/(ASCOPE_PMESII!$D$3:$D$62="COR"),44-(COUNTIF(ASCOPE_PMESII!$B$3:$B$62,"COR")))),""),IF(44&lt;=(COUNTIF(ASCOPE_PMESII!$B$3:$B$62,"COR")+COUNTIF(ASCOPE_PMESII!$D$3:$D$62,"COR")+COUNTIF(ASCOPE_PMESII!$F$3:$F$62,"COR")),IFERROR(INDEX(ASCOPE_PMESII!$G$3:$G$62,_xlfn.AGGREGATE(15,6,(ROW(ASCOPE_PMESII!$F$3:$F$62)-ROW(ASCOPE_PMESII!$F$3)+1)/(ASCOPE_PMESII!$F$3:$F$62="COR"),44-(COUNTIF(ASCOPE_PMESII!$B$3:$B$62,"COR")+COUNTIF(ASCOPE_PMESII!$D$3:$D$62,"COR")))),""),IF(44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44-(COUNTIF(ASCOPE_PMESII!$B$3:$B$62,"COR")+COUNTIF(ASCOPE_PMESII!$D$3:$D$62,"COR")+COUNTIF(ASCOPE_PMESII!$F$3:$F$62,"COR")))),""),IF(44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44-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44-(COUNTIF(ASCOPE_PMESII!$B$3:$B$62,"COR")+COUNTIF(ASCOPE_PMESII!$D$3:$D$62,"COR")+COUNTIF(ASCOPE_PMESII!$F$3:$F$62,"COR")+COUNTIF(ASCOPE_PMESII!$H$3:$H$62,"COR")+COUNTIF(ASCOPE_PMESII!$J$3:$J$62,"COR")))),"")))))),"")</f>
        <v/>
      </c>
      <c r="F47" s="22" t="str">
        <f t="array" ref="F47">IFERROR(IF(44&lt;=COUNTIF(ASCOPE_PMESII!$B$3:$B$62,"REQT"),IFERROR(INDEX(ASCOPE_PMESII!$C$3:$C$62,_xlfn.AGGREGATE(15,6,(ROW(ASCOPE_PMESII!$B$3:$B$62)-ROW(ASCOPE_PMESII!$B$3)+1)/(ASCOPE_PMESII!$B$3:$B$62="REQT"),44)),""),IF(44&lt;=(COUNTIF(ASCOPE_PMESII!$B$3:$B$62,"REQT")+COUNTIF(ASCOPE_PMESII!$D$3:$D$62,"REQT")),IFERROR(INDEX(ASCOPE_PMESII!$E$3:$E$62,_xlfn.AGGREGATE(15,6,(ROW(ASCOPE_PMESII!$D$3:$D$62)-ROW(ASCOPE_PMESII!$D$3)+1)/(ASCOPE_PMESII!$D$3:$D$62="REQT"),44-(COUNTIF(ASCOPE_PMESII!$B$3:$B$62,"REQT")))),""),IF(44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44-(COUNTIF(ASCOPE_PMESII!$B$3:$B$62,"REQT")+COUNTIF(ASCOPE_PMESII!$D$3:$D$62,"REQT")))),""),IF(44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44-(COUNTIF(ASCOPE_PMESII!$B$3:$B$62,"REQT")+COUNTIF(ASCOPE_PMESII!$D$3:$D$62,"REQT")+COUNTIF(ASCOPE_PMESII!$F$3:$F$62,"REQT")))),""),IF(44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44-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44-(COUNTIF(ASCOPE_PMESII!$B$3:$B$62,"REQT")+COUNTIF(ASCOPE_PMESII!$D$3:$D$62,"REQT")+COUNTIF(ASCOPE_PMESII!$F$3:$F$62,"REQT")+COUNTIF(ASCOPE_PMESII!$H$3:$H$62,"REQT")+COUNTIF(ASCOPE_PMESII!$J$3:$J$62,"REQT")))),"")))))),"")</f>
        <v/>
      </c>
      <c r="G47" s="22" t="str">
        <f t="array" ref="G47">IFERROR(IF(44&lt;=COUNTIF(ASCOPE_PMESII!$B$3:$B$62,"REST"),IFERROR(INDEX(ASCOPE_PMESII!$C$3:$C$62,_xlfn.AGGREGATE(15,6,(ROW(ASCOPE_PMESII!$B$3:$B$62)-ROW(ASCOPE_PMESII!$B$3)+1)/(ASCOPE_PMESII!$B$3:$B$62="REST"),44)),""),IF(44&lt;=(COUNTIF(ASCOPE_PMESII!$B$3:$B$62,"REST")+COUNTIF(ASCOPE_PMESII!$D$3:$D$62,"REST")),IFERROR(INDEX(ASCOPE_PMESII!$E$3:$E$62,_xlfn.AGGREGATE(15,6,(ROW(ASCOPE_PMESII!$D$3:$D$62)-ROW(ASCOPE_PMESII!$D$3)+1)/(ASCOPE_PMESII!$D$3:$D$62="REST"),44-(COUNTIF(ASCOPE_PMESII!$B$3:$B$62,"REST")))),""),IF(44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44-(COUNTIF(ASCOPE_PMESII!$B$3:$B$62,"REST")+COUNTIF(ASCOPE_PMESII!$D$3:$D$62,"REST")))),""),IF(44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44-(COUNTIF(ASCOPE_PMESII!$B$3:$B$62,"REST")+COUNTIF(ASCOPE_PMESII!$D$3:$D$62,"REST")+COUNTIF(ASCOPE_PMESII!$F$3:$F$62,"REST")))),""),IF(44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44-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44-(COUNTIF(ASCOPE_PMESII!$B$3:$B$62,"REST")+COUNTIF(ASCOPE_PMESII!$D$3:$D$62,"REST")+COUNTIF(ASCOPE_PMESII!$F$3:$F$62,"REST")+COUNTIF(ASCOPE_PMESII!$H$3:$H$62,"REST")+COUNTIF(ASCOPE_PMESII!$J$3:$J$62,"REST")))),"")))))),"")</f>
        <v/>
      </c>
      <c r="H47" s="22" t="str">
        <f t="array" ref="H47">IFERROR(IF(44&lt;=COUNTIF(ASCOPE_PMESII!$B$3:$B$62,"KCD-MUST"),IFERROR(INDEX(ASCOPE_PMESII!$C$3:$C$62,_xlfn.AGGREGATE(15,6,(ROW(ASCOPE_PMESII!$B$3:$B$62)-ROW(ASCOPE_PMESII!$B$3)+1)/(ASCOPE_PMESII!$B$3:$B$62="KCD-MUST"),44)),""),IF(44&lt;=(COUNTIF(ASCOPE_PMESII!$B$3:$B$62,"KCD-MUST")+COUNTIF(ASCOPE_PMESII!$D$3:$D$62,"KCD-MUST")),IFERROR(INDEX(ASCOPE_PMESII!$E$3:$E$62,_xlfn.AGGREGATE(15,6,(ROW(ASCOPE_PMESII!$D$3:$D$62)-ROW(ASCOPE_PMESII!$D$3)+1)/(ASCOPE_PMESII!$D$3:$D$62="KCD-MUST"),44-(COUNTIF(ASCOPE_PMESII!$B$3:$B$62,"KCD-MUST")))),""),IF(44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44-(COUNTIF(ASCOPE_PMESII!$B$3:$B$62,"KCD-MUST")+COUNTIF(ASCOPE_PMESII!$D$3:$D$62,"KCD-MUST")))),""),IF(44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44-(COUNTIF(ASCOPE_PMESII!$B$3:$B$62,"KCD-MUST")+COUNTIF(ASCOPE_PMESII!$D$3:$D$62,"KCD-MUST")+COUNTIF(ASCOPE_PMESII!$F$3:$F$62,"KCD-MUST")))),""),IF(44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44-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44-(COUNTIF(ASCOPE_PMESII!$B$3:$B$62,"KCD-MUST")+COUNTIF(ASCOPE_PMESII!$D$3:$D$62,"KCD-MUST")+COUNTIF(ASCOPE_PMESII!$F$3:$F$62,"KCD-MUST")+COUNTIF(ASCOPE_PMESII!$H$3:$H$62,"KCD-MUST")+COUNTIF(ASCOPE_PMESII!$J$3:$J$62,"KCD-MUST")))),"")))))),"")</f>
        <v/>
      </c>
      <c r="I47" s="22" t="str">
        <f t="array" ref="I47">IFERROR(IF(44&lt;=COUNTIF(ASCOPE_PMESII!$B$3:$B$62,"KCD-SHOULD"),IFERROR(INDEX(ASCOPE_PMESII!$C$3:$C$62,_xlfn.AGGREGATE(15,6,(ROW(ASCOPE_PMESII!$B$3:$B$62)-ROW(ASCOPE_PMESII!$B$3)+1)/(ASCOPE_PMESII!$B$3:$B$62="KCD-SHOULD"),44)),""),IF(44&lt;=(COUNTIF(ASCOPE_PMESII!$B$3:$B$62,"KCD-SHOULD")+COUNTIF(ASCOPE_PMESII!$D$3:$D$62,"KCD-SHOULD")),IFERROR(INDEX(ASCOPE_PMESII!$E$3:$E$62,_xlfn.AGGREGATE(15,6,(ROW(ASCOPE_PMESII!$D$3:$D$62)-ROW(ASCOPE_PMESII!$D$3)+1)/(ASCOPE_PMESII!$D$3:$D$62="KCD-SHOULD"),44-(COUNTIF(ASCOPE_PMESII!$B$3:$B$62,"KCD-SHOULD")))),""),IF(44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44-(COUNTIF(ASCOPE_PMESII!$B$3:$B$62,"KCD-SHOULD")+COUNTIF(ASCOPE_PMESII!$D$3:$D$62,"KCD-SHOULD")))),""),IF(44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44-(COUNTIF(ASCOPE_PMESII!$B$3:$B$62,"KCD-SHOULD")+COUNTIF(ASCOPE_PMESII!$D$3:$D$62,"KCD-SHOULD")+COUNTIF(ASCOPE_PMESII!$F$3:$F$62,"KCD-SHOULD")))),""),IF(44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44-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44-(COUNTIF(ASCOPE_PMESII!$B$3:$B$62,"KCD-SHOULD")+COUNTIF(ASCOPE_PMESII!$D$3:$D$62,"KCD-SHOULD")+COUNTIF(ASCOPE_PMESII!$F$3:$F$62,"KCD-SHOULD")+COUNTIF(ASCOPE_PMESII!$H$3:$H$62,"KCD-SHOULD")+COUNTIF(ASCOPE_PMESII!$J$3:$J$62,"KCD-SHOULD")))),"")))))),"")</f>
        <v/>
      </c>
      <c r="J47" s="22" t="str">
        <f t="array" ref="J47">IFERROR(IF(44&lt;=COUNTIF(ASCOPE_PMESII!$B$3:$B$62,"KCD-SHOULD NOT"),IFERROR(INDEX(ASCOPE_PMESII!$C$3:$C$62,_xlfn.AGGREGATE(15,6,(ROW(ASCOPE_PMESII!$B$3:$B$62)-ROW(ASCOPE_PMESII!$B$3)+1)/(ASCOPE_PMESII!$B$3:$B$62="KCD-SHOULD NOT"),44)),""),IF(44&lt;=(COUNTIF(ASCOPE_PMESII!$B$3:$B$62,"KCD-SHOULD NOT")+COUNTIF(ASCOPE_PMESII!$D$3:$D$62,"KCD-SHOULD NOT")),IFERROR(INDEX(ASCOPE_PMESII!$E$3:$E$62,_xlfn.AGGREGATE(15,6,(ROW(ASCOPE_PMESII!$D$3:$D$62)-ROW(ASCOPE_PMESII!$D$3)+1)/(ASCOPE_PMESII!$D$3:$D$62="KCD-SHOULD NOT"),44-(COUNTIF(ASCOPE_PMESII!$B$3:$B$62,"KCD-SHOULD NOT")))),""),IF(44&lt;=(COUNTIF(ASCOPE_PMESII!$B$3:$B$62,"KCD-SHOULD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NOT"),44-(COUNTIF(ASCOPE_PMESII!$B$3:$B$62,"KCD-SHOULD NOT")+COUNTIF(ASCOPE_PMESII!$D$3:$D$62,"KCD-SHOULD NOT")))),""),IF(44&lt;=(COUNTIF(ASCOPE_PMESII!$B$3:$B$62,"KCD-SHOULD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NOT"),44-(COUNTIF(ASCOPE_PMESII!$B$3:$B$62,"KCD-SHOULD NOT")+COUNTIF(ASCOPE_PMESII!$D$3:$D$62,"KCD-SHOULD NOT")+COUNTIF(ASCOPE_PMESII!$F$3:$F$62,"KCD-SHOULD NOT")))),""),IF(44&lt;=(COUNTIF(ASCOPE_PMESII!$B$3:$B$62,"KCD-SHOULD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NOT"),44-(COUNTIF(ASCOPE_PMESII!$B$3:$B$62,"KCD-SHOULD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NOT"),44-(COUNTIF(ASCOPE_PMESII!$B$3:$B$62,"KCD-SHOULD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47" s="22" t="str">
        <f t="array" ref="K47">IFERROR(IF(44&lt;=COUNTIF(ASCOPE_PMESII!$B$3:$B$62,"KCD-CANNOT"),IFERROR(INDEX(ASCOPE_PMESII!$C$3:$C$62,_xlfn.AGGREGATE(15,6,(ROW(ASCOPE_PMESII!$B$3:$B$62)-ROW(ASCOPE_PMESII!$B$3)+1)/(ASCOPE_PMESII!$B$3:$B$62="KCD-CANNOT"),44)),""),IF(44&lt;=(COUNTIF(ASCOPE_PMESII!$B$3:$B$62,"KCD-CANNOT")+COUNTIF(ASCOPE_PMESII!$D$3:$D$62,"KCD-CANNOT")),IFERROR(INDEX(ASCOPE_PMESII!$E$3:$E$62,_xlfn.AGGREGATE(15,6,(ROW(ASCOPE_PMESII!$D$3:$D$62)-ROW(ASCOPE_PMESII!$D$3)+1)/(ASCOPE_PMESII!$D$3:$D$62="KCD-CANNOT"),44-(COUNTIF(ASCOPE_PMESII!$B$3:$B$62,"KCD-CANNOT")))),""),IF(44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44-(COUNTIF(ASCOPE_PMESII!$B$3:$B$62,"KCD-CANNOT")+COUNTIF(ASCOPE_PMESII!$D$3:$D$62,"KCD-CANNOT")))),""),IF(44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44-(COUNTIF(ASCOPE_PMESII!$B$3:$B$62,"KCD-CANNOT")+COUNTIF(ASCOPE_PMESII!$D$3:$D$62,"KCD-CANNOT")+COUNTIF(ASCOPE_PMESII!$F$3:$F$62,"KCD-CANNOT")))),""),IF(44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44-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44-(COUNTIF(ASCOPE_PMESII!$B$3:$B$62,"KCD-CANNOT")+COUNTIF(ASCOPE_PMESII!$D$3:$D$62,"KCD-CANNOT")+COUNTIF(ASCOPE_PMESII!$F$3:$F$62,"KCD-CANNOT")+COUNTIF(ASCOPE_PMESII!$H$3:$H$62,"KCD-CANNOT")+COUNTIF(ASCOPE_PMESII!$J$3:$J$62,"KCD-CANNOT")))),"")))))),"")</f>
        <v/>
      </c>
      <c r="L47" s="22" t="str">
        <f t="array" ref="L47">IFERROR(IF(44&lt;=COUNTIF(ASCOPE_PMESII!$B$3:$B$62,"DECISION"),IFERROR(INDEX(ASCOPE_PMESII!$C$3:$C$62,_xlfn.AGGREGATE(15,6,(ROW(ASCOPE_PMESII!$B$3:$B$62)-ROW(ASCOPE_PMESII!$B$3)+1)/(ASCOPE_PMESII!$B$3:$B$62="DECISION"),44)),""),IF(44&lt;=(COUNTIF(ASCOPE_PMESII!$B$3:$B$62,"DECISION")+COUNTIF(ASCOPE_PMESII!$D$3:$D$62,"DECISION")),IFERROR(INDEX(ASCOPE_PMESII!$E$3:$E$62,_xlfn.AGGREGATE(15,6,(ROW(ASCOPE_PMESII!$D$3:$D$62)-ROW(ASCOPE_PMESII!$D$3)+1)/(ASCOPE_PMESII!$D$3:$D$62="DECISION"),44-(COUNTIF(ASCOPE_PMESII!$B$3:$B$62,"DECISION")))),""),IF(44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44-(COUNTIF(ASCOPE_PMESII!$B$3:$B$62,"DECISION")+COUNTIF(ASCOPE_PMESII!$D$3:$D$62,"DECISION")))),""),IF(44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44-(COUNTIF(ASCOPE_PMESII!$B$3:$B$62,"DECISION")+COUNTIF(ASCOPE_PMESII!$D$3:$D$62,"DECISION")+COUNTIF(ASCOPE_PMESII!$F$3:$F$62,"DECISION")))),""),IF(44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44-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44-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47" s="22" t="str">
        <f t="array" ref="M47">IFERROR(IF(44&lt;=COUNTIF(ASCOPE_PMESII!$B$3:$B$62,"ASSUMPTION"),IFERROR(INDEX(ASCOPE_PMESII!$C$3:$C$62,_xlfn.AGGREGATE(15,6,(ROW(ASCOPE_PMESII!$B$3:$B$62)-ROW(ASCOPE_PMESII!$B$3)+1)/(ASCOPE_PMESII!$B$3:$B$62="ASSUMPTION"),44)),""),IF(44&lt;=(COUNTIF(ASCOPE_PMESII!$B$3:$B$62,"ASSUMPTION")+COUNTIF(ASCOPE_PMESII!$D$3:$D$62,"ASSUMPTION")),IFERROR(INDEX(ASCOPE_PMESII!$E$3:$E$62,_xlfn.AGGREGATE(15,6,(ROW(ASCOPE_PMESII!$D$3:$D$62)-ROW(ASCOPE_PMESII!$D$3)+1)/(ASCOPE_PMESII!$D$3:$D$62="ASSUMPTION"),44-(COUNTIF(ASCOPE_PMESII!$B$3:$B$62,"ASSUMPTION")))),""),IF(44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44-(COUNTIF(ASCOPE_PMESII!$B$3:$B$62,"ASSUMPTION")+COUNTIF(ASCOPE_PMESII!$D$3:$D$62,"ASSUMPTION")))),""),IF(44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44-(COUNTIF(ASCOPE_PMESII!$B$3:$B$62,"ASSUMPTION")+COUNTIF(ASCOPE_PMESII!$D$3:$D$62,"ASSUMPTION")+COUNTIF(ASCOPE_PMESII!$F$3:$F$62,"ASSUMPTION")))),""),IF(44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44-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44-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47" s="22" t="str">
        <f t="array" ref="N47">IFERROR(IF(44&lt;=COUNTIF(ASCOPE_PMESII!$B$3:$B$62,"CONSTRAINT"),IFERROR(INDEX(ASCOPE_PMESII!$C$3:$C$62,_xlfn.AGGREGATE(15,6,(ROW(ASCOPE_PMESII!$B$3:$B$62)-ROW(ASCOPE_PMESII!$B$3)+1)/(ASCOPE_PMESII!$B$3:$B$62="CONSTRAINT"),44)),""),IF(44&lt;=(COUNTIF(ASCOPE_PMESII!$B$3:$B$62,"CONSTRAINT")+COUNTIF(ASCOPE_PMESII!$D$3:$D$62,"CONSTRAINT")),IFERROR(INDEX(ASCOPE_PMESII!$E$3:$E$62,_xlfn.AGGREGATE(15,6,(ROW(ASCOPE_PMESII!$D$3:$D$62)-ROW(ASCOPE_PMESII!$D$3)+1)/(ASCOPE_PMESII!$D$3:$D$62="CONSTRAINT"),44-(COUNTIF(ASCOPE_PMESII!$B$3:$B$62,"CONSTRAINT")))),""),IF(44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44-(COUNTIF(ASCOPE_PMESII!$B$3:$B$62,"CONSTRAINT")+COUNTIF(ASCOPE_PMESII!$D$3:$D$62,"CONSTRAINT")))),""),IF(44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44-(COUNTIF(ASCOPE_PMESII!$B$3:$B$62,"CONSTRAINT")+COUNTIF(ASCOPE_PMESII!$D$3:$D$62,"CONSTRAINT")+COUNTIF(ASCOPE_PMESII!$F$3:$F$62,"CONSTRAINT")))),""),IF(44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44-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44-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47" s="22" t="str">
        <f t="array" ref="O47">IFERROR(IF(44&lt;=COUNTIF(ASCOPE_PMESII!$B$3:$B$62,"LIMITATION"),IFERROR(INDEX(ASCOPE_PMESII!$C$3:$C$62,_xlfn.AGGREGATE(15,6,(ROW(ASCOPE_PMESII!$B$3:$B$62)-ROW(ASCOPE_PMESII!$B$3)+1)/(ASCOPE_PMESII!$B$3:$B$62="LIMITATION"),44)),""),IF(44&lt;=(COUNTIF(ASCOPE_PMESII!$B$3:$B$62,"LIMITATION")+COUNTIF(ASCOPE_PMESII!$D$3:$D$62,"LIMITATION")),IFERROR(INDEX(ASCOPE_PMESII!$E$3:$E$62,_xlfn.AGGREGATE(15,6,(ROW(ASCOPE_PMESII!$D$3:$D$62)-ROW(ASCOPE_PMESII!$D$3)+1)/(ASCOPE_PMESII!$D$3:$D$62="LIMITATION"),44-(COUNTIF(ASCOPE_PMESII!$B$3:$B$62,"LIMITATION")))),""),IF(44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44-(COUNTIF(ASCOPE_PMESII!$B$3:$B$62,"LIMITATION")+COUNTIF(ASCOPE_PMESII!$D$3:$D$62,"LIMITATION")))),""),IF(44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44-(COUNTIF(ASCOPE_PMESII!$B$3:$B$62,"LIMITATION")+COUNTIF(ASCOPE_PMESII!$D$3:$D$62,"LIMITATION")+COUNTIF(ASCOPE_PMESII!$F$3:$F$62,"LIMITATION")))),""),IF(44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44-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44-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47" s="22" t="str">
        <f t="array" ref="P47">IFERROR(IF(44&lt;=COUNTIF(ASCOPE_PMESII!$B$3:$B$62,"CC"),IFERROR(INDEX(ASCOPE_PMESII!$C$3:$C$62,_xlfn.AGGREGATE(15,6,(ROW(ASCOPE_PMESII!$B$3:$B$62)-ROW(ASCOPE_PMESII!$B$3)+1)/(ASCOPE_PMESII!$B$3:$B$62="CC"),44)),""),IF(44&lt;=(COUNTIF(ASCOPE_PMESII!$B$3:$B$62,"CC")+COUNTIF(ASCOPE_PMESII!$D$3:$D$62,"CC")),IFERROR(INDEX(ASCOPE_PMESII!$E$3:$E$62,_xlfn.AGGREGATE(15,6,(ROW(ASCOPE_PMESII!$D$3:$D$62)-ROW(ASCOPE_PMESII!$D$3)+1)/(ASCOPE_PMESII!$D$3:$D$62="CC"),44-(COUNTIF(ASCOPE_PMESII!$B$3:$B$62,"CC")))),""),IF(44&lt;=(COUNTIF(ASCOPE_PMESII!$B$3:$B$62,"CC")+COUNTIF(ASCOPE_PMESII!$D$3:$D$62,"CC")+COUNTIF(ASCOPE_PMESII!$F$3:$F$62,"CC")),IFERROR(INDEX(ASCOPE_PMESII!$G$3:$G$62,_xlfn.AGGREGATE(15,6,(ROW(ASCOPE_PMESII!$F$3:$F$62)-ROW(ASCOPE_PMESII!$F$3)+1)/(ASCOPE_PMESII!$F$3:$F$62="CC"),44-(COUNTIF(ASCOPE_PMESII!$B$3:$B$62,"CC")+COUNTIF(ASCOPE_PMESII!$D$3:$D$62,"CC")))),""),IF(44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44-(COUNTIF(ASCOPE_PMESII!$B$3:$B$62,"CC")+COUNTIF(ASCOPE_PMESII!$D$3:$D$62,"CC")+COUNTIF(ASCOPE_PMESII!$F$3:$F$62,"CC")))),""),IF(44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44-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44-(COUNTIF(ASCOPE_PMESII!$B$3:$B$62,"CC")+COUNTIF(ASCOPE_PMESII!$D$3:$D$62,"CC")+COUNTIF(ASCOPE_PMESII!$F$3:$F$62,"CC")+COUNTIF(ASCOPE_PMESII!$H$3:$H$62,"CC")+COUNTIF(ASCOPE_PMESII!$J$3:$J$62,"CC")))),"")))))),"")</f>
        <v/>
      </c>
      <c r="Q47" s="22" t="str">
        <f t="array" ref="Q47">IFERROR(IF(44&lt;=COUNTIF(ASCOPE_PMESII!$B$3:$B$62,"CR"),IFERROR(INDEX(ASCOPE_PMESII!$C$3:$C$62,_xlfn.AGGREGATE(15,6,(ROW(ASCOPE_PMESII!$B$3:$B$62)-ROW(ASCOPE_PMESII!$B$3)+1)/(ASCOPE_PMESII!$B$3:$B$62="CR"),44)),""),IF(44&lt;=(COUNTIF(ASCOPE_PMESII!$B$3:$B$62,"CR")+COUNTIF(ASCOPE_PMESII!$D$3:$D$62,"CR")),IFERROR(INDEX(ASCOPE_PMESII!$E$3:$E$62,_xlfn.AGGREGATE(15,6,(ROW(ASCOPE_PMESII!$D$3:$D$62)-ROW(ASCOPE_PMESII!$D$3)+1)/(ASCOPE_PMESII!$D$3:$D$62="CR"),44-(COUNTIF(ASCOPE_PMESII!$B$3:$B$62,"CR")))),""),IF(44&lt;=(COUNTIF(ASCOPE_PMESII!$B$3:$B$62,"CR")+COUNTIF(ASCOPE_PMESII!$D$3:$D$62,"CR")+COUNTIF(ASCOPE_PMESII!$F$3:$F$62,"CR")),IFERROR(INDEX(ASCOPE_PMESII!$G$3:$G$62,_xlfn.AGGREGATE(15,6,(ROW(ASCOPE_PMESII!$F$3:$F$62)-ROW(ASCOPE_PMESII!$F$3)+1)/(ASCOPE_PMESII!$F$3:$F$62="CR"),44-(COUNTIF(ASCOPE_PMESII!$B$3:$B$62,"CR")+COUNTIF(ASCOPE_PMESII!$D$3:$D$62,"CR")))),""),IF(44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44-(COUNTIF(ASCOPE_PMESII!$B$3:$B$62,"CR")+COUNTIF(ASCOPE_PMESII!$D$3:$D$62,"CR")+COUNTIF(ASCOPE_PMESII!$F$3:$F$62,"CR")))),""),IF(44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44-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44-(COUNTIF(ASCOPE_PMESII!$B$3:$B$62,"CR")+COUNTIF(ASCOPE_PMESII!$D$3:$D$62,"CR")+COUNTIF(ASCOPE_PMESII!$F$3:$F$62,"CR")+COUNTIF(ASCOPE_PMESII!$H$3:$H$62,"CR")+COUNTIF(ASCOPE_PMESII!$J$3:$J$62,"CR")))),"")))))),"")</f>
        <v/>
      </c>
      <c r="R47" s="95" t="str">
        <f t="array" ref="R47">IFERROR(IF(44&lt;=COUNTIF(ASCOPE_PMESII!$B$3:$B$62,"PCS"),IFERROR(INDEX(ASCOPE_PMESII!$C$3:$C$62,_xlfn.AGGREGATE(15,6,(ROW(ASCOPE_PMESII!$B$3:$B$62)-ROW(ASCOPE_PMESII!$B$3)+1)/(ASCOPE_PMESII!$B$3:$B$62="PCS"),44)),""),IF(44&lt;=(COUNTIF(ASCOPE_PMESII!$B$3:$B$62,"PCS")+COUNTIF(ASCOPE_PMESII!$D$3:$D$62,"PCS")),IFERROR(INDEX(ASCOPE_PMESII!$E$3:$E$62,_xlfn.AGGREGATE(15,6,(ROW(ASCOPE_PMESII!$D$3:$D$62)-ROW(ASCOPE_PMESII!$D$3)+1)/(ASCOPE_PMESII!$D$3:$D$62="PCS"),44-(COUNTIF(ASCOPE_PMESII!$B$3:$B$62,"PCS")))),""),IF(44&lt;=(COUNTIF(ASCOPE_PMESII!$B$3:$B$62,"PCS")+COUNTIF(ASCOPE_PMESII!$D$3:$D$62,"PCS")+COUNTIF(ASCOPE_PMESII!$F$3:$F$62,"PCS")),IFERROR(INDEX(ASCOPE_PMESII!$G$3:$G$62,_xlfn.AGGREGATE(15,6,(ROW(ASCOPE_PMESII!$F$3:$F$62)-ROW(ASCOPE_PMESII!$F$3)+1)/(ASCOPE_PMESII!$F$3:$F$62="PCS"),44-(COUNTIF(ASCOPE_PMESII!$B$3:$B$62,"PCS")+COUNTIF(ASCOPE_PMESII!$D$3:$D$62,"PCS")))),""),IF(44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44-(COUNTIF(ASCOPE_PMESII!$B$3:$B$62,"PCS")+COUNTIF(ASCOPE_PMESII!$D$3:$D$62,"PCS")+COUNTIF(ASCOPE_PMESII!$F$3:$F$62,"PCS")))),""),IF(44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44-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44-(COUNTIF(ASCOPE_PMESII!$B$3:$B$62,"PCS")+COUNTIF(ASCOPE_PMESII!$D$3:$D$62,"PCS")+COUNTIF(ASCOPE_PMESII!$F$3:$F$62,"PCS")+COUNTIF(ASCOPE_PMESII!$H$3:$H$62,"PCS")+COUNTIF(ASCOPE_PMESII!$J$3:$J$62,"PCS")))),"")))))),"")</f>
        <v/>
      </c>
    </row>
    <row r="48" spans="1:18" ht="34.5" customHeight="1">
      <c r="A48" s="21" t="str">
        <f t="array" ref="A48">IFERROR(IF(45&lt;=COUNTIF(ASCOPE_PMESII!$B$3:$B$62,"OE"),IFERROR(INDEX(ASCOPE_PMESII!$C$3:$C$62,_xlfn.AGGREGATE(15,6,(ROW(ASCOPE_PMESII!$B$3:$B$62)-ROW(ASCOPE_PMESII!$B$3)+1)/(ASCOPE_PMESII!$B$3:$B$62="OE"),45)),""),IF(45&lt;=(COUNTIF(ASCOPE_PMESII!$B$3:$B$62,"OE")+COUNTIF(ASCOPE_PMESII!$D$3:$D$62,"OE")),IFERROR(INDEX(ASCOPE_PMESII!$E$3:$E$62,_xlfn.AGGREGATE(15,6,(ROW(ASCOPE_PMESII!$D$3:$D$62)-ROW(ASCOPE_PMESII!$D$3)+1)/(ASCOPE_PMESII!$D$3:$D$62="OE"),45-(COUNTIF(ASCOPE_PMESII!$B$3:$B$62,"OE")))),""),IF(45&lt;=(COUNTIF(ASCOPE_PMESII!$B$3:$B$62,"OE")+COUNTIF(ASCOPE_PMESII!$D$3:$D$62,"OE")+COUNTIF(ASCOPE_PMESII!$F$3:$F$62,"OE")),IFERROR(INDEX(ASCOPE_PMESII!$G$3:$G$62,_xlfn.AGGREGATE(15,6,(ROW(ASCOPE_PMESII!$F$3:$F$62)-ROW(ASCOPE_PMESII!$F$3)+1)/(ASCOPE_PMESII!$F$3:$F$62="OE"),45-(COUNTIF(ASCOPE_PMESII!$B$3:$B$62,"OE")+COUNTIF(ASCOPE_PMESII!$D$3:$D$62,"OE")))),""),IF(45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45-(COUNTIF(ASCOPE_PMESII!$B$3:$B$62,"OE")+COUNTIF(ASCOPE_PMESII!$D$3:$D$62,"OE")+COUNTIF(ASCOPE_PMESII!$F$3:$F$62,"OE")))),""),IF(45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45-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45-(COUNTIF(ASCOPE_PMESII!$B$3:$B$62,"OE")+COUNTIF(ASCOPE_PMESII!$D$3:$D$62,"OE")+COUNTIF(ASCOPE_PMESII!$F$3:$F$62,"OE")+COUNTIF(ASCOPE_PMESII!$H$3:$H$62,"OE")+COUNTIF(ASCOPE_PMESII!$J$3:$J$62,"OE")))),"")))))),"")</f>
        <v/>
      </c>
      <c r="B48" s="21" t="str">
        <f t="array" ref="B48">IFERROR(IF(45&lt;=COUNTIF(ASCOPE_PMESII!$B$3:$B$62,"OA"),IFERROR(INDEX(ASCOPE_PMESII!$C$3:$C$62,_xlfn.AGGREGATE(15,6,(ROW(ASCOPE_PMESII!$B$3:$B$62)-ROW(ASCOPE_PMESII!$B$3)+1)/(ASCOPE_PMESII!$B$3:$B$62="OA"),45)),""),IF(45&lt;=(COUNTIF(ASCOPE_PMESII!$B$3:$B$62,"OA")+COUNTIF(ASCOPE_PMESII!$D$3:$D$62,"OA")),IFERROR(INDEX(ASCOPE_PMESII!$E$3:$E$62,_xlfn.AGGREGATE(15,6,(ROW(ASCOPE_PMESII!$D$3:$D$62)-ROW(ASCOPE_PMESII!$D$3)+1)/(ASCOPE_PMESII!$D$3:$D$62="OA"),45-(COUNTIF(ASCOPE_PMESII!$B$3:$B$62,"OA")))),""),IF(45&lt;=(COUNTIF(ASCOPE_PMESII!$B$3:$B$62,"OA")+COUNTIF(ASCOPE_PMESII!$D$3:$D$62,"OA")+COUNTIF(ASCOPE_PMESII!$F$3:$F$62,"OA")),IFERROR(INDEX(ASCOPE_PMESII!$G$3:$G$62,_xlfn.AGGREGATE(15,6,(ROW(ASCOPE_PMESII!$F$3:$F$62)-ROW(ASCOPE_PMESII!$F$3)+1)/(ASCOPE_PMESII!$F$3:$F$62="OA"),45-(COUNTIF(ASCOPE_PMESII!$B$3:$B$62,"OA")+COUNTIF(ASCOPE_PMESII!$D$3:$D$62,"OA")))),""),IF(45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45-(COUNTIF(ASCOPE_PMESII!$B$3:$B$62,"OA")+COUNTIF(ASCOPE_PMESII!$D$3:$D$62,"OA")+COUNTIF(ASCOPE_PMESII!$F$3:$F$62,"OA")))),""),IF(45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45-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45-(COUNTIF(ASCOPE_PMESII!$B$3:$B$62,"OA")+COUNTIF(ASCOPE_PMESII!$D$3:$D$62,"OA")+COUNTIF(ASCOPE_PMESII!$F$3:$F$62,"OA")+COUNTIF(ASCOPE_PMESII!$H$3:$H$62,"OA")+COUNTIF(ASCOPE_PMESII!$J$3:$J$62,"OA")))),"")))))),"")</f>
        <v/>
      </c>
      <c r="C48" s="21" t="str">
        <f t="array" ref="C48">IFERROR(IF(45&lt;=COUNTIF(ASCOPE_PMESII!$B$3:$B$62,"RISK"),IFERROR(INDEX(ASCOPE_PMESII!$C$3:$C$62,_xlfn.AGGREGATE(15,6,(ROW(ASCOPE_PMESII!$B$3:$B$62)-ROW(ASCOPE_PMESII!$B$3)+1)/(ASCOPE_PMESII!$B$3:$B$62="RISK"),45)),""),IF(45&lt;=(COUNTIF(ASCOPE_PMESII!$B$3:$B$62,"RISK")+COUNTIF(ASCOPE_PMESII!$D$3:$D$62,"RISK")),IFERROR(INDEX(ASCOPE_PMESII!$E$3:$E$62,_xlfn.AGGREGATE(15,6,(ROW(ASCOPE_PMESII!$D$3:$D$62)-ROW(ASCOPE_PMESII!$D$3)+1)/(ASCOPE_PMESII!$D$3:$D$62="RISK"),45-(COUNTIF(ASCOPE_PMESII!$B$3:$B$62,"RISK")))),""),IF(45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45-(COUNTIF(ASCOPE_PMESII!$B$3:$B$62,"RISK")+COUNTIF(ASCOPE_PMESII!$D$3:$D$62,"RISK")))),""),IF(45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45-(COUNTIF(ASCOPE_PMESII!$B$3:$B$62,"RISK")+COUNTIF(ASCOPE_PMESII!$D$3:$D$62,"RISK")+COUNTIF(ASCOPE_PMESII!$F$3:$F$62,"RISK")))),""),IF(45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45-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45-(COUNTIF(ASCOPE_PMESII!$B$3:$B$62,"RISK")+COUNTIF(ASCOPE_PMESII!$D$3:$D$62,"RISK")+COUNTIF(ASCOPE_PMESII!$F$3:$F$62,"RISK")+COUNTIF(ASCOPE_PMESII!$H$3:$H$62,"RISK")+COUNTIF(ASCOPE_PMESII!$J$3:$J$62,"RISK")))),"")))))),"")</f>
        <v/>
      </c>
      <c r="D48" s="21" t="str">
        <f t="array" ref="D48">IFERROR(IF(45&lt;=COUNTIF(ASCOPE_PMESII!$B$3:$B$62,"CV"),IFERROR(INDEX(ASCOPE_PMESII!$C$3:$C$62,_xlfn.AGGREGATE(15,6,(ROW(ASCOPE_PMESII!$B$3:$B$62)-ROW(ASCOPE_PMESII!$B$3)+1)/(ASCOPE_PMESII!$B$3:$B$62="CV"),45)),""),IF(45&lt;=(COUNTIF(ASCOPE_PMESII!$B$3:$B$62,"CV")+COUNTIF(ASCOPE_PMESII!$D$3:$D$62,"CV")),IFERROR(INDEX(ASCOPE_PMESII!$E$3:$E$62,_xlfn.AGGREGATE(15,6,(ROW(ASCOPE_PMESII!$D$3:$D$62)-ROW(ASCOPE_PMESII!$D$3)+1)/(ASCOPE_PMESII!$D$3:$D$62="CV"),45-(COUNTIF(ASCOPE_PMESII!$B$3:$B$62,"CV")))),""),IF(45&lt;=(COUNTIF(ASCOPE_PMESII!$B$3:$B$62,"CV")+COUNTIF(ASCOPE_PMESII!$D$3:$D$62,"CV")+COUNTIF(ASCOPE_PMESII!$F$3:$F$62,"CV")),IFERROR(INDEX(ASCOPE_PMESII!$G$3:$G$62,_xlfn.AGGREGATE(15,6,(ROW(ASCOPE_PMESII!$F$3:$F$62)-ROW(ASCOPE_PMESII!$F$3)+1)/(ASCOPE_PMESII!$F$3:$F$62="CV"),45-(COUNTIF(ASCOPE_PMESII!$B$3:$B$62,"CV")+COUNTIF(ASCOPE_PMESII!$D$3:$D$62,"CV")))),""),IF(45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45-(COUNTIF(ASCOPE_PMESII!$B$3:$B$62,"CV")+COUNTIF(ASCOPE_PMESII!$D$3:$D$62,"CV")+COUNTIF(ASCOPE_PMESII!$F$3:$F$62,"CV")))),""),IF(45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45-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45-(COUNTIF(ASCOPE_PMESII!$B$3:$B$62,"CV")+COUNTIF(ASCOPE_PMESII!$D$3:$D$62,"CV")+COUNTIF(ASCOPE_PMESII!$F$3:$F$62,"CV")+COUNTIF(ASCOPE_PMESII!$H$3:$H$62,"CV")+COUNTIF(ASCOPE_PMESII!$J$3:$J$62,"CV")))),"")))))),"")</f>
        <v>Loyalty is ethnic, personal and momentum-based</v>
      </c>
      <c r="E48" s="21" t="str">
        <f t="array" ref="E48">IFERROR(IF(45&lt;=COUNTIF(ASCOPE_PMESII!$B$3:$B$62,"COR"),IFERROR(INDEX(ASCOPE_PMESII!$C$3:$C$62,_xlfn.AGGREGATE(15,6,(ROW(ASCOPE_PMESII!$B$3:$B$62)-ROW(ASCOPE_PMESII!$B$3)+1)/(ASCOPE_PMESII!$B$3:$B$62="COR"),45)),""),IF(45&lt;=(COUNTIF(ASCOPE_PMESII!$B$3:$B$62,"COR")+COUNTIF(ASCOPE_PMESII!$D$3:$D$62,"COR")),IFERROR(INDEX(ASCOPE_PMESII!$E$3:$E$62,_xlfn.AGGREGATE(15,6,(ROW(ASCOPE_PMESII!$D$3:$D$62)-ROW(ASCOPE_PMESII!$D$3)+1)/(ASCOPE_PMESII!$D$3:$D$62="COR"),45-(COUNTIF(ASCOPE_PMESII!$B$3:$B$62,"COR")))),""),IF(45&lt;=(COUNTIF(ASCOPE_PMESII!$B$3:$B$62,"COR")+COUNTIF(ASCOPE_PMESII!$D$3:$D$62,"COR")+COUNTIF(ASCOPE_PMESII!$F$3:$F$62,"COR")),IFERROR(INDEX(ASCOPE_PMESII!$G$3:$G$62,_xlfn.AGGREGATE(15,6,(ROW(ASCOPE_PMESII!$F$3:$F$62)-ROW(ASCOPE_PMESII!$F$3)+1)/(ASCOPE_PMESII!$F$3:$F$62="COR"),45-(COUNTIF(ASCOPE_PMESII!$B$3:$B$62,"COR")+COUNTIF(ASCOPE_PMESII!$D$3:$D$62,"COR")))),""),IF(45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45-(COUNTIF(ASCOPE_PMESII!$B$3:$B$62,"COR")+COUNTIF(ASCOPE_PMESII!$D$3:$D$62,"COR")+COUNTIF(ASCOPE_PMESII!$F$3:$F$62,"COR")))),""),IF(45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45-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45-(COUNTIF(ASCOPE_PMESII!$B$3:$B$62,"COR")+COUNTIF(ASCOPE_PMESII!$D$3:$D$62,"COR")+COUNTIF(ASCOPE_PMESII!$F$3:$F$62,"COR")+COUNTIF(ASCOPE_PMESII!$H$3:$H$62,"COR")+COUNTIF(ASCOPE_PMESII!$J$3:$J$62,"COR")))),"")))))),"")</f>
        <v/>
      </c>
      <c r="F48" s="21" t="str">
        <f t="array" ref="F48">IFERROR(IF(45&lt;=COUNTIF(ASCOPE_PMESII!$B$3:$B$62,"REQT"),IFERROR(INDEX(ASCOPE_PMESII!$C$3:$C$62,_xlfn.AGGREGATE(15,6,(ROW(ASCOPE_PMESII!$B$3:$B$62)-ROW(ASCOPE_PMESII!$B$3)+1)/(ASCOPE_PMESII!$B$3:$B$62="REQT"),45)),""),IF(45&lt;=(COUNTIF(ASCOPE_PMESII!$B$3:$B$62,"REQT")+COUNTIF(ASCOPE_PMESII!$D$3:$D$62,"REQT")),IFERROR(INDEX(ASCOPE_PMESII!$E$3:$E$62,_xlfn.AGGREGATE(15,6,(ROW(ASCOPE_PMESII!$D$3:$D$62)-ROW(ASCOPE_PMESII!$D$3)+1)/(ASCOPE_PMESII!$D$3:$D$62="REQT"),45-(COUNTIF(ASCOPE_PMESII!$B$3:$B$62,"REQT")))),""),IF(45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45-(COUNTIF(ASCOPE_PMESII!$B$3:$B$62,"REQT")+COUNTIF(ASCOPE_PMESII!$D$3:$D$62,"REQT")))),""),IF(45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45-(COUNTIF(ASCOPE_PMESII!$B$3:$B$62,"REQT")+COUNTIF(ASCOPE_PMESII!$D$3:$D$62,"REQT")+COUNTIF(ASCOPE_PMESII!$F$3:$F$62,"REQT")))),""),IF(45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45-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45-(COUNTIF(ASCOPE_PMESII!$B$3:$B$62,"REQT")+COUNTIF(ASCOPE_PMESII!$D$3:$D$62,"REQT")+COUNTIF(ASCOPE_PMESII!$F$3:$F$62,"REQT")+COUNTIF(ASCOPE_PMESII!$H$3:$H$62,"REQT")+COUNTIF(ASCOPE_PMESII!$J$3:$J$62,"REQT")))),"")))))),"")</f>
        <v/>
      </c>
      <c r="G48" s="21" t="str">
        <f t="array" ref="G48">IFERROR(IF(45&lt;=COUNTIF(ASCOPE_PMESII!$B$3:$B$62,"REST"),IFERROR(INDEX(ASCOPE_PMESII!$C$3:$C$62,_xlfn.AGGREGATE(15,6,(ROW(ASCOPE_PMESII!$B$3:$B$62)-ROW(ASCOPE_PMESII!$B$3)+1)/(ASCOPE_PMESII!$B$3:$B$62="REST"),45)),""),IF(45&lt;=(COUNTIF(ASCOPE_PMESII!$B$3:$B$62,"REST")+COUNTIF(ASCOPE_PMESII!$D$3:$D$62,"REST")),IFERROR(INDEX(ASCOPE_PMESII!$E$3:$E$62,_xlfn.AGGREGATE(15,6,(ROW(ASCOPE_PMESII!$D$3:$D$62)-ROW(ASCOPE_PMESII!$D$3)+1)/(ASCOPE_PMESII!$D$3:$D$62="REST"),45-(COUNTIF(ASCOPE_PMESII!$B$3:$B$62,"REST")))),""),IF(45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45-(COUNTIF(ASCOPE_PMESII!$B$3:$B$62,"REST")+COUNTIF(ASCOPE_PMESII!$D$3:$D$62,"REST")))),""),IF(45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45-(COUNTIF(ASCOPE_PMESII!$B$3:$B$62,"REST")+COUNTIF(ASCOPE_PMESII!$D$3:$D$62,"REST")+COUNTIF(ASCOPE_PMESII!$F$3:$F$62,"REST")))),""),IF(45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45-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45-(COUNTIF(ASCOPE_PMESII!$B$3:$B$62,"REST")+COUNTIF(ASCOPE_PMESII!$D$3:$D$62,"REST")+COUNTIF(ASCOPE_PMESII!$F$3:$F$62,"REST")+COUNTIF(ASCOPE_PMESII!$H$3:$H$62,"REST")+COUNTIF(ASCOPE_PMESII!$J$3:$J$62,"REST")))),"")))))),"")</f>
        <v/>
      </c>
      <c r="H48" s="21" t="str">
        <f t="array" ref="H48">IFERROR(IF(45&lt;=COUNTIF(ASCOPE_PMESII!$B$3:$B$62,"KCD-MUST"),IFERROR(INDEX(ASCOPE_PMESII!$C$3:$C$62,_xlfn.AGGREGATE(15,6,(ROW(ASCOPE_PMESII!$B$3:$B$62)-ROW(ASCOPE_PMESII!$B$3)+1)/(ASCOPE_PMESII!$B$3:$B$62="KCD-MUST"),45)),""),IF(45&lt;=(COUNTIF(ASCOPE_PMESII!$B$3:$B$62,"KCD-MUST")+COUNTIF(ASCOPE_PMESII!$D$3:$D$62,"KCD-MUST")),IFERROR(INDEX(ASCOPE_PMESII!$E$3:$E$62,_xlfn.AGGREGATE(15,6,(ROW(ASCOPE_PMESII!$D$3:$D$62)-ROW(ASCOPE_PMESII!$D$3)+1)/(ASCOPE_PMESII!$D$3:$D$62="KCD-MUST"),45-(COUNTIF(ASCOPE_PMESII!$B$3:$B$62,"KCD-MUST")))),""),IF(45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45-(COUNTIF(ASCOPE_PMESII!$B$3:$B$62,"KCD-MUST")+COUNTIF(ASCOPE_PMESII!$D$3:$D$62,"KCD-MUST")))),""),IF(45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45-(COUNTIF(ASCOPE_PMESII!$B$3:$B$62,"KCD-MUST")+COUNTIF(ASCOPE_PMESII!$D$3:$D$62,"KCD-MUST")+COUNTIF(ASCOPE_PMESII!$F$3:$F$62,"KCD-MUST")))),""),IF(45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45-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45-(COUNTIF(ASCOPE_PMESII!$B$3:$B$62,"KCD-MUST")+COUNTIF(ASCOPE_PMESII!$D$3:$D$62,"KCD-MUST")+COUNTIF(ASCOPE_PMESII!$F$3:$F$62,"KCD-MUST")+COUNTIF(ASCOPE_PMESII!$H$3:$H$62,"KCD-MUST")+COUNTIF(ASCOPE_PMESII!$J$3:$J$62,"KCD-MUST")))),"")))))),"")</f>
        <v/>
      </c>
      <c r="I48" s="21" t="str">
        <f t="array" ref="I48">IFERROR(IF(45&lt;=COUNTIF(ASCOPE_PMESII!$B$3:$B$62,"KCD-SHOULD"),IFERROR(INDEX(ASCOPE_PMESII!$C$3:$C$62,_xlfn.AGGREGATE(15,6,(ROW(ASCOPE_PMESII!$B$3:$B$62)-ROW(ASCOPE_PMESII!$B$3)+1)/(ASCOPE_PMESII!$B$3:$B$62="KCD-SHOULD"),45)),""),IF(45&lt;=(COUNTIF(ASCOPE_PMESII!$B$3:$B$62,"KCD-SHOULD")+COUNTIF(ASCOPE_PMESII!$D$3:$D$62,"KCD-SHOULD")),IFERROR(INDEX(ASCOPE_PMESII!$E$3:$E$62,_xlfn.AGGREGATE(15,6,(ROW(ASCOPE_PMESII!$D$3:$D$62)-ROW(ASCOPE_PMESII!$D$3)+1)/(ASCOPE_PMESII!$D$3:$D$62="KCD-SHOULD"),45-(COUNTIF(ASCOPE_PMESII!$B$3:$B$62,"KCD-SHOULD")))),""),IF(45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45-(COUNTIF(ASCOPE_PMESII!$B$3:$B$62,"KCD-SHOULD")+COUNTIF(ASCOPE_PMESII!$D$3:$D$62,"KCD-SHOULD")))),""),IF(45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45-(COUNTIF(ASCOPE_PMESII!$B$3:$B$62,"KCD-SHOULD")+COUNTIF(ASCOPE_PMESII!$D$3:$D$62,"KCD-SHOULD")+COUNTIF(ASCOPE_PMESII!$F$3:$F$62,"KCD-SHOULD")))),""),IF(45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45-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45-(COUNTIF(ASCOPE_PMESII!$B$3:$B$62,"KCD-SHOULD")+COUNTIF(ASCOPE_PMESII!$D$3:$D$62,"KCD-SHOULD")+COUNTIF(ASCOPE_PMESII!$F$3:$F$62,"KCD-SHOULD")+COUNTIF(ASCOPE_PMESII!$H$3:$H$62,"KCD-SHOULD")+COUNTIF(ASCOPE_PMESII!$J$3:$J$62,"KCD-SHOULD")))),"")))))),"")</f>
        <v/>
      </c>
      <c r="J48" s="21" t="str">
        <f t="array" ref="J48">IFERROR(IF(45&lt;=COUNTIF(ASCOPE_PMESII!$B$3:$B$62,"KCD-SHOULD NOT"),IFERROR(INDEX(ASCOPE_PMESII!$C$3:$C$62,_xlfn.AGGREGATE(15,6,(ROW(ASCOPE_PMESII!$B$3:$B$62)-ROW(ASCOPE_PMESII!$B$3)+1)/(ASCOPE_PMESII!$B$3:$B$62="KCD-SHOULD NOT"),45)),""),IF(45&lt;=(COUNTIF(ASCOPE_PMESII!$B$3:$B$62,"KCD-SHOULD NOT")+COUNTIF(ASCOPE_PMESII!$D$3:$D$62,"KCD-SHOULD NOT")),IFERROR(INDEX(ASCOPE_PMESII!$E$3:$E$62,_xlfn.AGGREGATE(15,6,(ROW(ASCOPE_PMESII!$D$3:$D$62)-ROW(ASCOPE_PMESII!$D$3)+1)/(ASCOPE_PMESII!$D$3:$D$62="KCD-SHOULD NOT"),45-(COUNTIF(ASCOPE_PMESII!$B$3:$B$62,"KCD-SHOULD NOT")))),""),IF(45&lt;=(COUNTIF(ASCOPE_PMESII!$B$3:$B$62,"KCD-SHOULD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NOT"),45-(COUNTIF(ASCOPE_PMESII!$B$3:$B$62,"KCD-SHOULD NOT")+COUNTIF(ASCOPE_PMESII!$D$3:$D$62,"KCD-SHOULD NOT")))),""),IF(45&lt;=(COUNTIF(ASCOPE_PMESII!$B$3:$B$62,"KCD-SHOULD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NOT"),45-(COUNTIF(ASCOPE_PMESII!$B$3:$B$62,"KCD-SHOULD NOT")+COUNTIF(ASCOPE_PMESII!$D$3:$D$62,"KCD-SHOULD NOT")+COUNTIF(ASCOPE_PMESII!$F$3:$F$62,"KCD-SHOULD NOT")))),""),IF(45&lt;=(COUNTIF(ASCOPE_PMESII!$B$3:$B$62,"KCD-SHOULD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NOT"),45-(COUNTIF(ASCOPE_PMESII!$B$3:$B$62,"KCD-SHOULD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NOT"),45-(COUNTIF(ASCOPE_PMESII!$B$3:$B$62,"KCD-SHOULD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48" s="21" t="str">
        <f t="array" ref="K48">IFERROR(IF(45&lt;=COUNTIF(ASCOPE_PMESII!$B$3:$B$62,"KCD-CANNOT"),IFERROR(INDEX(ASCOPE_PMESII!$C$3:$C$62,_xlfn.AGGREGATE(15,6,(ROW(ASCOPE_PMESII!$B$3:$B$62)-ROW(ASCOPE_PMESII!$B$3)+1)/(ASCOPE_PMESII!$B$3:$B$62="KCD-CANNOT"),45)),""),IF(45&lt;=(COUNTIF(ASCOPE_PMESII!$B$3:$B$62,"KCD-CANNOT")+COUNTIF(ASCOPE_PMESII!$D$3:$D$62,"KCD-CANNOT")),IFERROR(INDEX(ASCOPE_PMESII!$E$3:$E$62,_xlfn.AGGREGATE(15,6,(ROW(ASCOPE_PMESII!$D$3:$D$62)-ROW(ASCOPE_PMESII!$D$3)+1)/(ASCOPE_PMESII!$D$3:$D$62="KCD-CANNOT"),45-(COUNTIF(ASCOPE_PMESII!$B$3:$B$62,"KCD-CANNOT")))),""),IF(45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45-(COUNTIF(ASCOPE_PMESII!$B$3:$B$62,"KCD-CANNOT")+COUNTIF(ASCOPE_PMESII!$D$3:$D$62,"KCD-CANNOT")))),""),IF(45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45-(COUNTIF(ASCOPE_PMESII!$B$3:$B$62,"KCD-CANNOT")+COUNTIF(ASCOPE_PMESII!$D$3:$D$62,"KCD-CANNOT")+COUNTIF(ASCOPE_PMESII!$F$3:$F$62,"KCD-CANNOT")))),""),IF(45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45-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45-(COUNTIF(ASCOPE_PMESII!$B$3:$B$62,"KCD-CANNOT")+COUNTIF(ASCOPE_PMESII!$D$3:$D$62,"KCD-CANNOT")+COUNTIF(ASCOPE_PMESII!$F$3:$F$62,"KCD-CANNOT")+COUNTIF(ASCOPE_PMESII!$H$3:$H$62,"KCD-CANNOT")+COUNTIF(ASCOPE_PMESII!$J$3:$J$62,"KCD-CANNOT")))),"")))))),"")</f>
        <v/>
      </c>
      <c r="L48" s="21" t="str">
        <f t="array" ref="L48">IFERROR(IF(45&lt;=COUNTIF(ASCOPE_PMESII!$B$3:$B$62,"DECISION"),IFERROR(INDEX(ASCOPE_PMESII!$C$3:$C$62,_xlfn.AGGREGATE(15,6,(ROW(ASCOPE_PMESII!$B$3:$B$62)-ROW(ASCOPE_PMESII!$B$3)+1)/(ASCOPE_PMESII!$B$3:$B$62="DECISION"),45)),""),IF(45&lt;=(COUNTIF(ASCOPE_PMESII!$B$3:$B$62,"DECISION")+COUNTIF(ASCOPE_PMESII!$D$3:$D$62,"DECISION")),IFERROR(INDEX(ASCOPE_PMESII!$E$3:$E$62,_xlfn.AGGREGATE(15,6,(ROW(ASCOPE_PMESII!$D$3:$D$62)-ROW(ASCOPE_PMESII!$D$3)+1)/(ASCOPE_PMESII!$D$3:$D$62="DECISION"),45-(COUNTIF(ASCOPE_PMESII!$B$3:$B$62,"DECISION")))),""),IF(45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45-(COUNTIF(ASCOPE_PMESII!$B$3:$B$62,"DECISION")+COUNTIF(ASCOPE_PMESII!$D$3:$D$62,"DECISION")))),""),IF(45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45-(COUNTIF(ASCOPE_PMESII!$B$3:$B$62,"DECISION")+COUNTIF(ASCOPE_PMESII!$D$3:$D$62,"DECISION")+COUNTIF(ASCOPE_PMESII!$F$3:$F$62,"DECISION")))),""),IF(45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45-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45-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48" s="21" t="str">
        <f t="array" ref="M48">IFERROR(IF(45&lt;=COUNTIF(ASCOPE_PMESII!$B$3:$B$62,"ASSUMPTION"),IFERROR(INDEX(ASCOPE_PMESII!$C$3:$C$62,_xlfn.AGGREGATE(15,6,(ROW(ASCOPE_PMESII!$B$3:$B$62)-ROW(ASCOPE_PMESII!$B$3)+1)/(ASCOPE_PMESII!$B$3:$B$62="ASSUMPTION"),45)),""),IF(45&lt;=(COUNTIF(ASCOPE_PMESII!$B$3:$B$62,"ASSUMPTION")+COUNTIF(ASCOPE_PMESII!$D$3:$D$62,"ASSUMPTION")),IFERROR(INDEX(ASCOPE_PMESII!$E$3:$E$62,_xlfn.AGGREGATE(15,6,(ROW(ASCOPE_PMESII!$D$3:$D$62)-ROW(ASCOPE_PMESII!$D$3)+1)/(ASCOPE_PMESII!$D$3:$D$62="ASSUMPTION"),45-(COUNTIF(ASCOPE_PMESII!$B$3:$B$62,"ASSUMPTION")))),""),IF(45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45-(COUNTIF(ASCOPE_PMESII!$B$3:$B$62,"ASSUMPTION")+COUNTIF(ASCOPE_PMESII!$D$3:$D$62,"ASSUMPTION")))),""),IF(45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45-(COUNTIF(ASCOPE_PMESII!$B$3:$B$62,"ASSUMPTION")+COUNTIF(ASCOPE_PMESII!$D$3:$D$62,"ASSUMPTION")+COUNTIF(ASCOPE_PMESII!$F$3:$F$62,"ASSUMPTION")))),""),IF(45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45-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45-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48" s="21" t="str">
        <f t="array" ref="N48">IFERROR(IF(45&lt;=COUNTIF(ASCOPE_PMESII!$B$3:$B$62,"CONSTRAINT"),IFERROR(INDEX(ASCOPE_PMESII!$C$3:$C$62,_xlfn.AGGREGATE(15,6,(ROW(ASCOPE_PMESII!$B$3:$B$62)-ROW(ASCOPE_PMESII!$B$3)+1)/(ASCOPE_PMESII!$B$3:$B$62="CONSTRAINT"),45)),""),IF(45&lt;=(COUNTIF(ASCOPE_PMESII!$B$3:$B$62,"CONSTRAINT")+COUNTIF(ASCOPE_PMESII!$D$3:$D$62,"CONSTRAINT")),IFERROR(INDEX(ASCOPE_PMESII!$E$3:$E$62,_xlfn.AGGREGATE(15,6,(ROW(ASCOPE_PMESII!$D$3:$D$62)-ROW(ASCOPE_PMESII!$D$3)+1)/(ASCOPE_PMESII!$D$3:$D$62="CONSTRAINT"),45-(COUNTIF(ASCOPE_PMESII!$B$3:$B$62,"CONSTRAINT")))),""),IF(45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45-(COUNTIF(ASCOPE_PMESII!$B$3:$B$62,"CONSTRAINT")+COUNTIF(ASCOPE_PMESII!$D$3:$D$62,"CONSTRAINT")))),""),IF(45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45-(COUNTIF(ASCOPE_PMESII!$B$3:$B$62,"CONSTRAINT")+COUNTIF(ASCOPE_PMESII!$D$3:$D$62,"CONSTRAINT")+COUNTIF(ASCOPE_PMESII!$F$3:$F$62,"CONSTRAINT")))),""),IF(45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45-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45-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48" s="21" t="str">
        <f t="array" ref="O48">IFERROR(IF(45&lt;=COUNTIF(ASCOPE_PMESII!$B$3:$B$62,"LIMITATION"),IFERROR(INDEX(ASCOPE_PMESII!$C$3:$C$62,_xlfn.AGGREGATE(15,6,(ROW(ASCOPE_PMESII!$B$3:$B$62)-ROW(ASCOPE_PMESII!$B$3)+1)/(ASCOPE_PMESII!$B$3:$B$62="LIMITATION"),45)),""),IF(45&lt;=(COUNTIF(ASCOPE_PMESII!$B$3:$B$62,"LIMITATION")+COUNTIF(ASCOPE_PMESII!$D$3:$D$62,"LIMITATION")),IFERROR(INDEX(ASCOPE_PMESII!$E$3:$E$62,_xlfn.AGGREGATE(15,6,(ROW(ASCOPE_PMESII!$D$3:$D$62)-ROW(ASCOPE_PMESII!$D$3)+1)/(ASCOPE_PMESII!$D$3:$D$62="LIMITATION"),45-(COUNTIF(ASCOPE_PMESII!$B$3:$B$62,"LIMITATION")))),""),IF(45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45-(COUNTIF(ASCOPE_PMESII!$B$3:$B$62,"LIMITATION")+COUNTIF(ASCOPE_PMESII!$D$3:$D$62,"LIMITATION")))),""),IF(45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45-(COUNTIF(ASCOPE_PMESII!$B$3:$B$62,"LIMITATION")+COUNTIF(ASCOPE_PMESII!$D$3:$D$62,"LIMITATION")+COUNTIF(ASCOPE_PMESII!$F$3:$F$62,"LIMITATION")))),""),IF(45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45-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45-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48" s="21" t="str">
        <f t="array" ref="P48">IFERROR(IF(45&lt;=COUNTIF(ASCOPE_PMESII!$B$3:$B$62,"CC"),IFERROR(INDEX(ASCOPE_PMESII!$C$3:$C$62,_xlfn.AGGREGATE(15,6,(ROW(ASCOPE_PMESII!$B$3:$B$62)-ROW(ASCOPE_PMESII!$B$3)+1)/(ASCOPE_PMESII!$B$3:$B$62="CC"),45)),""),IF(45&lt;=(COUNTIF(ASCOPE_PMESII!$B$3:$B$62,"CC")+COUNTIF(ASCOPE_PMESII!$D$3:$D$62,"CC")),IFERROR(INDEX(ASCOPE_PMESII!$E$3:$E$62,_xlfn.AGGREGATE(15,6,(ROW(ASCOPE_PMESII!$D$3:$D$62)-ROW(ASCOPE_PMESII!$D$3)+1)/(ASCOPE_PMESII!$D$3:$D$62="CC"),45-(COUNTIF(ASCOPE_PMESII!$B$3:$B$62,"CC")))),""),IF(45&lt;=(COUNTIF(ASCOPE_PMESII!$B$3:$B$62,"CC")+COUNTIF(ASCOPE_PMESII!$D$3:$D$62,"CC")+COUNTIF(ASCOPE_PMESII!$F$3:$F$62,"CC")),IFERROR(INDEX(ASCOPE_PMESII!$G$3:$G$62,_xlfn.AGGREGATE(15,6,(ROW(ASCOPE_PMESII!$F$3:$F$62)-ROW(ASCOPE_PMESII!$F$3)+1)/(ASCOPE_PMESII!$F$3:$F$62="CC"),45-(COUNTIF(ASCOPE_PMESII!$B$3:$B$62,"CC")+COUNTIF(ASCOPE_PMESII!$D$3:$D$62,"CC")))),""),IF(45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45-(COUNTIF(ASCOPE_PMESII!$B$3:$B$62,"CC")+COUNTIF(ASCOPE_PMESII!$D$3:$D$62,"CC")+COUNTIF(ASCOPE_PMESII!$F$3:$F$62,"CC")))),""),IF(45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45-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45-(COUNTIF(ASCOPE_PMESII!$B$3:$B$62,"CC")+COUNTIF(ASCOPE_PMESII!$D$3:$D$62,"CC")+COUNTIF(ASCOPE_PMESII!$F$3:$F$62,"CC")+COUNTIF(ASCOPE_PMESII!$H$3:$H$62,"CC")+COUNTIF(ASCOPE_PMESII!$J$3:$J$62,"CC")))),"")))))),"")</f>
        <v/>
      </c>
      <c r="Q48" s="21" t="str">
        <f t="array" ref="Q48">IFERROR(IF(45&lt;=COUNTIF(ASCOPE_PMESII!$B$3:$B$62,"CR"),IFERROR(INDEX(ASCOPE_PMESII!$C$3:$C$62,_xlfn.AGGREGATE(15,6,(ROW(ASCOPE_PMESII!$B$3:$B$62)-ROW(ASCOPE_PMESII!$B$3)+1)/(ASCOPE_PMESII!$B$3:$B$62="CR"),45)),""),IF(45&lt;=(COUNTIF(ASCOPE_PMESII!$B$3:$B$62,"CR")+COUNTIF(ASCOPE_PMESII!$D$3:$D$62,"CR")),IFERROR(INDEX(ASCOPE_PMESII!$E$3:$E$62,_xlfn.AGGREGATE(15,6,(ROW(ASCOPE_PMESII!$D$3:$D$62)-ROW(ASCOPE_PMESII!$D$3)+1)/(ASCOPE_PMESII!$D$3:$D$62="CR"),45-(COUNTIF(ASCOPE_PMESII!$B$3:$B$62,"CR")))),""),IF(45&lt;=(COUNTIF(ASCOPE_PMESII!$B$3:$B$62,"CR")+COUNTIF(ASCOPE_PMESII!$D$3:$D$62,"CR")+COUNTIF(ASCOPE_PMESII!$F$3:$F$62,"CR")),IFERROR(INDEX(ASCOPE_PMESII!$G$3:$G$62,_xlfn.AGGREGATE(15,6,(ROW(ASCOPE_PMESII!$F$3:$F$62)-ROW(ASCOPE_PMESII!$F$3)+1)/(ASCOPE_PMESII!$F$3:$F$62="CR"),45-(COUNTIF(ASCOPE_PMESII!$B$3:$B$62,"CR")+COUNTIF(ASCOPE_PMESII!$D$3:$D$62,"CR")))),""),IF(45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45-(COUNTIF(ASCOPE_PMESII!$B$3:$B$62,"CR")+COUNTIF(ASCOPE_PMESII!$D$3:$D$62,"CR")+COUNTIF(ASCOPE_PMESII!$F$3:$F$62,"CR")))),""),IF(45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45-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45-(COUNTIF(ASCOPE_PMESII!$B$3:$B$62,"CR")+COUNTIF(ASCOPE_PMESII!$D$3:$D$62,"CR")+COUNTIF(ASCOPE_PMESII!$F$3:$F$62,"CR")+COUNTIF(ASCOPE_PMESII!$H$3:$H$62,"CR")+COUNTIF(ASCOPE_PMESII!$J$3:$J$62,"CR")))),"")))))),"")</f>
        <v/>
      </c>
      <c r="R48" s="94" t="str">
        <f t="array" ref="R48">IFERROR(IF(45&lt;=COUNTIF(ASCOPE_PMESII!$B$3:$B$62,"PCS"),IFERROR(INDEX(ASCOPE_PMESII!$C$3:$C$62,_xlfn.AGGREGATE(15,6,(ROW(ASCOPE_PMESII!$B$3:$B$62)-ROW(ASCOPE_PMESII!$B$3)+1)/(ASCOPE_PMESII!$B$3:$B$62="PCS"),45)),""),IF(45&lt;=(COUNTIF(ASCOPE_PMESII!$B$3:$B$62,"PCS")+COUNTIF(ASCOPE_PMESII!$D$3:$D$62,"PCS")),IFERROR(INDEX(ASCOPE_PMESII!$E$3:$E$62,_xlfn.AGGREGATE(15,6,(ROW(ASCOPE_PMESII!$D$3:$D$62)-ROW(ASCOPE_PMESII!$D$3)+1)/(ASCOPE_PMESII!$D$3:$D$62="PCS"),45-(COUNTIF(ASCOPE_PMESII!$B$3:$B$62,"PCS")))),""),IF(45&lt;=(COUNTIF(ASCOPE_PMESII!$B$3:$B$62,"PCS")+COUNTIF(ASCOPE_PMESII!$D$3:$D$62,"PCS")+COUNTIF(ASCOPE_PMESII!$F$3:$F$62,"PCS")),IFERROR(INDEX(ASCOPE_PMESII!$G$3:$G$62,_xlfn.AGGREGATE(15,6,(ROW(ASCOPE_PMESII!$F$3:$F$62)-ROW(ASCOPE_PMESII!$F$3)+1)/(ASCOPE_PMESII!$F$3:$F$62="PCS"),45-(COUNTIF(ASCOPE_PMESII!$B$3:$B$62,"PCS")+COUNTIF(ASCOPE_PMESII!$D$3:$D$62,"PCS")))),""),IF(45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45-(COUNTIF(ASCOPE_PMESII!$B$3:$B$62,"PCS")+COUNTIF(ASCOPE_PMESII!$D$3:$D$62,"PCS")+COUNTIF(ASCOPE_PMESII!$F$3:$F$62,"PCS")))),""),IF(45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45-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45-(COUNTIF(ASCOPE_PMESII!$B$3:$B$62,"PCS")+COUNTIF(ASCOPE_PMESII!$D$3:$D$62,"PCS")+COUNTIF(ASCOPE_PMESII!$F$3:$F$62,"PCS")+COUNTIF(ASCOPE_PMESII!$H$3:$H$62,"PCS")+COUNTIF(ASCOPE_PMESII!$J$3:$J$62,"PCS")))),"")))))),"")</f>
        <v/>
      </c>
    </row>
    <row r="49" spans="1:18" ht="34.5" customHeight="1">
      <c r="A49" s="22" t="str">
        <f t="array" ref="A49">IFERROR(IF(46&lt;=COUNTIF(ASCOPE_PMESII!$B$3:$B$62,"OE"),IFERROR(INDEX(ASCOPE_PMESII!$C$3:$C$62,_xlfn.AGGREGATE(15,6,(ROW(ASCOPE_PMESII!$B$3:$B$62)-ROW(ASCOPE_PMESII!$B$3)+1)/(ASCOPE_PMESII!$B$3:$B$62="OE"),46)),""),IF(46&lt;=(COUNTIF(ASCOPE_PMESII!$B$3:$B$62,"OE")+COUNTIF(ASCOPE_PMESII!$D$3:$D$62,"OE")),IFERROR(INDEX(ASCOPE_PMESII!$E$3:$E$62,_xlfn.AGGREGATE(15,6,(ROW(ASCOPE_PMESII!$D$3:$D$62)-ROW(ASCOPE_PMESII!$D$3)+1)/(ASCOPE_PMESII!$D$3:$D$62="OE"),46-(COUNTIF(ASCOPE_PMESII!$B$3:$B$62,"OE")))),""),IF(46&lt;=(COUNTIF(ASCOPE_PMESII!$B$3:$B$62,"OE")+COUNTIF(ASCOPE_PMESII!$D$3:$D$62,"OE")+COUNTIF(ASCOPE_PMESII!$F$3:$F$62,"OE")),IFERROR(INDEX(ASCOPE_PMESII!$G$3:$G$62,_xlfn.AGGREGATE(15,6,(ROW(ASCOPE_PMESII!$F$3:$F$62)-ROW(ASCOPE_PMESII!$F$3)+1)/(ASCOPE_PMESII!$F$3:$F$62="OE"),46-(COUNTIF(ASCOPE_PMESII!$B$3:$B$62,"OE")+COUNTIF(ASCOPE_PMESII!$D$3:$D$62,"OE")))),""),IF(46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46-(COUNTIF(ASCOPE_PMESII!$B$3:$B$62,"OE")+COUNTIF(ASCOPE_PMESII!$D$3:$D$62,"OE")+COUNTIF(ASCOPE_PMESII!$F$3:$F$62,"OE")))),""),IF(46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46-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46-(COUNTIF(ASCOPE_PMESII!$B$3:$B$62,"OE")+COUNTIF(ASCOPE_PMESII!$D$3:$D$62,"OE")+COUNTIF(ASCOPE_PMESII!$F$3:$F$62,"OE")+COUNTIF(ASCOPE_PMESII!$H$3:$H$62,"OE")+COUNTIF(ASCOPE_PMESII!$J$3:$J$62,"OE")))),"")))))),"")</f>
        <v/>
      </c>
      <c r="B49" s="22" t="str">
        <f t="array" ref="B49">IFERROR(IF(46&lt;=COUNTIF(ASCOPE_PMESII!$B$3:$B$62,"OA"),IFERROR(INDEX(ASCOPE_PMESII!$C$3:$C$62,_xlfn.AGGREGATE(15,6,(ROW(ASCOPE_PMESII!$B$3:$B$62)-ROW(ASCOPE_PMESII!$B$3)+1)/(ASCOPE_PMESII!$B$3:$B$62="OA"),46)),""),IF(46&lt;=(COUNTIF(ASCOPE_PMESII!$B$3:$B$62,"OA")+COUNTIF(ASCOPE_PMESII!$D$3:$D$62,"OA")),IFERROR(INDEX(ASCOPE_PMESII!$E$3:$E$62,_xlfn.AGGREGATE(15,6,(ROW(ASCOPE_PMESII!$D$3:$D$62)-ROW(ASCOPE_PMESII!$D$3)+1)/(ASCOPE_PMESII!$D$3:$D$62="OA"),46-(COUNTIF(ASCOPE_PMESII!$B$3:$B$62,"OA")))),""),IF(46&lt;=(COUNTIF(ASCOPE_PMESII!$B$3:$B$62,"OA")+COUNTIF(ASCOPE_PMESII!$D$3:$D$62,"OA")+COUNTIF(ASCOPE_PMESII!$F$3:$F$62,"OA")),IFERROR(INDEX(ASCOPE_PMESII!$G$3:$G$62,_xlfn.AGGREGATE(15,6,(ROW(ASCOPE_PMESII!$F$3:$F$62)-ROW(ASCOPE_PMESII!$F$3)+1)/(ASCOPE_PMESII!$F$3:$F$62="OA"),46-(COUNTIF(ASCOPE_PMESII!$B$3:$B$62,"OA")+COUNTIF(ASCOPE_PMESII!$D$3:$D$62,"OA")))),""),IF(46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46-(COUNTIF(ASCOPE_PMESII!$B$3:$B$62,"OA")+COUNTIF(ASCOPE_PMESII!$D$3:$D$62,"OA")+COUNTIF(ASCOPE_PMESII!$F$3:$F$62,"OA")))),""),IF(46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46-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46-(COUNTIF(ASCOPE_PMESII!$B$3:$B$62,"OA")+COUNTIF(ASCOPE_PMESII!$D$3:$D$62,"OA")+COUNTIF(ASCOPE_PMESII!$F$3:$F$62,"OA")+COUNTIF(ASCOPE_PMESII!$H$3:$H$62,"OA")+COUNTIF(ASCOPE_PMESII!$J$3:$J$62,"OA")))),"")))))),"")</f>
        <v/>
      </c>
      <c r="C49" s="22" t="str">
        <f t="array" ref="C49">IFERROR(IF(46&lt;=COUNTIF(ASCOPE_PMESII!$B$3:$B$62,"RISK"),IFERROR(INDEX(ASCOPE_PMESII!$C$3:$C$62,_xlfn.AGGREGATE(15,6,(ROW(ASCOPE_PMESII!$B$3:$B$62)-ROW(ASCOPE_PMESII!$B$3)+1)/(ASCOPE_PMESII!$B$3:$B$62="RISK"),46)),""),IF(46&lt;=(COUNTIF(ASCOPE_PMESII!$B$3:$B$62,"RISK")+COUNTIF(ASCOPE_PMESII!$D$3:$D$62,"RISK")),IFERROR(INDEX(ASCOPE_PMESII!$E$3:$E$62,_xlfn.AGGREGATE(15,6,(ROW(ASCOPE_PMESII!$D$3:$D$62)-ROW(ASCOPE_PMESII!$D$3)+1)/(ASCOPE_PMESII!$D$3:$D$62="RISK"),46-(COUNTIF(ASCOPE_PMESII!$B$3:$B$62,"RISK")))),""),IF(46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46-(COUNTIF(ASCOPE_PMESII!$B$3:$B$62,"RISK")+COUNTIF(ASCOPE_PMESII!$D$3:$D$62,"RISK")))),""),IF(46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46-(COUNTIF(ASCOPE_PMESII!$B$3:$B$62,"RISK")+COUNTIF(ASCOPE_PMESII!$D$3:$D$62,"RISK")+COUNTIF(ASCOPE_PMESII!$F$3:$F$62,"RISK")))),""),IF(46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46-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46-(COUNTIF(ASCOPE_PMESII!$B$3:$B$62,"RISK")+COUNTIF(ASCOPE_PMESII!$D$3:$D$62,"RISK")+COUNTIF(ASCOPE_PMESII!$F$3:$F$62,"RISK")+COUNTIF(ASCOPE_PMESII!$H$3:$H$62,"RISK")+COUNTIF(ASCOPE_PMESII!$J$3:$J$62,"RISK")))),"")))))),"")</f>
        <v/>
      </c>
      <c r="D49" s="22" t="str">
        <f t="array" ref="D49">IFERROR(IF(46&lt;=COUNTIF(ASCOPE_PMESII!$B$3:$B$62,"CV"),IFERROR(INDEX(ASCOPE_PMESII!$C$3:$C$62,_xlfn.AGGREGATE(15,6,(ROW(ASCOPE_PMESII!$B$3:$B$62)-ROW(ASCOPE_PMESII!$B$3)+1)/(ASCOPE_PMESII!$B$3:$B$62="CV"),46)),""),IF(46&lt;=(COUNTIF(ASCOPE_PMESII!$B$3:$B$62,"CV")+COUNTIF(ASCOPE_PMESII!$D$3:$D$62,"CV")),IFERROR(INDEX(ASCOPE_PMESII!$E$3:$E$62,_xlfn.AGGREGATE(15,6,(ROW(ASCOPE_PMESII!$D$3:$D$62)-ROW(ASCOPE_PMESII!$D$3)+1)/(ASCOPE_PMESII!$D$3:$D$62="CV"),46-(COUNTIF(ASCOPE_PMESII!$B$3:$B$62,"CV")))),""),IF(46&lt;=(COUNTIF(ASCOPE_PMESII!$B$3:$B$62,"CV")+COUNTIF(ASCOPE_PMESII!$D$3:$D$62,"CV")+COUNTIF(ASCOPE_PMESII!$F$3:$F$62,"CV")),IFERROR(INDEX(ASCOPE_PMESII!$G$3:$G$62,_xlfn.AGGREGATE(15,6,(ROW(ASCOPE_PMESII!$F$3:$F$62)-ROW(ASCOPE_PMESII!$F$3)+1)/(ASCOPE_PMESII!$F$3:$F$62="CV"),46-(COUNTIF(ASCOPE_PMESII!$B$3:$B$62,"CV")+COUNTIF(ASCOPE_PMESII!$D$3:$D$62,"CV")))),""),IF(46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46-(COUNTIF(ASCOPE_PMESII!$B$3:$B$62,"CV")+COUNTIF(ASCOPE_PMESII!$D$3:$D$62,"CV")+COUNTIF(ASCOPE_PMESII!$F$3:$F$62,"CV")))),""),IF(46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46-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46-(COUNTIF(ASCOPE_PMESII!$B$3:$B$62,"CV")+COUNTIF(ASCOPE_PMESII!$D$3:$D$62,"CV")+COUNTIF(ASCOPE_PMESII!$F$3:$F$62,"CV")+COUNTIF(ASCOPE_PMESII!$H$3:$H$62,"CV")+COUNTIF(ASCOPE_PMESII!$J$3:$J$62,"CV")))),"")))))),"")</f>
        <v>Territorial reservists less reliable outside home areas</v>
      </c>
      <c r="E49" s="22" t="str">
        <f t="array" ref="E49">IFERROR(IF(46&lt;=COUNTIF(ASCOPE_PMESII!$B$3:$B$62,"COR"),IFERROR(INDEX(ASCOPE_PMESII!$C$3:$C$62,_xlfn.AGGREGATE(15,6,(ROW(ASCOPE_PMESII!$B$3:$B$62)-ROW(ASCOPE_PMESII!$B$3)+1)/(ASCOPE_PMESII!$B$3:$B$62="COR"),46)),""),IF(46&lt;=(COUNTIF(ASCOPE_PMESII!$B$3:$B$62,"COR")+COUNTIF(ASCOPE_PMESII!$D$3:$D$62,"COR")),IFERROR(INDEX(ASCOPE_PMESII!$E$3:$E$62,_xlfn.AGGREGATE(15,6,(ROW(ASCOPE_PMESII!$D$3:$D$62)-ROW(ASCOPE_PMESII!$D$3)+1)/(ASCOPE_PMESII!$D$3:$D$62="COR"),46-(COUNTIF(ASCOPE_PMESII!$B$3:$B$62,"COR")))),""),IF(46&lt;=(COUNTIF(ASCOPE_PMESII!$B$3:$B$62,"COR")+COUNTIF(ASCOPE_PMESII!$D$3:$D$62,"COR")+COUNTIF(ASCOPE_PMESII!$F$3:$F$62,"COR")),IFERROR(INDEX(ASCOPE_PMESII!$G$3:$G$62,_xlfn.AGGREGATE(15,6,(ROW(ASCOPE_PMESII!$F$3:$F$62)-ROW(ASCOPE_PMESII!$F$3)+1)/(ASCOPE_PMESII!$F$3:$F$62="COR"),46-(COUNTIF(ASCOPE_PMESII!$B$3:$B$62,"COR")+COUNTIF(ASCOPE_PMESII!$D$3:$D$62,"COR")))),""),IF(46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46-(COUNTIF(ASCOPE_PMESII!$B$3:$B$62,"COR")+COUNTIF(ASCOPE_PMESII!$D$3:$D$62,"COR")+COUNTIF(ASCOPE_PMESII!$F$3:$F$62,"COR")))),""),IF(46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46-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46-(COUNTIF(ASCOPE_PMESII!$B$3:$B$62,"COR")+COUNTIF(ASCOPE_PMESII!$D$3:$D$62,"COR")+COUNTIF(ASCOPE_PMESII!$F$3:$F$62,"COR")+COUNTIF(ASCOPE_PMESII!$H$3:$H$62,"COR")+COUNTIF(ASCOPE_PMESII!$J$3:$J$62,"COR")))),"")))))),"")</f>
        <v/>
      </c>
      <c r="F49" s="22" t="str">
        <f t="array" ref="F49">IFERROR(IF(46&lt;=COUNTIF(ASCOPE_PMESII!$B$3:$B$62,"REQT"),IFERROR(INDEX(ASCOPE_PMESII!$C$3:$C$62,_xlfn.AGGREGATE(15,6,(ROW(ASCOPE_PMESII!$B$3:$B$62)-ROW(ASCOPE_PMESII!$B$3)+1)/(ASCOPE_PMESII!$B$3:$B$62="REQT"),46)),""),IF(46&lt;=(COUNTIF(ASCOPE_PMESII!$B$3:$B$62,"REQT")+COUNTIF(ASCOPE_PMESII!$D$3:$D$62,"REQT")),IFERROR(INDEX(ASCOPE_PMESII!$E$3:$E$62,_xlfn.AGGREGATE(15,6,(ROW(ASCOPE_PMESII!$D$3:$D$62)-ROW(ASCOPE_PMESII!$D$3)+1)/(ASCOPE_PMESII!$D$3:$D$62="REQT"),46-(COUNTIF(ASCOPE_PMESII!$B$3:$B$62,"REQT")))),""),IF(46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46-(COUNTIF(ASCOPE_PMESII!$B$3:$B$62,"REQT")+COUNTIF(ASCOPE_PMESII!$D$3:$D$62,"REQT")))),""),IF(46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46-(COUNTIF(ASCOPE_PMESII!$B$3:$B$62,"REQT")+COUNTIF(ASCOPE_PMESII!$D$3:$D$62,"REQT")+COUNTIF(ASCOPE_PMESII!$F$3:$F$62,"REQT")))),""),IF(46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46-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46-(COUNTIF(ASCOPE_PMESII!$B$3:$B$62,"REQT")+COUNTIF(ASCOPE_PMESII!$D$3:$D$62,"REQT")+COUNTIF(ASCOPE_PMESII!$F$3:$F$62,"REQT")+COUNTIF(ASCOPE_PMESII!$H$3:$H$62,"REQT")+COUNTIF(ASCOPE_PMESII!$J$3:$J$62,"REQT")))),"")))))),"")</f>
        <v/>
      </c>
      <c r="G49" s="22" t="str">
        <f t="array" ref="G49">IFERROR(IF(46&lt;=COUNTIF(ASCOPE_PMESII!$B$3:$B$62,"REST"),IFERROR(INDEX(ASCOPE_PMESII!$C$3:$C$62,_xlfn.AGGREGATE(15,6,(ROW(ASCOPE_PMESII!$B$3:$B$62)-ROW(ASCOPE_PMESII!$B$3)+1)/(ASCOPE_PMESII!$B$3:$B$62="REST"),46)),""),IF(46&lt;=(COUNTIF(ASCOPE_PMESII!$B$3:$B$62,"REST")+COUNTIF(ASCOPE_PMESII!$D$3:$D$62,"REST")),IFERROR(INDEX(ASCOPE_PMESII!$E$3:$E$62,_xlfn.AGGREGATE(15,6,(ROW(ASCOPE_PMESII!$D$3:$D$62)-ROW(ASCOPE_PMESII!$D$3)+1)/(ASCOPE_PMESII!$D$3:$D$62="REST"),46-(COUNTIF(ASCOPE_PMESII!$B$3:$B$62,"REST")))),""),IF(46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46-(COUNTIF(ASCOPE_PMESII!$B$3:$B$62,"REST")+COUNTIF(ASCOPE_PMESII!$D$3:$D$62,"REST")))),""),IF(46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46-(COUNTIF(ASCOPE_PMESII!$B$3:$B$62,"REST")+COUNTIF(ASCOPE_PMESII!$D$3:$D$62,"REST")+COUNTIF(ASCOPE_PMESII!$F$3:$F$62,"REST")))),""),IF(46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46-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46-(COUNTIF(ASCOPE_PMESII!$B$3:$B$62,"REST")+COUNTIF(ASCOPE_PMESII!$D$3:$D$62,"REST")+COUNTIF(ASCOPE_PMESII!$F$3:$F$62,"REST")+COUNTIF(ASCOPE_PMESII!$H$3:$H$62,"REST")+COUNTIF(ASCOPE_PMESII!$J$3:$J$62,"REST")))),"")))))),"")</f>
        <v/>
      </c>
      <c r="H49" s="22" t="str">
        <f t="array" ref="H49">IFERROR(IF(46&lt;=COUNTIF(ASCOPE_PMESII!$B$3:$B$62,"KCD-MUST"),IFERROR(INDEX(ASCOPE_PMESII!$C$3:$C$62,_xlfn.AGGREGATE(15,6,(ROW(ASCOPE_PMESII!$B$3:$B$62)-ROW(ASCOPE_PMESII!$B$3)+1)/(ASCOPE_PMESII!$B$3:$B$62="KCD-MUST"),46)),""),IF(46&lt;=(COUNTIF(ASCOPE_PMESII!$B$3:$B$62,"KCD-MUST")+COUNTIF(ASCOPE_PMESII!$D$3:$D$62,"KCD-MUST")),IFERROR(INDEX(ASCOPE_PMESII!$E$3:$E$62,_xlfn.AGGREGATE(15,6,(ROW(ASCOPE_PMESII!$D$3:$D$62)-ROW(ASCOPE_PMESII!$D$3)+1)/(ASCOPE_PMESII!$D$3:$D$62="KCD-MUST"),46-(COUNTIF(ASCOPE_PMESII!$B$3:$B$62,"KCD-MUST")))),""),IF(46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46-(COUNTIF(ASCOPE_PMESII!$B$3:$B$62,"KCD-MUST")+COUNTIF(ASCOPE_PMESII!$D$3:$D$62,"KCD-MUST")))),""),IF(46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46-(COUNTIF(ASCOPE_PMESII!$B$3:$B$62,"KCD-MUST")+COUNTIF(ASCOPE_PMESII!$D$3:$D$62,"KCD-MUST")+COUNTIF(ASCOPE_PMESII!$F$3:$F$62,"KCD-MUST")))),""),IF(46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46-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46-(COUNTIF(ASCOPE_PMESII!$B$3:$B$62,"KCD-MUST")+COUNTIF(ASCOPE_PMESII!$D$3:$D$62,"KCD-MUST")+COUNTIF(ASCOPE_PMESII!$F$3:$F$62,"KCD-MUST")+COUNTIF(ASCOPE_PMESII!$H$3:$H$62,"KCD-MUST")+COUNTIF(ASCOPE_PMESII!$J$3:$J$62,"KCD-MUST")))),"")))))),"")</f>
        <v/>
      </c>
      <c r="I49" s="22" t="str">
        <f t="array" ref="I49">IFERROR(IF(46&lt;=COUNTIF(ASCOPE_PMESII!$B$3:$B$62,"KCD-SHOULD"),IFERROR(INDEX(ASCOPE_PMESII!$C$3:$C$62,_xlfn.AGGREGATE(15,6,(ROW(ASCOPE_PMESII!$B$3:$B$62)-ROW(ASCOPE_PMESII!$B$3)+1)/(ASCOPE_PMESII!$B$3:$B$62="KCD-SHOULD"),46)),""),IF(46&lt;=(COUNTIF(ASCOPE_PMESII!$B$3:$B$62,"KCD-SHOULD")+COUNTIF(ASCOPE_PMESII!$D$3:$D$62,"KCD-SHOULD")),IFERROR(INDEX(ASCOPE_PMESII!$E$3:$E$62,_xlfn.AGGREGATE(15,6,(ROW(ASCOPE_PMESII!$D$3:$D$62)-ROW(ASCOPE_PMESII!$D$3)+1)/(ASCOPE_PMESII!$D$3:$D$62="KCD-SHOULD"),46-(COUNTIF(ASCOPE_PMESII!$B$3:$B$62,"KCD-SHOULD")))),""),IF(46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46-(COUNTIF(ASCOPE_PMESII!$B$3:$B$62,"KCD-SHOULD")+COUNTIF(ASCOPE_PMESII!$D$3:$D$62,"KCD-SHOULD")))),""),IF(46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46-(COUNTIF(ASCOPE_PMESII!$B$3:$B$62,"KCD-SHOULD")+COUNTIF(ASCOPE_PMESII!$D$3:$D$62,"KCD-SHOULD")+COUNTIF(ASCOPE_PMESII!$F$3:$F$62,"KCD-SHOULD")))),""),IF(46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46-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46-(COUNTIF(ASCOPE_PMESII!$B$3:$B$62,"KCD-SHOULD")+COUNTIF(ASCOPE_PMESII!$D$3:$D$62,"KCD-SHOULD")+COUNTIF(ASCOPE_PMESII!$F$3:$F$62,"KCD-SHOULD")+COUNTIF(ASCOPE_PMESII!$H$3:$H$62,"KCD-SHOULD")+COUNTIF(ASCOPE_PMESII!$J$3:$J$62,"KCD-SHOULD")))),"")))))),"")</f>
        <v/>
      </c>
      <c r="J49" s="22" t="str">
        <f t="array" ref="J49">IFERROR(IF(46&lt;=COUNTIF(ASCOPE_PMESII!$B$3:$B$62,"KCD-SHOULD NOT"),IFERROR(INDEX(ASCOPE_PMESII!$C$3:$C$62,_xlfn.AGGREGATE(15,6,(ROW(ASCOPE_PMESII!$B$3:$B$62)-ROW(ASCOPE_PMESII!$B$3)+1)/(ASCOPE_PMESII!$B$3:$B$62="KCD-SHOULD NOT"),46)),""),IF(46&lt;=(COUNTIF(ASCOPE_PMESII!$B$3:$B$62,"KCD-SHOULD NOT")+COUNTIF(ASCOPE_PMESII!$D$3:$D$62,"KCD-SHOULD NOT")),IFERROR(INDEX(ASCOPE_PMESII!$E$3:$E$62,_xlfn.AGGREGATE(15,6,(ROW(ASCOPE_PMESII!$D$3:$D$62)-ROW(ASCOPE_PMESII!$D$3)+1)/(ASCOPE_PMESII!$D$3:$D$62="KCD-SHOULD NOT"),46-(COUNTIF(ASCOPE_PMESII!$B$3:$B$62,"KCD-SHOULD NOT")))),""),IF(46&lt;=(COUNTIF(ASCOPE_PMESII!$B$3:$B$62,"KCD-SHOULD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NOT"),46-(COUNTIF(ASCOPE_PMESII!$B$3:$B$62,"KCD-SHOULD NOT")+COUNTIF(ASCOPE_PMESII!$D$3:$D$62,"KCD-SHOULD NOT")))),""),IF(46&lt;=(COUNTIF(ASCOPE_PMESII!$B$3:$B$62,"KCD-SHOULD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NOT"),46-(COUNTIF(ASCOPE_PMESII!$B$3:$B$62,"KCD-SHOULD NOT")+COUNTIF(ASCOPE_PMESII!$D$3:$D$62,"KCD-SHOULD NOT")+COUNTIF(ASCOPE_PMESII!$F$3:$F$62,"KCD-SHOULD NOT")))),""),IF(46&lt;=(COUNTIF(ASCOPE_PMESII!$B$3:$B$62,"KCD-SHOULD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NOT"),46-(COUNTIF(ASCOPE_PMESII!$B$3:$B$62,"KCD-SHOULD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NOT"),46-(COUNTIF(ASCOPE_PMESII!$B$3:$B$62,"KCD-SHOULD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49" s="22" t="str">
        <f t="array" ref="K49">IFERROR(IF(46&lt;=COUNTIF(ASCOPE_PMESII!$B$3:$B$62,"KCD-CANNOT"),IFERROR(INDEX(ASCOPE_PMESII!$C$3:$C$62,_xlfn.AGGREGATE(15,6,(ROW(ASCOPE_PMESII!$B$3:$B$62)-ROW(ASCOPE_PMESII!$B$3)+1)/(ASCOPE_PMESII!$B$3:$B$62="KCD-CANNOT"),46)),""),IF(46&lt;=(COUNTIF(ASCOPE_PMESII!$B$3:$B$62,"KCD-CANNOT")+COUNTIF(ASCOPE_PMESII!$D$3:$D$62,"KCD-CANNOT")),IFERROR(INDEX(ASCOPE_PMESII!$E$3:$E$62,_xlfn.AGGREGATE(15,6,(ROW(ASCOPE_PMESII!$D$3:$D$62)-ROW(ASCOPE_PMESII!$D$3)+1)/(ASCOPE_PMESII!$D$3:$D$62="KCD-CANNOT"),46-(COUNTIF(ASCOPE_PMESII!$B$3:$B$62,"KCD-CANNOT")))),""),IF(46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46-(COUNTIF(ASCOPE_PMESII!$B$3:$B$62,"KCD-CANNOT")+COUNTIF(ASCOPE_PMESII!$D$3:$D$62,"KCD-CANNOT")))),""),IF(46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46-(COUNTIF(ASCOPE_PMESII!$B$3:$B$62,"KCD-CANNOT")+COUNTIF(ASCOPE_PMESII!$D$3:$D$62,"KCD-CANNOT")+COUNTIF(ASCOPE_PMESII!$F$3:$F$62,"KCD-CANNOT")))),""),IF(46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46-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46-(COUNTIF(ASCOPE_PMESII!$B$3:$B$62,"KCD-CANNOT")+COUNTIF(ASCOPE_PMESII!$D$3:$D$62,"KCD-CANNOT")+COUNTIF(ASCOPE_PMESII!$F$3:$F$62,"KCD-CANNOT")+COUNTIF(ASCOPE_PMESII!$H$3:$H$62,"KCD-CANNOT")+COUNTIF(ASCOPE_PMESII!$J$3:$J$62,"KCD-CANNOT")))),"")))))),"")</f>
        <v/>
      </c>
      <c r="L49" s="22" t="str">
        <f t="array" ref="L49">IFERROR(IF(46&lt;=COUNTIF(ASCOPE_PMESII!$B$3:$B$62,"DECISION"),IFERROR(INDEX(ASCOPE_PMESII!$C$3:$C$62,_xlfn.AGGREGATE(15,6,(ROW(ASCOPE_PMESII!$B$3:$B$62)-ROW(ASCOPE_PMESII!$B$3)+1)/(ASCOPE_PMESII!$B$3:$B$62="DECISION"),46)),""),IF(46&lt;=(COUNTIF(ASCOPE_PMESII!$B$3:$B$62,"DECISION")+COUNTIF(ASCOPE_PMESII!$D$3:$D$62,"DECISION")),IFERROR(INDEX(ASCOPE_PMESII!$E$3:$E$62,_xlfn.AGGREGATE(15,6,(ROW(ASCOPE_PMESII!$D$3:$D$62)-ROW(ASCOPE_PMESII!$D$3)+1)/(ASCOPE_PMESII!$D$3:$D$62="DECISION"),46-(COUNTIF(ASCOPE_PMESII!$B$3:$B$62,"DECISION")))),""),IF(46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46-(COUNTIF(ASCOPE_PMESII!$B$3:$B$62,"DECISION")+COUNTIF(ASCOPE_PMESII!$D$3:$D$62,"DECISION")))),""),IF(46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46-(COUNTIF(ASCOPE_PMESII!$B$3:$B$62,"DECISION")+COUNTIF(ASCOPE_PMESII!$D$3:$D$62,"DECISION")+COUNTIF(ASCOPE_PMESII!$F$3:$F$62,"DECISION")))),""),IF(46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46-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46-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49" s="22" t="str">
        <f t="array" ref="M49">IFERROR(IF(46&lt;=COUNTIF(ASCOPE_PMESII!$B$3:$B$62,"ASSUMPTION"),IFERROR(INDEX(ASCOPE_PMESII!$C$3:$C$62,_xlfn.AGGREGATE(15,6,(ROW(ASCOPE_PMESII!$B$3:$B$62)-ROW(ASCOPE_PMESII!$B$3)+1)/(ASCOPE_PMESII!$B$3:$B$62="ASSUMPTION"),46)),""),IF(46&lt;=(COUNTIF(ASCOPE_PMESII!$B$3:$B$62,"ASSUMPTION")+COUNTIF(ASCOPE_PMESII!$D$3:$D$62,"ASSUMPTION")),IFERROR(INDEX(ASCOPE_PMESII!$E$3:$E$62,_xlfn.AGGREGATE(15,6,(ROW(ASCOPE_PMESII!$D$3:$D$62)-ROW(ASCOPE_PMESII!$D$3)+1)/(ASCOPE_PMESII!$D$3:$D$62="ASSUMPTION"),46-(COUNTIF(ASCOPE_PMESII!$B$3:$B$62,"ASSUMPTION")))),""),IF(46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46-(COUNTIF(ASCOPE_PMESII!$B$3:$B$62,"ASSUMPTION")+COUNTIF(ASCOPE_PMESII!$D$3:$D$62,"ASSUMPTION")))),""),IF(46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46-(COUNTIF(ASCOPE_PMESII!$B$3:$B$62,"ASSUMPTION")+COUNTIF(ASCOPE_PMESII!$D$3:$D$62,"ASSUMPTION")+COUNTIF(ASCOPE_PMESII!$F$3:$F$62,"ASSUMPTION")))),""),IF(46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46-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46-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49" s="22" t="str">
        <f t="array" ref="N49">IFERROR(IF(46&lt;=COUNTIF(ASCOPE_PMESII!$B$3:$B$62,"CONSTRAINT"),IFERROR(INDEX(ASCOPE_PMESII!$C$3:$C$62,_xlfn.AGGREGATE(15,6,(ROW(ASCOPE_PMESII!$B$3:$B$62)-ROW(ASCOPE_PMESII!$B$3)+1)/(ASCOPE_PMESII!$B$3:$B$62="CONSTRAINT"),46)),""),IF(46&lt;=(COUNTIF(ASCOPE_PMESII!$B$3:$B$62,"CONSTRAINT")+COUNTIF(ASCOPE_PMESII!$D$3:$D$62,"CONSTRAINT")),IFERROR(INDEX(ASCOPE_PMESII!$E$3:$E$62,_xlfn.AGGREGATE(15,6,(ROW(ASCOPE_PMESII!$D$3:$D$62)-ROW(ASCOPE_PMESII!$D$3)+1)/(ASCOPE_PMESII!$D$3:$D$62="CONSTRAINT"),46-(COUNTIF(ASCOPE_PMESII!$B$3:$B$62,"CONSTRAINT")))),""),IF(46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46-(COUNTIF(ASCOPE_PMESII!$B$3:$B$62,"CONSTRAINT")+COUNTIF(ASCOPE_PMESII!$D$3:$D$62,"CONSTRAINT")))),""),IF(46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46-(COUNTIF(ASCOPE_PMESII!$B$3:$B$62,"CONSTRAINT")+COUNTIF(ASCOPE_PMESII!$D$3:$D$62,"CONSTRAINT")+COUNTIF(ASCOPE_PMESII!$F$3:$F$62,"CONSTRAINT")))),""),IF(46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46-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46-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49" s="22" t="str">
        <f t="array" ref="O49">IFERROR(IF(46&lt;=COUNTIF(ASCOPE_PMESII!$B$3:$B$62,"LIMITATION"),IFERROR(INDEX(ASCOPE_PMESII!$C$3:$C$62,_xlfn.AGGREGATE(15,6,(ROW(ASCOPE_PMESII!$B$3:$B$62)-ROW(ASCOPE_PMESII!$B$3)+1)/(ASCOPE_PMESII!$B$3:$B$62="LIMITATION"),46)),""),IF(46&lt;=(COUNTIF(ASCOPE_PMESII!$B$3:$B$62,"LIMITATION")+COUNTIF(ASCOPE_PMESII!$D$3:$D$62,"LIMITATION")),IFERROR(INDEX(ASCOPE_PMESII!$E$3:$E$62,_xlfn.AGGREGATE(15,6,(ROW(ASCOPE_PMESII!$D$3:$D$62)-ROW(ASCOPE_PMESII!$D$3)+1)/(ASCOPE_PMESII!$D$3:$D$62="LIMITATION"),46-(COUNTIF(ASCOPE_PMESII!$B$3:$B$62,"LIMITATION")))),""),IF(46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46-(COUNTIF(ASCOPE_PMESII!$B$3:$B$62,"LIMITATION")+COUNTIF(ASCOPE_PMESII!$D$3:$D$62,"LIMITATION")))),""),IF(46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46-(COUNTIF(ASCOPE_PMESII!$B$3:$B$62,"LIMITATION")+COUNTIF(ASCOPE_PMESII!$D$3:$D$62,"LIMITATION")+COUNTIF(ASCOPE_PMESII!$F$3:$F$62,"LIMITATION")))),""),IF(46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46-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46-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49" s="22" t="str">
        <f t="array" ref="P49">IFERROR(IF(46&lt;=COUNTIF(ASCOPE_PMESII!$B$3:$B$62,"CC"),IFERROR(INDEX(ASCOPE_PMESII!$C$3:$C$62,_xlfn.AGGREGATE(15,6,(ROW(ASCOPE_PMESII!$B$3:$B$62)-ROW(ASCOPE_PMESII!$B$3)+1)/(ASCOPE_PMESII!$B$3:$B$62="CC"),46)),""),IF(46&lt;=(COUNTIF(ASCOPE_PMESII!$B$3:$B$62,"CC")+COUNTIF(ASCOPE_PMESII!$D$3:$D$62,"CC")),IFERROR(INDEX(ASCOPE_PMESII!$E$3:$E$62,_xlfn.AGGREGATE(15,6,(ROW(ASCOPE_PMESII!$D$3:$D$62)-ROW(ASCOPE_PMESII!$D$3)+1)/(ASCOPE_PMESII!$D$3:$D$62="CC"),46-(COUNTIF(ASCOPE_PMESII!$B$3:$B$62,"CC")))),""),IF(46&lt;=(COUNTIF(ASCOPE_PMESII!$B$3:$B$62,"CC")+COUNTIF(ASCOPE_PMESII!$D$3:$D$62,"CC")+COUNTIF(ASCOPE_PMESII!$F$3:$F$62,"CC")),IFERROR(INDEX(ASCOPE_PMESII!$G$3:$G$62,_xlfn.AGGREGATE(15,6,(ROW(ASCOPE_PMESII!$F$3:$F$62)-ROW(ASCOPE_PMESII!$F$3)+1)/(ASCOPE_PMESII!$F$3:$F$62="CC"),46-(COUNTIF(ASCOPE_PMESII!$B$3:$B$62,"CC")+COUNTIF(ASCOPE_PMESII!$D$3:$D$62,"CC")))),""),IF(46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46-(COUNTIF(ASCOPE_PMESII!$B$3:$B$62,"CC")+COUNTIF(ASCOPE_PMESII!$D$3:$D$62,"CC")+COUNTIF(ASCOPE_PMESII!$F$3:$F$62,"CC")))),""),IF(46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46-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46-(COUNTIF(ASCOPE_PMESII!$B$3:$B$62,"CC")+COUNTIF(ASCOPE_PMESII!$D$3:$D$62,"CC")+COUNTIF(ASCOPE_PMESII!$F$3:$F$62,"CC")+COUNTIF(ASCOPE_PMESII!$H$3:$H$62,"CC")+COUNTIF(ASCOPE_PMESII!$J$3:$J$62,"CC")))),"")))))),"")</f>
        <v/>
      </c>
      <c r="Q49" s="22" t="str">
        <f t="array" ref="Q49">IFERROR(IF(46&lt;=COUNTIF(ASCOPE_PMESII!$B$3:$B$62,"CR"),IFERROR(INDEX(ASCOPE_PMESII!$C$3:$C$62,_xlfn.AGGREGATE(15,6,(ROW(ASCOPE_PMESII!$B$3:$B$62)-ROW(ASCOPE_PMESII!$B$3)+1)/(ASCOPE_PMESII!$B$3:$B$62="CR"),46)),""),IF(46&lt;=(COUNTIF(ASCOPE_PMESII!$B$3:$B$62,"CR")+COUNTIF(ASCOPE_PMESII!$D$3:$D$62,"CR")),IFERROR(INDEX(ASCOPE_PMESII!$E$3:$E$62,_xlfn.AGGREGATE(15,6,(ROW(ASCOPE_PMESII!$D$3:$D$62)-ROW(ASCOPE_PMESII!$D$3)+1)/(ASCOPE_PMESII!$D$3:$D$62="CR"),46-(COUNTIF(ASCOPE_PMESII!$B$3:$B$62,"CR")))),""),IF(46&lt;=(COUNTIF(ASCOPE_PMESII!$B$3:$B$62,"CR")+COUNTIF(ASCOPE_PMESII!$D$3:$D$62,"CR")+COUNTIF(ASCOPE_PMESII!$F$3:$F$62,"CR")),IFERROR(INDEX(ASCOPE_PMESII!$G$3:$G$62,_xlfn.AGGREGATE(15,6,(ROW(ASCOPE_PMESII!$F$3:$F$62)-ROW(ASCOPE_PMESII!$F$3)+1)/(ASCOPE_PMESII!$F$3:$F$62="CR"),46-(COUNTIF(ASCOPE_PMESII!$B$3:$B$62,"CR")+COUNTIF(ASCOPE_PMESII!$D$3:$D$62,"CR")))),""),IF(46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46-(COUNTIF(ASCOPE_PMESII!$B$3:$B$62,"CR")+COUNTIF(ASCOPE_PMESII!$D$3:$D$62,"CR")+COUNTIF(ASCOPE_PMESII!$F$3:$F$62,"CR")))),""),IF(46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46-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46-(COUNTIF(ASCOPE_PMESII!$B$3:$B$62,"CR")+COUNTIF(ASCOPE_PMESII!$D$3:$D$62,"CR")+COUNTIF(ASCOPE_PMESII!$F$3:$F$62,"CR")+COUNTIF(ASCOPE_PMESII!$H$3:$H$62,"CR")+COUNTIF(ASCOPE_PMESII!$J$3:$J$62,"CR")))),"")))))),"")</f>
        <v/>
      </c>
      <c r="R49" s="95" t="str">
        <f t="array" ref="R49">IFERROR(IF(46&lt;=COUNTIF(ASCOPE_PMESII!$B$3:$B$62,"PCS"),IFERROR(INDEX(ASCOPE_PMESII!$C$3:$C$62,_xlfn.AGGREGATE(15,6,(ROW(ASCOPE_PMESII!$B$3:$B$62)-ROW(ASCOPE_PMESII!$B$3)+1)/(ASCOPE_PMESII!$B$3:$B$62="PCS"),46)),""),IF(46&lt;=(COUNTIF(ASCOPE_PMESII!$B$3:$B$62,"PCS")+COUNTIF(ASCOPE_PMESII!$D$3:$D$62,"PCS")),IFERROR(INDEX(ASCOPE_PMESII!$E$3:$E$62,_xlfn.AGGREGATE(15,6,(ROW(ASCOPE_PMESII!$D$3:$D$62)-ROW(ASCOPE_PMESII!$D$3)+1)/(ASCOPE_PMESII!$D$3:$D$62="PCS"),46-(COUNTIF(ASCOPE_PMESII!$B$3:$B$62,"PCS")))),""),IF(46&lt;=(COUNTIF(ASCOPE_PMESII!$B$3:$B$62,"PCS")+COUNTIF(ASCOPE_PMESII!$D$3:$D$62,"PCS")+COUNTIF(ASCOPE_PMESII!$F$3:$F$62,"PCS")),IFERROR(INDEX(ASCOPE_PMESII!$G$3:$G$62,_xlfn.AGGREGATE(15,6,(ROW(ASCOPE_PMESII!$F$3:$F$62)-ROW(ASCOPE_PMESII!$F$3)+1)/(ASCOPE_PMESII!$F$3:$F$62="PCS"),46-(COUNTIF(ASCOPE_PMESII!$B$3:$B$62,"PCS")+COUNTIF(ASCOPE_PMESII!$D$3:$D$62,"PCS")))),""),IF(46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46-(COUNTIF(ASCOPE_PMESII!$B$3:$B$62,"PCS")+COUNTIF(ASCOPE_PMESII!$D$3:$D$62,"PCS")+COUNTIF(ASCOPE_PMESII!$F$3:$F$62,"PCS")))),""),IF(46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46-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46-(COUNTIF(ASCOPE_PMESII!$B$3:$B$62,"PCS")+COUNTIF(ASCOPE_PMESII!$D$3:$D$62,"PCS")+COUNTIF(ASCOPE_PMESII!$F$3:$F$62,"PCS")+COUNTIF(ASCOPE_PMESII!$H$3:$H$62,"PCS")+COUNTIF(ASCOPE_PMESII!$J$3:$J$62,"PCS")))),"")))))),"")</f>
        <v/>
      </c>
    </row>
    <row r="50" spans="1:18" ht="34.5" customHeight="1">
      <c r="A50" s="21" t="str">
        <f t="array" ref="A50">IFERROR(IF(47&lt;=COUNTIF(ASCOPE_PMESII!$B$3:$B$62,"OE"),IFERROR(INDEX(ASCOPE_PMESII!$C$3:$C$62,_xlfn.AGGREGATE(15,6,(ROW(ASCOPE_PMESII!$B$3:$B$62)-ROW(ASCOPE_PMESII!$B$3)+1)/(ASCOPE_PMESII!$B$3:$B$62="OE"),47)),""),IF(47&lt;=(COUNTIF(ASCOPE_PMESII!$B$3:$B$62,"OE")+COUNTIF(ASCOPE_PMESII!$D$3:$D$62,"OE")),IFERROR(INDEX(ASCOPE_PMESII!$E$3:$E$62,_xlfn.AGGREGATE(15,6,(ROW(ASCOPE_PMESII!$D$3:$D$62)-ROW(ASCOPE_PMESII!$D$3)+1)/(ASCOPE_PMESII!$D$3:$D$62="OE"),47-(COUNTIF(ASCOPE_PMESII!$B$3:$B$62,"OE")))),""),IF(47&lt;=(COUNTIF(ASCOPE_PMESII!$B$3:$B$62,"OE")+COUNTIF(ASCOPE_PMESII!$D$3:$D$62,"OE")+COUNTIF(ASCOPE_PMESII!$F$3:$F$62,"OE")),IFERROR(INDEX(ASCOPE_PMESII!$G$3:$G$62,_xlfn.AGGREGATE(15,6,(ROW(ASCOPE_PMESII!$F$3:$F$62)-ROW(ASCOPE_PMESII!$F$3)+1)/(ASCOPE_PMESII!$F$3:$F$62="OE"),47-(COUNTIF(ASCOPE_PMESII!$B$3:$B$62,"OE")+COUNTIF(ASCOPE_PMESII!$D$3:$D$62,"OE")))),""),IF(47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47-(COUNTIF(ASCOPE_PMESII!$B$3:$B$62,"OE")+COUNTIF(ASCOPE_PMESII!$D$3:$D$62,"OE")+COUNTIF(ASCOPE_PMESII!$F$3:$F$62,"OE")))),""),IF(47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47-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47-(COUNTIF(ASCOPE_PMESII!$B$3:$B$62,"OE")+COUNTIF(ASCOPE_PMESII!$D$3:$D$62,"OE")+COUNTIF(ASCOPE_PMESII!$F$3:$F$62,"OE")+COUNTIF(ASCOPE_PMESII!$H$3:$H$62,"OE")+COUNTIF(ASCOPE_PMESII!$J$3:$J$62,"OE")))),"")))))),"")</f>
        <v/>
      </c>
      <c r="B50" s="21" t="str">
        <f t="array" ref="B50">IFERROR(IF(47&lt;=COUNTIF(ASCOPE_PMESII!$B$3:$B$62,"OA"),IFERROR(INDEX(ASCOPE_PMESII!$C$3:$C$62,_xlfn.AGGREGATE(15,6,(ROW(ASCOPE_PMESII!$B$3:$B$62)-ROW(ASCOPE_PMESII!$B$3)+1)/(ASCOPE_PMESII!$B$3:$B$62="OA"),47)),""),IF(47&lt;=(COUNTIF(ASCOPE_PMESII!$B$3:$B$62,"OA")+COUNTIF(ASCOPE_PMESII!$D$3:$D$62,"OA")),IFERROR(INDEX(ASCOPE_PMESII!$E$3:$E$62,_xlfn.AGGREGATE(15,6,(ROW(ASCOPE_PMESII!$D$3:$D$62)-ROW(ASCOPE_PMESII!$D$3)+1)/(ASCOPE_PMESII!$D$3:$D$62="OA"),47-(COUNTIF(ASCOPE_PMESII!$B$3:$B$62,"OA")))),""),IF(47&lt;=(COUNTIF(ASCOPE_PMESII!$B$3:$B$62,"OA")+COUNTIF(ASCOPE_PMESII!$D$3:$D$62,"OA")+COUNTIF(ASCOPE_PMESII!$F$3:$F$62,"OA")),IFERROR(INDEX(ASCOPE_PMESII!$G$3:$G$62,_xlfn.AGGREGATE(15,6,(ROW(ASCOPE_PMESII!$F$3:$F$62)-ROW(ASCOPE_PMESII!$F$3)+1)/(ASCOPE_PMESII!$F$3:$F$62="OA"),47-(COUNTIF(ASCOPE_PMESII!$B$3:$B$62,"OA")+COUNTIF(ASCOPE_PMESII!$D$3:$D$62,"OA")))),""),IF(47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47-(COUNTIF(ASCOPE_PMESII!$B$3:$B$62,"OA")+COUNTIF(ASCOPE_PMESII!$D$3:$D$62,"OA")+COUNTIF(ASCOPE_PMESII!$F$3:$F$62,"OA")))),""),IF(47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47-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47-(COUNTIF(ASCOPE_PMESII!$B$3:$B$62,"OA")+COUNTIF(ASCOPE_PMESII!$D$3:$D$62,"OA")+COUNTIF(ASCOPE_PMESII!$F$3:$F$62,"OA")+COUNTIF(ASCOPE_PMESII!$H$3:$H$62,"OA")+COUNTIF(ASCOPE_PMESII!$J$3:$J$62,"OA")))),"")))))),"")</f>
        <v/>
      </c>
      <c r="C50" s="21" t="str">
        <f t="array" ref="C50">IFERROR(IF(47&lt;=COUNTIF(ASCOPE_PMESII!$B$3:$B$62,"RISK"),IFERROR(INDEX(ASCOPE_PMESII!$C$3:$C$62,_xlfn.AGGREGATE(15,6,(ROW(ASCOPE_PMESII!$B$3:$B$62)-ROW(ASCOPE_PMESII!$B$3)+1)/(ASCOPE_PMESII!$B$3:$B$62="RISK"),47)),""),IF(47&lt;=(COUNTIF(ASCOPE_PMESII!$B$3:$B$62,"RISK")+COUNTIF(ASCOPE_PMESII!$D$3:$D$62,"RISK")),IFERROR(INDEX(ASCOPE_PMESII!$E$3:$E$62,_xlfn.AGGREGATE(15,6,(ROW(ASCOPE_PMESII!$D$3:$D$62)-ROW(ASCOPE_PMESII!$D$3)+1)/(ASCOPE_PMESII!$D$3:$D$62="RISK"),47-(COUNTIF(ASCOPE_PMESII!$B$3:$B$62,"RISK")))),""),IF(47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47-(COUNTIF(ASCOPE_PMESII!$B$3:$B$62,"RISK")+COUNTIF(ASCOPE_PMESII!$D$3:$D$62,"RISK")))),""),IF(47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47-(COUNTIF(ASCOPE_PMESII!$B$3:$B$62,"RISK")+COUNTIF(ASCOPE_PMESII!$D$3:$D$62,"RISK")+COUNTIF(ASCOPE_PMESII!$F$3:$F$62,"RISK")))),""),IF(47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47-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47-(COUNTIF(ASCOPE_PMESII!$B$3:$B$62,"RISK")+COUNTIF(ASCOPE_PMESII!$D$3:$D$62,"RISK")+COUNTIF(ASCOPE_PMESII!$F$3:$F$62,"RISK")+COUNTIF(ASCOPE_PMESII!$H$3:$H$62,"RISK")+COUNTIF(ASCOPE_PMESII!$J$3:$J$62,"RISK")))),"")))))),"")</f>
        <v/>
      </c>
      <c r="D50" s="21" t="str">
        <f t="array" ref="D50">IFERROR(IF(47&lt;=COUNTIF(ASCOPE_PMESII!$B$3:$B$62,"CV"),IFERROR(INDEX(ASCOPE_PMESII!$C$3:$C$62,_xlfn.AGGREGATE(15,6,(ROW(ASCOPE_PMESII!$B$3:$B$62)-ROW(ASCOPE_PMESII!$B$3)+1)/(ASCOPE_PMESII!$B$3:$B$62="CV"),47)),""),IF(47&lt;=(COUNTIF(ASCOPE_PMESII!$B$3:$B$62,"CV")+COUNTIF(ASCOPE_PMESII!$D$3:$D$62,"CV")),IFERROR(INDEX(ASCOPE_PMESII!$E$3:$E$62,_xlfn.AGGREGATE(15,6,(ROW(ASCOPE_PMESII!$D$3:$D$62)-ROW(ASCOPE_PMESII!$D$3)+1)/(ASCOPE_PMESII!$D$3:$D$62="CV"),47-(COUNTIF(ASCOPE_PMESII!$B$3:$B$62,"CV")))),""),IF(47&lt;=(COUNTIF(ASCOPE_PMESII!$B$3:$B$62,"CV")+COUNTIF(ASCOPE_PMESII!$D$3:$D$62,"CV")+COUNTIF(ASCOPE_PMESII!$F$3:$F$62,"CV")),IFERROR(INDEX(ASCOPE_PMESII!$G$3:$G$62,_xlfn.AGGREGATE(15,6,(ROW(ASCOPE_PMESII!$F$3:$F$62)-ROW(ASCOPE_PMESII!$F$3)+1)/(ASCOPE_PMESII!$F$3:$F$62="CV"),47-(COUNTIF(ASCOPE_PMESII!$B$3:$B$62,"CV")+COUNTIF(ASCOPE_PMESII!$D$3:$D$62,"CV")))),""),IF(47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47-(COUNTIF(ASCOPE_PMESII!$B$3:$B$62,"CV")+COUNTIF(ASCOPE_PMESII!$D$3:$D$62,"CV")+COUNTIF(ASCOPE_PMESII!$F$3:$F$62,"CV")))),""),IF(47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47-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47-(COUNTIF(ASCOPE_PMESII!$B$3:$B$62,"CV")+COUNTIF(ASCOPE_PMESII!$D$3:$D$62,"CV")+COUNTIF(ASCOPE_PMESII!$F$3:$F$62,"CV")+COUNTIF(ASCOPE_PMESII!$H$3:$H$62,"CV")+COUNTIF(ASCOPE_PMESII!$J$3:$J$62,"CV")))),"")))))),"")</f>
        <v>Local livelihoods depend on ports, energy and fishing</v>
      </c>
      <c r="E50" s="21" t="str">
        <f t="array" ref="E50">IFERROR(IF(47&lt;=COUNTIF(ASCOPE_PMESII!$B$3:$B$62,"COR"),IFERROR(INDEX(ASCOPE_PMESII!$C$3:$C$62,_xlfn.AGGREGATE(15,6,(ROW(ASCOPE_PMESII!$B$3:$B$62)-ROW(ASCOPE_PMESII!$B$3)+1)/(ASCOPE_PMESII!$B$3:$B$62="COR"),47)),""),IF(47&lt;=(COUNTIF(ASCOPE_PMESII!$B$3:$B$62,"COR")+COUNTIF(ASCOPE_PMESII!$D$3:$D$62,"COR")),IFERROR(INDEX(ASCOPE_PMESII!$E$3:$E$62,_xlfn.AGGREGATE(15,6,(ROW(ASCOPE_PMESII!$D$3:$D$62)-ROW(ASCOPE_PMESII!$D$3)+1)/(ASCOPE_PMESII!$D$3:$D$62="COR"),47-(COUNTIF(ASCOPE_PMESII!$B$3:$B$62,"COR")))),""),IF(47&lt;=(COUNTIF(ASCOPE_PMESII!$B$3:$B$62,"COR")+COUNTIF(ASCOPE_PMESII!$D$3:$D$62,"COR")+COUNTIF(ASCOPE_PMESII!$F$3:$F$62,"COR")),IFERROR(INDEX(ASCOPE_PMESII!$G$3:$G$62,_xlfn.AGGREGATE(15,6,(ROW(ASCOPE_PMESII!$F$3:$F$62)-ROW(ASCOPE_PMESII!$F$3)+1)/(ASCOPE_PMESII!$F$3:$F$62="COR"),47-(COUNTIF(ASCOPE_PMESII!$B$3:$B$62,"COR")+COUNTIF(ASCOPE_PMESII!$D$3:$D$62,"COR")))),""),IF(47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47-(COUNTIF(ASCOPE_PMESII!$B$3:$B$62,"COR")+COUNTIF(ASCOPE_PMESII!$D$3:$D$62,"COR")+COUNTIF(ASCOPE_PMESII!$F$3:$F$62,"COR")))),""),IF(47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47-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47-(COUNTIF(ASCOPE_PMESII!$B$3:$B$62,"COR")+COUNTIF(ASCOPE_PMESII!$D$3:$D$62,"COR")+COUNTIF(ASCOPE_PMESII!$F$3:$F$62,"COR")+COUNTIF(ASCOPE_PMESII!$H$3:$H$62,"COR")+COUNTIF(ASCOPE_PMESII!$J$3:$J$62,"COR")))),"")))))),"")</f>
        <v/>
      </c>
      <c r="F50" s="21" t="str">
        <f t="array" ref="F50">IFERROR(IF(47&lt;=COUNTIF(ASCOPE_PMESII!$B$3:$B$62,"REQT"),IFERROR(INDEX(ASCOPE_PMESII!$C$3:$C$62,_xlfn.AGGREGATE(15,6,(ROW(ASCOPE_PMESII!$B$3:$B$62)-ROW(ASCOPE_PMESII!$B$3)+1)/(ASCOPE_PMESII!$B$3:$B$62="REQT"),47)),""),IF(47&lt;=(COUNTIF(ASCOPE_PMESII!$B$3:$B$62,"REQT")+COUNTIF(ASCOPE_PMESII!$D$3:$D$62,"REQT")),IFERROR(INDEX(ASCOPE_PMESII!$E$3:$E$62,_xlfn.AGGREGATE(15,6,(ROW(ASCOPE_PMESII!$D$3:$D$62)-ROW(ASCOPE_PMESII!$D$3)+1)/(ASCOPE_PMESII!$D$3:$D$62="REQT"),47-(COUNTIF(ASCOPE_PMESII!$B$3:$B$62,"REQT")))),""),IF(47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47-(COUNTIF(ASCOPE_PMESII!$B$3:$B$62,"REQT")+COUNTIF(ASCOPE_PMESII!$D$3:$D$62,"REQT")))),""),IF(47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47-(COUNTIF(ASCOPE_PMESII!$B$3:$B$62,"REQT")+COUNTIF(ASCOPE_PMESII!$D$3:$D$62,"REQT")+COUNTIF(ASCOPE_PMESII!$F$3:$F$62,"REQT")))),""),IF(47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47-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47-(COUNTIF(ASCOPE_PMESII!$B$3:$B$62,"REQT")+COUNTIF(ASCOPE_PMESII!$D$3:$D$62,"REQT")+COUNTIF(ASCOPE_PMESII!$F$3:$F$62,"REQT")+COUNTIF(ASCOPE_PMESII!$H$3:$H$62,"REQT")+COUNTIF(ASCOPE_PMESII!$J$3:$J$62,"REQT")))),"")))))),"")</f>
        <v/>
      </c>
      <c r="G50" s="21" t="str">
        <f t="array" ref="G50">IFERROR(IF(47&lt;=COUNTIF(ASCOPE_PMESII!$B$3:$B$62,"REST"),IFERROR(INDEX(ASCOPE_PMESII!$C$3:$C$62,_xlfn.AGGREGATE(15,6,(ROW(ASCOPE_PMESII!$B$3:$B$62)-ROW(ASCOPE_PMESII!$B$3)+1)/(ASCOPE_PMESII!$B$3:$B$62="REST"),47)),""),IF(47&lt;=(COUNTIF(ASCOPE_PMESII!$B$3:$B$62,"REST")+COUNTIF(ASCOPE_PMESII!$D$3:$D$62,"REST")),IFERROR(INDEX(ASCOPE_PMESII!$E$3:$E$62,_xlfn.AGGREGATE(15,6,(ROW(ASCOPE_PMESII!$D$3:$D$62)-ROW(ASCOPE_PMESII!$D$3)+1)/(ASCOPE_PMESII!$D$3:$D$62="REST"),47-(COUNTIF(ASCOPE_PMESII!$B$3:$B$62,"REST")))),""),IF(47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47-(COUNTIF(ASCOPE_PMESII!$B$3:$B$62,"REST")+COUNTIF(ASCOPE_PMESII!$D$3:$D$62,"REST")))),""),IF(47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47-(COUNTIF(ASCOPE_PMESII!$B$3:$B$62,"REST")+COUNTIF(ASCOPE_PMESII!$D$3:$D$62,"REST")+COUNTIF(ASCOPE_PMESII!$F$3:$F$62,"REST")))),""),IF(47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47-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47-(COUNTIF(ASCOPE_PMESII!$B$3:$B$62,"REST")+COUNTIF(ASCOPE_PMESII!$D$3:$D$62,"REST")+COUNTIF(ASCOPE_PMESII!$F$3:$F$62,"REST")+COUNTIF(ASCOPE_PMESII!$H$3:$H$62,"REST")+COUNTIF(ASCOPE_PMESII!$J$3:$J$62,"REST")))),"")))))),"")</f>
        <v/>
      </c>
      <c r="H50" s="21" t="str">
        <f t="array" ref="H50">IFERROR(IF(47&lt;=COUNTIF(ASCOPE_PMESII!$B$3:$B$62,"KCD-MUST"),IFERROR(INDEX(ASCOPE_PMESII!$C$3:$C$62,_xlfn.AGGREGATE(15,6,(ROW(ASCOPE_PMESII!$B$3:$B$62)-ROW(ASCOPE_PMESII!$B$3)+1)/(ASCOPE_PMESII!$B$3:$B$62="KCD-MUST"),47)),""),IF(47&lt;=(COUNTIF(ASCOPE_PMESII!$B$3:$B$62,"KCD-MUST")+COUNTIF(ASCOPE_PMESII!$D$3:$D$62,"KCD-MUST")),IFERROR(INDEX(ASCOPE_PMESII!$E$3:$E$62,_xlfn.AGGREGATE(15,6,(ROW(ASCOPE_PMESII!$D$3:$D$62)-ROW(ASCOPE_PMESII!$D$3)+1)/(ASCOPE_PMESII!$D$3:$D$62="KCD-MUST"),47-(COUNTIF(ASCOPE_PMESII!$B$3:$B$62,"KCD-MUST")))),""),IF(47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47-(COUNTIF(ASCOPE_PMESII!$B$3:$B$62,"KCD-MUST")+COUNTIF(ASCOPE_PMESII!$D$3:$D$62,"KCD-MUST")))),""),IF(47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47-(COUNTIF(ASCOPE_PMESII!$B$3:$B$62,"KCD-MUST")+COUNTIF(ASCOPE_PMESII!$D$3:$D$62,"KCD-MUST")+COUNTIF(ASCOPE_PMESII!$F$3:$F$62,"KCD-MUST")))),""),IF(47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47-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47-(COUNTIF(ASCOPE_PMESII!$B$3:$B$62,"KCD-MUST")+COUNTIF(ASCOPE_PMESII!$D$3:$D$62,"KCD-MUST")+COUNTIF(ASCOPE_PMESII!$F$3:$F$62,"KCD-MUST")+COUNTIF(ASCOPE_PMESII!$H$3:$H$62,"KCD-MUST")+COUNTIF(ASCOPE_PMESII!$J$3:$J$62,"KCD-MUST")))),"")))))),"")</f>
        <v/>
      </c>
      <c r="I50" s="21" t="str">
        <f t="array" ref="I50">IFERROR(IF(47&lt;=COUNTIF(ASCOPE_PMESII!$B$3:$B$62,"KCD-SHOULD"),IFERROR(INDEX(ASCOPE_PMESII!$C$3:$C$62,_xlfn.AGGREGATE(15,6,(ROW(ASCOPE_PMESII!$B$3:$B$62)-ROW(ASCOPE_PMESII!$B$3)+1)/(ASCOPE_PMESII!$B$3:$B$62="KCD-SHOULD"),47)),""),IF(47&lt;=(COUNTIF(ASCOPE_PMESII!$B$3:$B$62,"KCD-SHOULD")+COUNTIF(ASCOPE_PMESII!$D$3:$D$62,"KCD-SHOULD")),IFERROR(INDEX(ASCOPE_PMESII!$E$3:$E$62,_xlfn.AGGREGATE(15,6,(ROW(ASCOPE_PMESII!$D$3:$D$62)-ROW(ASCOPE_PMESII!$D$3)+1)/(ASCOPE_PMESII!$D$3:$D$62="KCD-SHOULD"),47-(COUNTIF(ASCOPE_PMESII!$B$3:$B$62,"KCD-SHOULD")))),""),IF(47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47-(COUNTIF(ASCOPE_PMESII!$B$3:$B$62,"KCD-SHOULD")+COUNTIF(ASCOPE_PMESII!$D$3:$D$62,"KCD-SHOULD")))),""),IF(47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47-(COUNTIF(ASCOPE_PMESII!$B$3:$B$62,"KCD-SHOULD")+COUNTIF(ASCOPE_PMESII!$D$3:$D$62,"KCD-SHOULD")+COUNTIF(ASCOPE_PMESII!$F$3:$F$62,"KCD-SHOULD")))),""),IF(47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47-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47-(COUNTIF(ASCOPE_PMESII!$B$3:$B$62,"KCD-SHOULD")+COUNTIF(ASCOPE_PMESII!$D$3:$D$62,"KCD-SHOULD")+COUNTIF(ASCOPE_PMESII!$F$3:$F$62,"KCD-SHOULD")+COUNTIF(ASCOPE_PMESII!$H$3:$H$62,"KCD-SHOULD")+COUNTIF(ASCOPE_PMESII!$J$3:$J$62,"KCD-SHOULD")))),"")))))),"")</f>
        <v/>
      </c>
      <c r="J50" s="21" t="str">
        <f t="array" ref="J50">IFERROR(IF(47&lt;=COUNTIF(ASCOPE_PMESII!$B$3:$B$62,"KCD-SHOULD NOT"),IFERROR(INDEX(ASCOPE_PMESII!$C$3:$C$62,_xlfn.AGGREGATE(15,6,(ROW(ASCOPE_PMESII!$B$3:$B$62)-ROW(ASCOPE_PMESII!$B$3)+1)/(ASCOPE_PMESII!$B$3:$B$62="KCD-SHOULD NOT"),47)),""),IF(47&lt;=(COUNTIF(ASCOPE_PMESII!$B$3:$B$62,"KCD-SHOULD NOT")+COUNTIF(ASCOPE_PMESII!$D$3:$D$62,"KCD-SHOULD NOT")),IFERROR(INDEX(ASCOPE_PMESII!$E$3:$E$62,_xlfn.AGGREGATE(15,6,(ROW(ASCOPE_PMESII!$D$3:$D$62)-ROW(ASCOPE_PMESII!$D$3)+1)/(ASCOPE_PMESII!$D$3:$D$62="KCD-SHOULD NOT"),47-(COUNTIF(ASCOPE_PMESII!$B$3:$B$62,"KCD-SHOULD NOT")))),""),IF(47&lt;=(COUNTIF(ASCOPE_PMESII!$B$3:$B$62,"KCD-SHOULD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NOT"),47-(COUNTIF(ASCOPE_PMESII!$B$3:$B$62,"KCD-SHOULD NOT")+COUNTIF(ASCOPE_PMESII!$D$3:$D$62,"KCD-SHOULD NOT")))),""),IF(47&lt;=(COUNTIF(ASCOPE_PMESII!$B$3:$B$62,"KCD-SHOULD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NOT"),47-(COUNTIF(ASCOPE_PMESII!$B$3:$B$62,"KCD-SHOULD NOT")+COUNTIF(ASCOPE_PMESII!$D$3:$D$62,"KCD-SHOULD NOT")+COUNTIF(ASCOPE_PMESII!$F$3:$F$62,"KCD-SHOULD NOT")))),""),IF(47&lt;=(COUNTIF(ASCOPE_PMESII!$B$3:$B$62,"KCD-SHOULD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NOT"),47-(COUNTIF(ASCOPE_PMESII!$B$3:$B$62,"KCD-SHOULD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NOT"),47-(COUNTIF(ASCOPE_PMESII!$B$3:$B$62,"KCD-SHOULD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50" s="21" t="str">
        <f t="array" ref="K50">IFERROR(IF(47&lt;=COUNTIF(ASCOPE_PMESII!$B$3:$B$62,"KCD-CANNOT"),IFERROR(INDEX(ASCOPE_PMESII!$C$3:$C$62,_xlfn.AGGREGATE(15,6,(ROW(ASCOPE_PMESII!$B$3:$B$62)-ROW(ASCOPE_PMESII!$B$3)+1)/(ASCOPE_PMESII!$B$3:$B$62="KCD-CANNOT"),47)),""),IF(47&lt;=(COUNTIF(ASCOPE_PMESII!$B$3:$B$62,"KCD-CANNOT")+COUNTIF(ASCOPE_PMESII!$D$3:$D$62,"KCD-CANNOT")),IFERROR(INDEX(ASCOPE_PMESII!$E$3:$E$62,_xlfn.AGGREGATE(15,6,(ROW(ASCOPE_PMESII!$D$3:$D$62)-ROW(ASCOPE_PMESII!$D$3)+1)/(ASCOPE_PMESII!$D$3:$D$62="KCD-CANNOT"),47-(COUNTIF(ASCOPE_PMESII!$B$3:$B$62,"KCD-CANNOT")))),""),IF(47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47-(COUNTIF(ASCOPE_PMESII!$B$3:$B$62,"KCD-CANNOT")+COUNTIF(ASCOPE_PMESII!$D$3:$D$62,"KCD-CANNOT")))),""),IF(47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47-(COUNTIF(ASCOPE_PMESII!$B$3:$B$62,"KCD-CANNOT")+COUNTIF(ASCOPE_PMESII!$D$3:$D$62,"KCD-CANNOT")+COUNTIF(ASCOPE_PMESII!$F$3:$F$62,"KCD-CANNOT")))),""),IF(47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47-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47-(COUNTIF(ASCOPE_PMESII!$B$3:$B$62,"KCD-CANNOT")+COUNTIF(ASCOPE_PMESII!$D$3:$D$62,"KCD-CANNOT")+COUNTIF(ASCOPE_PMESII!$F$3:$F$62,"KCD-CANNOT")+COUNTIF(ASCOPE_PMESII!$H$3:$H$62,"KCD-CANNOT")+COUNTIF(ASCOPE_PMESII!$J$3:$J$62,"KCD-CANNOT")))),"")))))),"")</f>
        <v/>
      </c>
      <c r="L50" s="21" t="str">
        <f t="array" ref="L50">IFERROR(IF(47&lt;=COUNTIF(ASCOPE_PMESII!$B$3:$B$62,"DECISION"),IFERROR(INDEX(ASCOPE_PMESII!$C$3:$C$62,_xlfn.AGGREGATE(15,6,(ROW(ASCOPE_PMESII!$B$3:$B$62)-ROW(ASCOPE_PMESII!$B$3)+1)/(ASCOPE_PMESII!$B$3:$B$62="DECISION"),47)),""),IF(47&lt;=(COUNTIF(ASCOPE_PMESII!$B$3:$B$62,"DECISION")+COUNTIF(ASCOPE_PMESII!$D$3:$D$62,"DECISION")),IFERROR(INDEX(ASCOPE_PMESII!$E$3:$E$62,_xlfn.AGGREGATE(15,6,(ROW(ASCOPE_PMESII!$D$3:$D$62)-ROW(ASCOPE_PMESII!$D$3)+1)/(ASCOPE_PMESII!$D$3:$D$62="DECISION"),47-(COUNTIF(ASCOPE_PMESII!$B$3:$B$62,"DECISION")))),""),IF(47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47-(COUNTIF(ASCOPE_PMESII!$B$3:$B$62,"DECISION")+COUNTIF(ASCOPE_PMESII!$D$3:$D$62,"DECISION")))),""),IF(47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47-(COUNTIF(ASCOPE_PMESII!$B$3:$B$62,"DECISION")+COUNTIF(ASCOPE_PMESII!$D$3:$D$62,"DECISION")+COUNTIF(ASCOPE_PMESII!$F$3:$F$62,"DECISION")))),""),IF(47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47-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47-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50" s="21" t="str">
        <f t="array" ref="M50">IFERROR(IF(47&lt;=COUNTIF(ASCOPE_PMESII!$B$3:$B$62,"ASSUMPTION"),IFERROR(INDEX(ASCOPE_PMESII!$C$3:$C$62,_xlfn.AGGREGATE(15,6,(ROW(ASCOPE_PMESII!$B$3:$B$62)-ROW(ASCOPE_PMESII!$B$3)+1)/(ASCOPE_PMESII!$B$3:$B$62="ASSUMPTION"),47)),""),IF(47&lt;=(COUNTIF(ASCOPE_PMESII!$B$3:$B$62,"ASSUMPTION")+COUNTIF(ASCOPE_PMESII!$D$3:$D$62,"ASSUMPTION")),IFERROR(INDEX(ASCOPE_PMESII!$E$3:$E$62,_xlfn.AGGREGATE(15,6,(ROW(ASCOPE_PMESII!$D$3:$D$62)-ROW(ASCOPE_PMESII!$D$3)+1)/(ASCOPE_PMESII!$D$3:$D$62="ASSUMPTION"),47-(COUNTIF(ASCOPE_PMESII!$B$3:$B$62,"ASSUMPTION")))),""),IF(47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47-(COUNTIF(ASCOPE_PMESII!$B$3:$B$62,"ASSUMPTION")+COUNTIF(ASCOPE_PMESII!$D$3:$D$62,"ASSUMPTION")))),""),IF(47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47-(COUNTIF(ASCOPE_PMESII!$B$3:$B$62,"ASSUMPTION")+COUNTIF(ASCOPE_PMESII!$D$3:$D$62,"ASSUMPTION")+COUNTIF(ASCOPE_PMESII!$F$3:$F$62,"ASSUMPTION")))),""),IF(47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47-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47-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50" s="21" t="str">
        <f t="array" ref="N50">IFERROR(IF(47&lt;=COUNTIF(ASCOPE_PMESII!$B$3:$B$62,"CONSTRAINT"),IFERROR(INDEX(ASCOPE_PMESII!$C$3:$C$62,_xlfn.AGGREGATE(15,6,(ROW(ASCOPE_PMESII!$B$3:$B$62)-ROW(ASCOPE_PMESII!$B$3)+1)/(ASCOPE_PMESII!$B$3:$B$62="CONSTRAINT"),47)),""),IF(47&lt;=(COUNTIF(ASCOPE_PMESII!$B$3:$B$62,"CONSTRAINT")+COUNTIF(ASCOPE_PMESII!$D$3:$D$62,"CONSTRAINT")),IFERROR(INDEX(ASCOPE_PMESII!$E$3:$E$62,_xlfn.AGGREGATE(15,6,(ROW(ASCOPE_PMESII!$D$3:$D$62)-ROW(ASCOPE_PMESII!$D$3)+1)/(ASCOPE_PMESII!$D$3:$D$62="CONSTRAINT"),47-(COUNTIF(ASCOPE_PMESII!$B$3:$B$62,"CONSTRAINT")))),""),IF(47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47-(COUNTIF(ASCOPE_PMESII!$B$3:$B$62,"CONSTRAINT")+COUNTIF(ASCOPE_PMESII!$D$3:$D$62,"CONSTRAINT")))),""),IF(47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47-(COUNTIF(ASCOPE_PMESII!$B$3:$B$62,"CONSTRAINT")+COUNTIF(ASCOPE_PMESII!$D$3:$D$62,"CONSTRAINT")+COUNTIF(ASCOPE_PMESII!$F$3:$F$62,"CONSTRAINT")))),""),IF(47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47-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47-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50" s="21" t="str">
        <f t="array" ref="O50">IFERROR(IF(47&lt;=COUNTIF(ASCOPE_PMESII!$B$3:$B$62,"LIMITATION"),IFERROR(INDEX(ASCOPE_PMESII!$C$3:$C$62,_xlfn.AGGREGATE(15,6,(ROW(ASCOPE_PMESII!$B$3:$B$62)-ROW(ASCOPE_PMESII!$B$3)+1)/(ASCOPE_PMESII!$B$3:$B$62="LIMITATION"),47)),""),IF(47&lt;=(COUNTIF(ASCOPE_PMESII!$B$3:$B$62,"LIMITATION")+COUNTIF(ASCOPE_PMESII!$D$3:$D$62,"LIMITATION")),IFERROR(INDEX(ASCOPE_PMESII!$E$3:$E$62,_xlfn.AGGREGATE(15,6,(ROW(ASCOPE_PMESII!$D$3:$D$62)-ROW(ASCOPE_PMESII!$D$3)+1)/(ASCOPE_PMESII!$D$3:$D$62="LIMITATION"),47-(COUNTIF(ASCOPE_PMESII!$B$3:$B$62,"LIMITATION")))),""),IF(47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47-(COUNTIF(ASCOPE_PMESII!$B$3:$B$62,"LIMITATION")+COUNTIF(ASCOPE_PMESII!$D$3:$D$62,"LIMITATION")))),""),IF(47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47-(COUNTIF(ASCOPE_PMESII!$B$3:$B$62,"LIMITATION")+COUNTIF(ASCOPE_PMESII!$D$3:$D$62,"LIMITATION")+COUNTIF(ASCOPE_PMESII!$F$3:$F$62,"LIMITATION")))),""),IF(47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47-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47-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50" s="21" t="str">
        <f t="array" ref="P50">IFERROR(IF(47&lt;=COUNTIF(ASCOPE_PMESII!$B$3:$B$62,"CC"),IFERROR(INDEX(ASCOPE_PMESII!$C$3:$C$62,_xlfn.AGGREGATE(15,6,(ROW(ASCOPE_PMESII!$B$3:$B$62)-ROW(ASCOPE_PMESII!$B$3)+1)/(ASCOPE_PMESII!$B$3:$B$62="CC"),47)),""),IF(47&lt;=(COUNTIF(ASCOPE_PMESII!$B$3:$B$62,"CC")+COUNTIF(ASCOPE_PMESII!$D$3:$D$62,"CC")),IFERROR(INDEX(ASCOPE_PMESII!$E$3:$E$62,_xlfn.AGGREGATE(15,6,(ROW(ASCOPE_PMESII!$D$3:$D$62)-ROW(ASCOPE_PMESII!$D$3)+1)/(ASCOPE_PMESII!$D$3:$D$62="CC"),47-(COUNTIF(ASCOPE_PMESII!$B$3:$B$62,"CC")))),""),IF(47&lt;=(COUNTIF(ASCOPE_PMESII!$B$3:$B$62,"CC")+COUNTIF(ASCOPE_PMESII!$D$3:$D$62,"CC")+COUNTIF(ASCOPE_PMESII!$F$3:$F$62,"CC")),IFERROR(INDEX(ASCOPE_PMESII!$G$3:$G$62,_xlfn.AGGREGATE(15,6,(ROW(ASCOPE_PMESII!$F$3:$F$62)-ROW(ASCOPE_PMESII!$F$3)+1)/(ASCOPE_PMESII!$F$3:$F$62="CC"),47-(COUNTIF(ASCOPE_PMESII!$B$3:$B$62,"CC")+COUNTIF(ASCOPE_PMESII!$D$3:$D$62,"CC")))),""),IF(47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47-(COUNTIF(ASCOPE_PMESII!$B$3:$B$62,"CC")+COUNTIF(ASCOPE_PMESII!$D$3:$D$62,"CC")+COUNTIF(ASCOPE_PMESII!$F$3:$F$62,"CC")))),""),IF(47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47-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47-(COUNTIF(ASCOPE_PMESII!$B$3:$B$62,"CC")+COUNTIF(ASCOPE_PMESII!$D$3:$D$62,"CC")+COUNTIF(ASCOPE_PMESII!$F$3:$F$62,"CC")+COUNTIF(ASCOPE_PMESII!$H$3:$H$62,"CC")+COUNTIF(ASCOPE_PMESII!$J$3:$J$62,"CC")))),"")))))),"")</f>
        <v/>
      </c>
      <c r="Q50" s="21" t="str">
        <f t="array" ref="Q50">IFERROR(IF(47&lt;=COUNTIF(ASCOPE_PMESII!$B$3:$B$62,"CR"),IFERROR(INDEX(ASCOPE_PMESII!$C$3:$C$62,_xlfn.AGGREGATE(15,6,(ROW(ASCOPE_PMESII!$B$3:$B$62)-ROW(ASCOPE_PMESII!$B$3)+1)/(ASCOPE_PMESII!$B$3:$B$62="CR"),47)),""),IF(47&lt;=(COUNTIF(ASCOPE_PMESII!$B$3:$B$62,"CR")+COUNTIF(ASCOPE_PMESII!$D$3:$D$62,"CR")),IFERROR(INDEX(ASCOPE_PMESII!$E$3:$E$62,_xlfn.AGGREGATE(15,6,(ROW(ASCOPE_PMESII!$D$3:$D$62)-ROW(ASCOPE_PMESII!$D$3)+1)/(ASCOPE_PMESII!$D$3:$D$62="CR"),47-(COUNTIF(ASCOPE_PMESII!$B$3:$B$62,"CR")))),""),IF(47&lt;=(COUNTIF(ASCOPE_PMESII!$B$3:$B$62,"CR")+COUNTIF(ASCOPE_PMESII!$D$3:$D$62,"CR")+COUNTIF(ASCOPE_PMESII!$F$3:$F$62,"CR")),IFERROR(INDEX(ASCOPE_PMESII!$G$3:$G$62,_xlfn.AGGREGATE(15,6,(ROW(ASCOPE_PMESII!$F$3:$F$62)-ROW(ASCOPE_PMESII!$F$3)+1)/(ASCOPE_PMESII!$F$3:$F$62="CR"),47-(COUNTIF(ASCOPE_PMESII!$B$3:$B$62,"CR")+COUNTIF(ASCOPE_PMESII!$D$3:$D$62,"CR")))),""),IF(47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47-(COUNTIF(ASCOPE_PMESII!$B$3:$B$62,"CR")+COUNTIF(ASCOPE_PMESII!$D$3:$D$62,"CR")+COUNTIF(ASCOPE_PMESII!$F$3:$F$62,"CR")))),""),IF(47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47-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47-(COUNTIF(ASCOPE_PMESII!$B$3:$B$62,"CR")+COUNTIF(ASCOPE_PMESII!$D$3:$D$62,"CR")+COUNTIF(ASCOPE_PMESII!$F$3:$F$62,"CR")+COUNTIF(ASCOPE_PMESII!$H$3:$H$62,"CR")+COUNTIF(ASCOPE_PMESII!$J$3:$J$62,"CR")))),"")))))),"")</f>
        <v/>
      </c>
      <c r="R50" s="94" t="str">
        <f t="array" ref="R50">IFERROR(IF(47&lt;=COUNTIF(ASCOPE_PMESII!$B$3:$B$62,"PCS"),IFERROR(INDEX(ASCOPE_PMESII!$C$3:$C$62,_xlfn.AGGREGATE(15,6,(ROW(ASCOPE_PMESII!$B$3:$B$62)-ROW(ASCOPE_PMESII!$B$3)+1)/(ASCOPE_PMESII!$B$3:$B$62="PCS"),47)),""),IF(47&lt;=(COUNTIF(ASCOPE_PMESII!$B$3:$B$62,"PCS")+COUNTIF(ASCOPE_PMESII!$D$3:$D$62,"PCS")),IFERROR(INDEX(ASCOPE_PMESII!$E$3:$E$62,_xlfn.AGGREGATE(15,6,(ROW(ASCOPE_PMESII!$D$3:$D$62)-ROW(ASCOPE_PMESII!$D$3)+1)/(ASCOPE_PMESII!$D$3:$D$62="PCS"),47-(COUNTIF(ASCOPE_PMESII!$B$3:$B$62,"PCS")))),""),IF(47&lt;=(COUNTIF(ASCOPE_PMESII!$B$3:$B$62,"PCS")+COUNTIF(ASCOPE_PMESII!$D$3:$D$62,"PCS")+COUNTIF(ASCOPE_PMESII!$F$3:$F$62,"PCS")),IFERROR(INDEX(ASCOPE_PMESII!$G$3:$G$62,_xlfn.AGGREGATE(15,6,(ROW(ASCOPE_PMESII!$F$3:$F$62)-ROW(ASCOPE_PMESII!$F$3)+1)/(ASCOPE_PMESII!$F$3:$F$62="PCS"),47-(COUNTIF(ASCOPE_PMESII!$B$3:$B$62,"PCS")+COUNTIF(ASCOPE_PMESII!$D$3:$D$62,"PCS")))),""),IF(47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47-(COUNTIF(ASCOPE_PMESII!$B$3:$B$62,"PCS")+COUNTIF(ASCOPE_PMESII!$D$3:$D$62,"PCS")+COUNTIF(ASCOPE_PMESII!$F$3:$F$62,"PCS")))),""),IF(47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47-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47-(COUNTIF(ASCOPE_PMESII!$B$3:$B$62,"PCS")+COUNTIF(ASCOPE_PMESII!$D$3:$D$62,"PCS")+COUNTIF(ASCOPE_PMESII!$F$3:$F$62,"PCS")+COUNTIF(ASCOPE_PMESII!$H$3:$H$62,"PCS")+COUNTIF(ASCOPE_PMESII!$J$3:$J$62,"PCS")))),"")))))),"")</f>
        <v/>
      </c>
    </row>
    <row r="51" spans="1:18" ht="34.5" customHeight="1">
      <c r="A51" s="22" t="str">
        <f t="array" ref="A51">IFERROR(IF(48&lt;=COUNTIF(ASCOPE_PMESII!$B$3:$B$62,"OE"),IFERROR(INDEX(ASCOPE_PMESII!$C$3:$C$62,_xlfn.AGGREGATE(15,6,(ROW(ASCOPE_PMESII!$B$3:$B$62)-ROW(ASCOPE_PMESII!$B$3)+1)/(ASCOPE_PMESII!$B$3:$B$62="OE"),48)),""),IF(48&lt;=(COUNTIF(ASCOPE_PMESII!$B$3:$B$62,"OE")+COUNTIF(ASCOPE_PMESII!$D$3:$D$62,"OE")),IFERROR(INDEX(ASCOPE_PMESII!$E$3:$E$62,_xlfn.AGGREGATE(15,6,(ROW(ASCOPE_PMESII!$D$3:$D$62)-ROW(ASCOPE_PMESII!$D$3)+1)/(ASCOPE_PMESII!$D$3:$D$62="OE"),48-(COUNTIF(ASCOPE_PMESII!$B$3:$B$62,"OE")))),""),IF(48&lt;=(COUNTIF(ASCOPE_PMESII!$B$3:$B$62,"OE")+COUNTIF(ASCOPE_PMESII!$D$3:$D$62,"OE")+COUNTIF(ASCOPE_PMESII!$F$3:$F$62,"OE")),IFERROR(INDEX(ASCOPE_PMESII!$G$3:$G$62,_xlfn.AGGREGATE(15,6,(ROW(ASCOPE_PMESII!$F$3:$F$62)-ROW(ASCOPE_PMESII!$F$3)+1)/(ASCOPE_PMESII!$F$3:$F$62="OE"),48-(COUNTIF(ASCOPE_PMESII!$B$3:$B$62,"OE")+COUNTIF(ASCOPE_PMESII!$D$3:$D$62,"OE")))),""),IF(48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48-(COUNTIF(ASCOPE_PMESII!$B$3:$B$62,"OE")+COUNTIF(ASCOPE_PMESII!$D$3:$D$62,"OE")+COUNTIF(ASCOPE_PMESII!$F$3:$F$62,"OE")))),""),IF(48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48-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48-(COUNTIF(ASCOPE_PMESII!$B$3:$B$62,"OE")+COUNTIF(ASCOPE_PMESII!$D$3:$D$62,"OE")+COUNTIF(ASCOPE_PMESII!$F$3:$F$62,"OE")+COUNTIF(ASCOPE_PMESII!$H$3:$H$62,"OE")+COUNTIF(ASCOPE_PMESII!$J$3:$J$62,"OE")))),"")))))),"")</f>
        <v/>
      </c>
      <c r="B51" s="22" t="str">
        <f t="array" ref="B51">IFERROR(IF(48&lt;=COUNTIF(ASCOPE_PMESII!$B$3:$B$62,"OA"),IFERROR(INDEX(ASCOPE_PMESII!$C$3:$C$62,_xlfn.AGGREGATE(15,6,(ROW(ASCOPE_PMESII!$B$3:$B$62)-ROW(ASCOPE_PMESII!$B$3)+1)/(ASCOPE_PMESII!$B$3:$B$62="OA"),48)),""),IF(48&lt;=(COUNTIF(ASCOPE_PMESII!$B$3:$B$62,"OA")+COUNTIF(ASCOPE_PMESII!$D$3:$D$62,"OA")),IFERROR(INDEX(ASCOPE_PMESII!$E$3:$E$62,_xlfn.AGGREGATE(15,6,(ROW(ASCOPE_PMESII!$D$3:$D$62)-ROW(ASCOPE_PMESII!$D$3)+1)/(ASCOPE_PMESII!$D$3:$D$62="OA"),48-(COUNTIF(ASCOPE_PMESII!$B$3:$B$62,"OA")))),""),IF(48&lt;=(COUNTIF(ASCOPE_PMESII!$B$3:$B$62,"OA")+COUNTIF(ASCOPE_PMESII!$D$3:$D$62,"OA")+COUNTIF(ASCOPE_PMESII!$F$3:$F$62,"OA")),IFERROR(INDEX(ASCOPE_PMESII!$G$3:$G$62,_xlfn.AGGREGATE(15,6,(ROW(ASCOPE_PMESII!$F$3:$F$62)-ROW(ASCOPE_PMESII!$F$3)+1)/(ASCOPE_PMESII!$F$3:$F$62="OA"),48-(COUNTIF(ASCOPE_PMESII!$B$3:$B$62,"OA")+COUNTIF(ASCOPE_PMESII!$D$3:$D$62,"OA")))),""),IF(48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48-(COUNTIF(ASCOPE_PMESII!$B$3:$B$62,"OA")+COUNTIF(ASCOPE_PMESII!$D$3:$D$62,"OA")+COUNTIF(ASCOPE_PMESII!$F$3:$F$62,"OA")))),""),IF(48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48-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48-(COUNTIF(ASCOPE_PMESII!$B$3:$B$62,"OA")+COUNTIF(ASCOPE_PMESII!$D$3:$D$62,"OA")+COUNTIF(ASCOPE_PMESII!$F$3:$F$62,"OA")+COUNTIF(ASCOPE_PMESII!$H$3:$H$62,"OA")+COUNTIF(ASCOPE_PMESII!$J$3:$J$62,"OA")))),"")))))),"")</f>
        <v/>
      </c>
      <c r="C51" s="22" t="str">
        <f t="array" ref="C51">IFERROR(IF(48&lt;=COUNTIF(ASCOPE_PMESII!$B$3:$B$62,"RISK"),IFERROR(INDEX(ASCOPE_PMESII!$C$3:$C$62,_xlfn.AGGREGATE(15,6,(ROW(ASCOPE_PMESII!$B$3:$B$62)-ROW(ASCOPE_PMESII!$B$3)+1)/(ASCOPE_PMESII!$B$3:$B$62="RISK"),48)),""),IF(48&lt;=(COUNTIF(ASCOPE_PMESII!$B$3:$B$62,"RISK")+COUNTIF(ASCOPE_PMESII!$D$3:$D$62,"RISK")),IFERROR(INDEX(ASCOPE_PMESII!$E$3:$E$62,_xlfn.AGGREGATE(15,6,(ROW(ASCOPE_PMESII!$D$3:$D$62)-ROW(ASCOPE_PMESII!$D$3)+1)/(ASCOPE_PMESII!$D$3:$D$62="RISK"),48-(COUNTIF(ASCOPE_PMESII!$B$3:$B$62,"RISK")))),""),IF(48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48-(COUNTIF(ASCOPE_PMESII!$B$3:$B$62,"RISK")+COUNTIF(ASCOPE_PMESII!$D$3:$D$62,"RISK")))),""),IF(48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48-(COUNTIF(ASCOPE_PMESII!$B$3:$B$62,"RISK")+COUNTIF(ASCOPE_PMESII!$D$3:$D$62,"RISK")+COUNTIF(ASCOPE_PMESII!$F$3:$F$62,"RISK")))),""),IF(48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48-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48-(COUNTIF(ASCOPE_PMESII!$B$3:$B$62,"RISK")+COUNTIF(ASCOPE_PMESII!$D$3:$D$62,"RISK")+COUNTIF(ASCOPE_PMESII!$F$3:$F$62,"RISK")+COUNTIF(ASCOPE_PMESII!$H$3:$H$62,"RISK")+COUNTIF(ASCOPE_PMESII!$J$3:$J$62,"RISK")))),"")))))),"")</f>
        <v/>
      </c>
      <c r="D51" s="22" t="str">
        <f t="array" ref="D51">IFERROR(IF(48&lt;=COUNTIF(ASCOPE_PMESII!$B$3:$B$62,"CV"),IFERROR(INDEX(ASCOPE_PMESII!$C$3:$C$62,_xlfn.AGGREGATE(15,6,(ROW(ASCOPE_PMESII!$B$3:$B$62)-ROW(ASCOPE_PMESII!$B$3)+1)/(ASCOPE_PMESII!$B$3:$B$62="CV"),48)),""),IF(48&lt;=(COUNTIF(ASCOPE_PMESII!$B$3:$B$62,"CV")+COUNTIF(ASCOPE_PMESII!$D$3:$D$62,"CV")),IFERROR(INDEX(ASCOPE_PMESII!$E$3:$E$62,_xlfn.AGGREGATE(15,6,(ROW(ASCOPE_PMESII!$D$3:$D$62)-ROW(ASCOPE_PMESII!$D$3)+1)/(ASCOPE_PMESII!$D$3:$D$62="CV"),48-(COUNTIF(ASCOPE_PMESII!$B$3:$B$62,"CV")))),""),IF(48&lt;=(COUNTIF(ASCOPE_PMESII!$B$3:$B$62,"CV")+COUNTIF(ASCOPE_PMESII!$D$3:$D$62,"CV")+COUNTIF(ASCOPE_PMESII!$F$3:$F$62,"CV")),IFERROR(INDEX(ASCOPE_PMESII!$G$3:$G$62,_xlfn.AGGREGATE(15,6,(ROW(ASCOPE_PMESII!$F$3:$F$62)-ROW(ASCOPE_PMESII!$F$3)+1)/(ASCOPE_PMESII!$F$3:$F$62="CV"),48-(COUNTIF(ASCOPE_PMESII!$B$3:$B$62,"CV")+COUNTIF(ASCOPE_PMESII!$D$3:$D$62,"CV")))),""),IF(48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48-(COUNTIF(ASCOPE_PMESII!$B$3:$B$62,"CV")+COUNTIF(ASCOPE_PMESII!$D$3:$D$62,"CV")+COUNTIF(ASCOPE_PMESII!$F$3:$F$62,"CV")))),""),IF(48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48-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48-(COUNTIF(ASCOPE_PMESII!$B$3:$B$62,"CV")+COUNTIF(ASCOPE_PMESII!$D$3:$D$62,"CV")+COUNTIF(ASCOPE_PMESII!$F$3:$F$62,"CV")+COUNTIF(ASCOPE_PMESII!$H$3:$H$62,"CV")+COUNTIF(ASCOPE_PMESII!$J$3:$J$62,"CV")))),"")))))),"")</f>
        <v>Economic hardship can shift civilians toward IRS</v>
      </c>
      <c r="E51" s="22" t="str">
        <f t="array" ref="E51">IFERROR(IF(48&lt;=COUNTIF(ASCOPE_PMESII!$B$3:$B$62,"COR"),IFERROR(INDEX(ASCOPE_PMESII!$C$3:$C$62,_xlfn.AGGREGATE(15,6,(ROW(ASCOPE_PMESII!$B$3:$B$62)-ROW(ASCOPE_PMESII!$B$3)+1)/(ASCOPE_PMESII!$B$3:$B$62="COR"),48)),""),IF(48&lt;=(COUNTIF(ASCOPE_PMESII!$B$3:$B$62,"COR")+COUNTIF(ASCOPE_PMESII!$D$3:$D$62,"COR")),IFERROR(INDEX(ASCOPE_PMESII!$E$3:$E$62,_xlfn.AGGREGATE(15,6,(ROW(ASCOPE_PMESII!$D$3:$D$62)-ROW(ASCOPE_PMESII!$D$3)+1)/(ASCOPE_PMESII!$D$3:$D$62="COR"),48-(COUNTIF(ASCOPE_PMESII!$B$3:$B$62,"COR")))),""),IF(48&lt;=(COUNTIF(ASCOPE_PMESII!$B$3:$B$62,"COR")+COUNTIF(ASCOPE_PMESII!$D$3:$D$62,"COR")+COUNTIF(ASCOPE_PMESII!$F$3:$F$62,"COR")),IFERROR(INDEX(ASCOPE_PMESII!$G$3:$G$62,_xlfn.AGGREGATE(15,6,(ROW(ASCOPE_PMESII!$F$3:$F$62)-ROW(ASCOPE_PMESII!$F$3)+1)/(ASCOPE_PMESII!$F$3:$F$62="COR"),48-(COUNTIF(ASCOPE_PMESII!$B$3:$B$62,"COR")+COUNTIF(ASCOPE_PMESII!$D$3:$D$62,"COR")))),""),IF(48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48-(COUNTIF(ASCOPE_PMESII!$B$3:$B$62,"COR")+COUNTIF(ASCOPE_PMESII!$D$3:$D$62,"COR")+COUNTIF(ASCOPE_PMESII!$F$3:$F$62,"COR")))),""),IF(48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48-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48-(COUNTIF(ASCOPE_PMESII!$B$3:$B$62,"COR")+COUNTIF(ASCOPE_PMESII!$D$3:$D$62,"COR")+COUNTIF(ASCOPE_PMESII!$F$3:$F$62,"COR")+COUNTIF(ASCOPE_PMESII!$H$3:$H$62,"COR")+COUNTIF(ASCOPE_PMESII!$J$3:$J$62,"COR")))),"")))))),"")</f>
        <v/>
      </c>
      <c r="F51" s="22" t="str">
        <f t="array" ref="F51">IFERROR(IF(48&lt;=COUNTIF(ASCOPE_PMESII!$B$3:$B$62,"REQT"),IFERROR(INDEX(ASCOPE_PMESII!$C$3:$C$62,_xlfn.AGGREGATE(15,6,(ROW(ASCOPE_PMESII!$B$3:$B$62)-ROW(ASCOPE_PMESII!$B$3)+1)/(ASCOPE_PMESII!$B$3:$B$62="REQT"),48)),""),IF(48&lt;=(COUNTIF(ASCOPE_PMESII!$B$3:$B$62,"REQT")+COUNTIF(ASCOPE_PMESII!$D$3:$D$62,"REQT")),IFERROR(INDEX(ASCOPE_PMESII!$E$3:$E$62,_xlfn.AGGREGATE(15,6,(ROW(ASCOPE_PMESII!$D$3:$D$62)-ROW(ASCOPE_PMESII!$D$3)+1)/(ASCOPE_PMESII!$D$3:$D$62="REQT"),48-(COUNTIF(ASCOPE_PMESII!$B$3:$B$62,"REQT")))),""),IF(48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48-(COUNTIF(ASCOPE_PMESII!$B$3:$B$62,"REQT")+COUNTIF(ASCOPE_PMESII!$D$3:$D$62,"REQT")))),""),IF(48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48-(COUNTIF(ASCOPE_PMESII!$B$3:$B$62,"REQT")+COUNTIF(ASCOPE_PMESII!$D$3:$D$62,"REQT")+COUNTIF(ASCOPE_PMESII!$F$3:$F$62,"REQT")))),""),IF(48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48-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48-(COUNTIF(ASCOPE_PMESII!$B$3:$B$62,"REQT")+COUNTIF(ASCOPE_PMESII!$D$3:$D$62,"REQT")+COUNTIF(ASCOPE_PMESII!$F$3:$F$62,"REQT")+COUNTIF(ASCOPE_PMESII!$H$3:$H$62,"REQT")+COUNTIF(ASCOPE_PMESII!$J$3:$J$62,"REQT")))),"")))))),"")</f>
        <v/>
      </c>
      <c r="G51" s="22" t="str">
        <f t="array" ref="G51">IFERROR(IF(48&lt;=COUNTIF(ASCOPE_PMESII!$B$3:$B$62,"REST"),IFERROR(INDEX(ASCOPE_PMESII!$C$3:$C$62,_xlfn.AGGREGATE(15,6,(ROW(ASCOPE_PMESII!$B$3:$B$62)-ROW(ASCOPE_PMESII!$B$3)+1)/(ASCOPE_PMESII!$B$3:$B$62="REST"),48)),""),IF(48&lt;=(COUNTIF(ASCOPE_PMESII!$B$3:$B$62,"REST")+COUNTIF(ASCOPE_PMESII!$D$3:$D$62,"REST")),IFERROR(INDEX(ASCOPE_PMESII!$E$3:$E$62,_xlfn.AGGREGATE(15,6,(ROW(ASCOPE_PMESII!$D$3:$D$62)-ROW(ASCOPE_PMESII!$D$3)+1)/(ASCOPE_PMESII!$D$3:$D$62="REST"),48-(COUNTIF(ASCOPE_PMESII!$B$3:$B$62,"REST")))),""),IF(48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48-(COUNTIF(ASCOPE_PMESII!$B$3:$B$62,"REST")+COUNTIF(ASCOPE_PMESII!$D$3:$D$62,"REST")))),""),IF(48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48-(COUNTIF(ASCOPE_PMESII!$B$3:$B$62,"REST")+COUNTIF(ASCOPE_PMESII!$D$3:$D$62,"REST")+COUNTIF(ASCOPE_PMESII!$F$3:$F$62,"REST")))),""),IF(48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48-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48-(COUNTIF(ASCOPE_PMESII!$B$3:$B$62,"REST")+COUNTIF(ASCOPE_PMESII!$D$3:$D$62,"REST")+COUNTIF(ASCOPE_PMESII!$F$3:$F$62,"REST")+COUNTIF(ASCOPE_PMESII!$H$3:$H$62,"REST")+COUNTIF(ASCOPE_PMESII!$J$3:$J$62,"REST")))),"")))))),"")</f>
        <v/>
      </c>
      <c r="H51" s="22" t="str">
        <f t="array" ref="H51">IFERROR(IF(48&lt;=COUNTIF(ASCOPE_PMESII!$B$3:$B$62,"KCD-MUST"),IFERROR(INDEX(ASCOPE_PMESII!$C$3:$C$62,_xlfn.AGGREGATE(15,6,(ROW(ASCOPE_PMESII!$B$3:$B$62)-ROW(ASCOPE_PMESII!$B$3)+1)/(ASCOPE_PMESII!$B$3:$B$62="KCD-MUST"),48)),""),IF(48&lt;=(COUNTIF(ASCOPE_PMESII!$B$3:$B$62,"KCD-MUST")+COUNTIF(ASCOPE_PMESII!$D$3:$D$62,"KCD-MUST")),IFERROR(INDEX(ASCOPE_PMESII!$E$3:$E$62,_xlfn.AGGREGATE(15,6,(ROW(ASCOPE_PMESII!$D$3:$D$62)-ROW(ASCOPE_PMESII!$D$3)+1)/(ASCOPE_PMESII!$D$3:$D$62="KCD-MUST"),48-(COUNTIF(ASCOPE_PMESII!$B$3:$B$62,"KCD-MUST")))),""),IF(48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48-(COUNTIF(ASCOPE_PMESII!$B$3:$B$62,"KCD-MUST")+COUNTIF(ASCOPE_PMESII!$D$3:$D$62,"KCD-MUST")))),""),IF(48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48-(COUNTIF(ASCOPE_PMESII!$B$3:$B$62,"KCD-MUST")+COUNTIF(ASCOPE_PMESII!$D$3:$D$62,"KCD-MUST")+COUNTIF(ASCOPE_PMESII!$F$3:$F$62,"KCD-MUST")))),""),IF(48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48-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48-(COUNTIF(ASCOPE_PMESII!$B$3:$B$62,"KCD-MUST")+COUNTIF(ASCOPE_PMESII!$D$3:$D$62,"KCD-MUST")+COUNTIF(ASCOPE_PMESII!$F$3:$F$62,"KCD-MUST")+COUNTIF(ASCOPE_PMESII!$H$3:$H$62,"KCD-MUST")+COUNTIF(ASCOPE_PMESII!$J$3:$J$62,"KCD-MUST")))),"")))))),"")</f>
        <v/>
      </c>
      <c r="I51" s="22" t="str">
        <f t="array" ref="I51">IFERROR(IF(48&lt;=COUNTIF(ASCOPE_PMESII!$B$3:$B$62,"KCD-SHOULD"),IFERROR(INDEX(ASCOPE_PMESII!$C$3:$C$62,_xlfn.AGGREGATE(15,6,(ROW(ASCOPE_PMESII!$B$3:$B$62)-ROW(ASCOPE_PMESII!$B$3)+1)/(ASCOPE_PMESII!$B$3:$B$62="KCD-SHOULD"),48)),""),IF(48&lt;=(COUNTIF(ASCOPE_PMESII!$B$3:$B$62,"KCD-SHOULD")+COUNTIF(ASCOPE_PMESII!$D$3:$D$62,"KCD-SHOULD")),IFERROR(INDEX(ASCOPE_PMESII!$E$3:$E$62,_xlfn.AGGREGATE(15,6,(ROW(ASCOPE_PMESII!$D$3:$D$62)-ROW(ASCOPE_PMESII!$D$3)+1)/(ASCOPE_PMESII!$D$3:$D$62="KCD-SHOULD"),48-(COUNTIF(ASCOPE_PMESII!$B$3:$B$62,"KCD-SHOULD")))),""),IF(48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48-(COUNTIF(ASCOPE_PMESII!$B$3:$B$62,"KCD-SHOULD")+COUNTIF(ASCOPE_PMESII!$D$3:$D$62,"KCD-SHOULD")))),""),IF(48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48-(COUNTIF(ASCOPE_PMESII!$B$3:$B$62,"KCD-SHOULD")+COUNTIF(ASCOPE_PMESII!$D$3:$D$62,"KCD-SHOULD")+COUNTIF(ASCOPE_PMESII!$F$3:$F$62,"KCD-SHOULD")))),""),IF(48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48-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48-(COUNTIF(ASCOPE_PMESII!$B$3:$B$62,"KCD-SHOULD")+COUNTIF(ASCOPE_PMESII!$D$3:$D$62,"KCD-SHOULD")+COUNTIF(ASCOPE_PMESII!$F$3:$F$62,"KCD-SHOULD")+COUNTIF(ASCOPE_PMESII!$H$3:$H$62,"KCD-SHOULD")+COUNTIF(ASCOPE_PMESII!$J$3:$J$62,"KCD-SHOULD")))),"")))))),"")</f>
        <v/>
      </c>
      <c r="J51" s="22" t="str">
        <f t="array" ref="J51">IFERROR(IF(48&lt;=COUNTIF(ASCOPE_PMESII!$B$3:$B$62,"KCD-SHOULD NOT"),IFERROR(INDEX(ASCOPE_PMESII!$C$3:$C$62,_xlfn.AGGREGATE(15,6,(ROW(ASCOPE_PMESII!$B$3:$B$62)-ROW(ASCOPE_PMESII!$B$3)+1)/(ASCOPE_PMESII!$B$3:$B$62="KCD-SHOULD NOT"),48)),""),IF(48&lt;=(COUNTIF(ASCOPE_PMESII!$B$3:$B$62,"KCD-SHOULD NOT")+COUNTIF(ASCOPE_PMESII!$D$3:$D$62,"KCD-SHOULD NOT")),IFERROR(INDEX(ASCOPE_PMESII!$E$3:$E$62,_xlfn.AGGREGATE(15,6,(ROW(ASCOPE_PMESII!$D$3:$D$62)-ROW(ASCOPE_PMESII!$D$3)+1)/(ASCOPE_PMESII!$D$3:$D$62="KCD-SHOULD NOT"),48-(COUNTIF(ASCOPE_PMESII!$B$3:$B$62,"KCD-SHOULD NOT")))),""),IF(48&lt;=(COUNTIF(ASCOPE_PMESII!$B$3:$B$62,"KCD-SHOULD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NOT"),48-(COUNTIF(ASCOPE_PMESII!$B$3:$B$62,"KCD-SHOULD NOT")+COUNTIF(ASCOPE_PMESII!$D$3:$D$62,"KCD-SHOULD NOT")))),""),IF(48&lt;=(COUNTIF(ASCOPE_PMESII!$B$3:$B$62,"KCD-SHOULD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NOT"),48-(COUNTIF(ASCOPE_PMESII!$B$3:$B$62,"KCD-SHOULD NOT")+COUNTIF(ASCOPE_PMESII!$D$3:$D$62,"KCD-SHOULD NOT")+COUNTIF(ASCOPE_PMESII!$F$3:$F$62,"KCD-SHOULD NOT")))),""),IF(48&lt;=(COUNTIF(ASCOPE_PMESII!$B$3:$B$62,"KCD-SHOULD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NOT"),48-(COUNTIF(ASCOPE_PMESII!$B$3:$B$62,"KCD-SHOULD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NOT"),48-(COUNTIF(ASCOPE_PMESII!$B$3:$B$62,"KCD-SHOULD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51" s="22" t="str">
        <f t="array" ref="K51">IFERROR(IF(48&lt;=COUNTIF(ASCOPE_PMESII!$B$3:$B$62,"KCD-CANNOT"),IFERROR(INDEX(ASCOPE_PMESII!$C$3:$C$62,_xlfn.AGGREGATE(15,6,(ROW(ASCOPE_PMESII!$B$3:$B$62)-ROW(ASCOPE_PMESII!$B$3)+1)/(ASCOPE_PMESII!$B$3:$B$62="KCD-CANNOT"),48)),""),IF(48&lt;=(COUNTIF(ASCOPE_PMESII!$B$3:$B$62,"KCD-CANNOT")+COUNTIF(ASCOPE_PMESII!$D$3:$D$62,"KCD-CANNOT")),IFERROR(INDEX(ASCOPE_PMESII!$E$3:$E$62,_xlfn.AGGREGATE(15,6,(ROW(ASCOPE_PMESII!$D$3:$D$62)-ROW(ASCOPE_PMESII!$D$3)+1)/(ASCOPE_PMESII!$D$3:$D$62="KCD-CANNOT"),48-(COUNTIF(ASCOPE_PMESII!$B$3:$B$62,"KCD-CANNOT")))),""),IF(48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48-(COUNTIF(ASCOPE_PMESII!$B$3:$B$62,"KCD-CANNOT")+COUNTIF(ASCOPE_PMESII!$D$3:$D$62,"KCD-CANNOT")))),""),IF(48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48-(COUNTIF(ASCOPE_PMESII!$B$3:$B$62,"KCD-CANNOT")+COUNTIF(ASCOPE_PMESII!$D$3:$D$62,"KCD-CANNOT")+COUNTIF(ASCOPE_PMESII!$F$3:$F$62,"KCD-CANNOT")))),""),IF(48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48-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48-(COUNTIF(ASCOPE_PMESII!$B$3:$B$62,"KCD-CANNOT")+COUNTIF(ASCOPE_PMESII!$D$3:$D$62,"KCD-CANNOT")+COUNTIF(ASCOPE_PMESII!$F$3:$F$62,"KCD-CANNOT")+COUNTIF(ASCOPE_PMESII!$H$3:$H$62,"KCD-CANNOT")+COUNTIF(ASCOPE_PMESII!$J$3:$J$62,"KCD-CANNOT")))),"")))))),"")</f>
        <v/>
      </c>
      <c r="L51" s="22" t="str">
        <f t="array" ref="L51">IFERROR(IF(48&lt;=COUNTIF(ASCOPE_PMESII!$B$3:$B$62,"DECISION"),IFERROR(INDEX(ASCOPE_PMESII!$C$3:$C$62,_xlfn.AGGREGATE(15,6,(ROW(ASCOPE_PMESII!$B$3:$B$62)-ROW(ASCOPE_PMESII!$B$3)+1)/(ASCOPE_PMESII!$B$3:$B$62="DECISION"),48)),""),IF(48&lt;=(COUNTIF(ASCOPE_PMESII!$B$3:$B$62,"DECISION")+COUNTIF(ASCOPE_PMESII!$D$3:$D$62,"DECISION")),IFERROR(INDEX(ASCOPE_PMESII!$E$3:$E$62,_xlfn.AGGREGATE(15,6,(ROW(ASCOPE_PMESII!$D$3:$D$62)-ROW(ASCOPE_PMESII!$D$3)+1)/(ASCOPE_PMESII!$D$3:$D$62="DECISION"),48-(COUNTIF(ASCOPE_PMESII!$B$3:$B$62,"DECISION")))),""),IF(48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48-(COUNTIF(ASCOPE_PMESII!$B$3:$B$62,"DECISION")+COUNTIF(ASCOPE_PMESII!$D$3:$D$62,"DECISION")))),""),IF(48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48-(COUNTIF(ASCOPE_PMESII!$B$3:$B$62,"DECISION")+COUNTIF(ASCOPE_PMESII!$D$3:$D$62,"DECISION")+COUNTIF(ASCOPE_PMESII!$F$3:$F$62,"DECISION")))),""),IF(48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48-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48-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51" s="22" t="str">
        <f t="array" ref="M51">IFERROR(IF(48&lt;=COUNTIF(ASCOPE_PMESII!$B$3:$B$62,"ASSUMPTION"),IFERROR(INDEX(ASCOPE_PMESII!$C$3:$C$62,_xlfn.AGGREGATE(15,6,(ROW(ASCOPE_PMESII!$B$3:$B$62)-ROW(ASCOPE_PMESII!$B$3)+1)/(ASCOPE_PMESII!$B$3:$B$62="ASSUMPTION"),48)),""),IF(48&lt;=(COUNTIF(ASCOPE_PMESII!$B$3:$B$62,"ASSUMPTION")+COUNTIF(ASCOPE_PMESII!$D$3:$D$62,"ASSUMPTION")),IFERROR(INDEX(ASCOPE_PMESII!$E$3:$E$62,_xlfn.AGGREGATE(15,6,(ROW(ASCOPE_PMESII!$D$3:$D$62)-ROW(ASCOPE_PMESII!$D$3)+1)/(ASCOPE_PMESII!$D$3:$D$62="ASSUMPTION"),48-(COUNTIF(ASCOPE_PMESII!$B$3:$B$62,"ASSUMPTION")))),""),IF(48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48-(COUNTIF(ASCOPE_PMESII!$B$3:$B$62,"ASSUMPTION")+COUNTIF(ASCOPE_PMESII!$D$3:$D$62,"ASSUMPTION")))),""),IF(48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48-(COUNTIF(ASCOPE_PMESII!$B$3:$B$62,"ASSUMPTION")+COUNTIF(ASCOPE_PMESII!$D$3:$D$62,"ASSUMPTION")+COUNTIF(ASCOPE_PMESII!$F$3:$F$62,"ASSUMPTION")))),""),IF(48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48-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48-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51" s="22" t="str">
        <f t="array" ref="N51">IFERROR(IF(48&lt;=COUNTIF(ASCOPE_PMESII!$B$3:$B$62,"CONSTRAINT"),IFERROR(INDEX(ASCOPE_PMESII!$C$3:$C$62,_xlfn.AGGREGATE(15,6,(ROW(ASCOPE_PMESII!$B$3:$B$62)-ROW(ASCOPE_PMESII!$B$3)+1)/(ASCOPE_PMESII!$B$3:$B$62="CONSTRAINT"),48)),""),IF(48&lt;=(COUNTIF(ASCOPE_PMESII!$B$3:$B$62,"CONSTRAINT")+COUNTIF(ASCOPE_PMESII!$D$3:$D$62,"CONSTRAINT")),IFERROR(INDEX(ASCOPE_PMESII!$E$3:$E$62,_xlfn.AGGREGATE(15,6,(ROW(ASCOPE_PMESII!$D$3:$D$62)-ROW(ASCOPE_PMESII!$D$3)+1)/(ASCOPE_PMESII!$D$3:$D$62="CONSTRAINT"),48-(COUNTIF(ASCOPE_PMESII!$B$3:$B$62,"CONSTRAINT")))),""),IF(48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48-(COUNTIF(ASCOPE_PMESII!$B$3:$B$62,"CONSTRAINT")+COUNTIF(ASCOPE_PMESII!$D$3:$D$62,"CONSTRAINT")))),""),IF(48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48-(COUNTIF(ASCOPE_PMESII!$B$3:$B$62,"CONSTRAINT")+COUNTIF(ASCOPE_PMESII!$D$3:$D$62,"CONSTRAINT")+COUNTIF(ASCOPE_PMESII!$F$3:$F$62,"CONSTRAINT")))),""),IF(48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48-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48-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51" s="22" t="str">
        <f t="array" ref="O51">IFERROR(IF(48&lt;=COUNTIF(ASCOPE_PMESII!$B$3:$B$62,"LIMITATION"),IFERROR(INDEX(ASCOPE_PMESII!$C$3:$C$62,_xlfn.AGGREGATE(15,6,(ROW(ASCOPE_PMESII!$B$3:$B$62)-ROW(ASCOPE_PMESII!$B$3)+1)/(ASCOPE_PMESII!$B$3:$B$62="LIMITATION"),48)),""),IF(48&lt;=(COUNTIF(ASCOPE_PMESII!$B$3:$B$62,"LIMITATION")+COUNTIF(ASCOPE_PMESII!$D$3:$D$62,"LIMITATION")),IFERROR(INDEX(ASCOPE_PMESII!$E$3:$E$62,_xlfn.AGGREGATE(15,6,(ROW(ASCOPE_PMESII!$D$3:$D$62)-ROW(ASCOPE_PMESII!$D$3)+1)/(ASCOPE_PMESII!$D$3:$D$62="LIMITATION"),48-(COUNTIF(ASCOPE_PMESII!$B$3:$B$62,"LIMITATION")))),""),IF(48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48-(COUNTIF(ASCOPE_PMESII!$B$3:$B$62,"LIMITATION")+COUNTIF(ASCOPE_PMESII!$D$3:$D$62,"LIMITATION")))),""),IF(48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48-(COUNTIF(ASCOPE_PMESII!$B$3:$B$62,"LIMITATION")+COUNTIF(ASCOPE_PMESII!$D$3:$D$62,"LIMITATION")+COUNTIF(ASCOPE_PMESII!$F$3:$F$62,"LIMITATION")))),""),IF(48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48-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48-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51" s="22" t="str">
        <f t="array" ref="P51">IFERROR(IF(48&lt;=COUNTIF(ASCOPE_PMESII!$B$3:$B$62,"CC"),IFERROR(INDEX(ASCOPE_PMESII!$C$3:$C$62,_xlfn.AGGREGATE(15,6,(ROW(ASCOPE_PMESII!$B$3:$B$62)-ROW(ASCOPE_PMESII!$B$3)+1)/(ASCOPE_PMESII!$B$3:$B$62="CC"),48)),""),IF(48&lt;=(COUNTIF(ASCOPE_PMESII!$B$3:$B$62,"CC")+COUNTIF(ASCOPE_PMESII!$D$3:$D$62,"CC")),IFERROR(INDEX(ASCOPE_PMESII!$E$3:$E$62,_xlfn.AGGREGATE(15,6,(ROW(ASCOPE_PMESII!$D$3:$D$62)-ROW(ASCOPE_PMESII!$D$3)+1)/(ASCOPE_PMESII!$D$3:$D$62="CC"),48-(COUNTIF(ASCOPE_PMESII!$B$3:$B$62,"CC")))),""),IF(48&lt;=(COUNTIF(ASCOPE_PMESII!$B$3:$B$62,"CC")+COUNTIF(ASCOPE_PMESII!$D$3:$D$62,"CC")+COUNTIF(ASCOPE_PMESII!$F$3:$F$62,"CC")),IFERROR(INDEX(ASCOPE_PMESII!$G$3:$G$62,_xlfn.AGGREGATE(15,6,(ROW(ASCOPE_PMESII!$F$3:$F$62)-ROW(ASCOPE_PMESII!$F$3)+1)/(ASCOPE_PMESII!$F$3:$F$62="CC"),48-(COUNTIF(ASCOPE_PMESII!$B$3:$B$62,"CC")+COUNTIF(ASCOPE_PMESII!$D$3:$D$62,"CC")))),""),IF(48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48-(COUNTIF(ASCOPE_PMESII!$B$3:$B$62,"CC")+COUNTIF(ASCOPE_PMESII!$D$3:$D$62,"CC")+COUNTIF(ASCOPE_PMESII!$F$3:$F$62,"CC")))),""),IF(48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48-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48-(COUNTIF(ASCOPE_PMESII!$B$3:$B$62,"CC")+COUNTIF(ASCOPE_PMESII!$D$3:$D$62,"CC")+COUNTIF(ASCOPE_PMESII!$F$3:$F$62,"CC")+COUNTIF(ASCOPE_PMESII!$H$3:$H$62,"CC")+COUNTIF(ASCOPE_PMESII!$J$3:$J$62,"CC")))),"")))))),"")</f>
        <v/>
      </c>
      <c r="Q51" s="22" t="str">
        <f t="array" ref="Q51">IFERROR(IF(48&lt;=COUNTIF(ASCOPE_PMESII!$B$3:$B$62,"CR"),IFERROR(INDEX(ASCOPE_PMESII!$C$3:$C$62,_xlfn.AGGREGATE(15,6,(ROW(ASCOPE_PMESII!$B$3:$B$62)-ROW(ASCOPE_PMESII!$B$3)+1)/(ASCOPE_PMESII!$B$3:$B$62="CR"),48)),""),IF(48&lt;=(COUNTIF(ASCOPE_PMESII!$B$3:$B$62,"CR")+COUNTIF(ASCOPE_PMESII!$D$3:$D$62,"CR")),IFERROR(INDEX(ASCOPE_PMESII!$E$3:$E$62,_xlfn.AGGREGATE(15,6,(ROW(ASCOPE_PMESII!$D$3:$D$62)-ROW(ASCOPE_PMESII!$D$3)+1)/(ASCOPE_PMESII!$D$3:$D$62="CR"),48-(COUNTIF(ASCOPE_PMESII!$B$3:$B$62,"CR")))),""),IF(48&lt;=(COUNTIF(ASCOPE_PMESII!$B$3:$B$62,"CR")+COUNTIF(ASCOPE_PMESII!$D$3:$D$62,"CR")+COUNTIF(ASCOPE_PMESII!$F$3:$F$62,"CR")),IFERROR(INDEX(ASCOPE_PMESII!$G$3:$G$62,_xlfn.AGGREGATE(15,6,(ROW(ASCOPE_PMESII!$F$3:$F$62)-ROW(ASCOPE_PMESII!$F$3)+1)/(ASCOPE_PMESII!$F$3:$F$62="CR"),48-(COUNTIF(ASCOPE_PMESII!$B$3:$B$62,"CR")+COUNTIF(ASCOPE_PMESII!$D$3:$D$62,"CR")))),""),IF(48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48-(COUNTIF(ASCOPE_PMESII!$B$3:$B$62,"CR")+COUNTIF(ASCOPE_PMESII!$D$3:$D$62,"CR")+COUNTIF(ASCOPE_PMESII!$F$3:$F$62,"CR")))),""),IF(48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48-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48-(COUNTIF(ASCOPE_PMESII!$B$3:$B$62,"CR")+COUNTIF(ASCOPE_PMESII!$D$3:$D$62,"CR")+COUNTIF(ASCOPE_PMESII!$F$3:$F$62,"CR")+COUNTIF(ASCOPE_PMESII!$H$3:$H$62,"CR")+COUNTIF(ASCOPE_PMESII!$J$3:$J$62,"CR")))),"")))))),"")</f>
        <v/>
      </c>
      <c r="R51" s="95" t="str">
        <f t="array" ref="R51">IFERROR(IF(48&lt;=COUNTIF(ASCOPE_PMESII!$B$3:$B$62,"PCS"),IFERROR(INDEX(ASCOPE_PMESII!$C$3:$C$62,_xlfn.AGGREGATE(15,6,(ROW(ASCOPE_PMESII!$B$3:$B$62)-ROW(ASCOPE_PMESII!$B$3)+1)/(ASCOPE_PMESII!$B$3:$B$62="PCS"),48)),""),IF(48&lt;=(COUNTIF(ASCOPE_PMESII!$B$3:$B$62,"PCS")+COUNTIF(ASCOPE_PMESII!$D$3:$D$62,"PCS")),IFERROR(INDEX(ASCOPE_PMESII!$E$3:$E$62,_xlfn.AGGREGATE(15,6,(ROW(ASCOPE_PMESII!$D$3:$D$62)-ROW(ASCOPE_PMESII!$D$3)+1)/(ASCOPE_PMESII!$D$3:$D$62="PCS"),48-(COUNTIF(ASCOPE_PMESII!$B$3:$B$62,"PCS")))),""),IF(48&lt;=(COUNTIF(ASCOPE_PMESII!$B$3:$B$62,"PCS")+COUNTIF(ASCOPE_PMESII!$D$3:$D$62,"PCS")+COUNTIF(ASCOPE_PMESII!$F$3:$F$62,"PCS")),IFERROR(INDEX(ASCOPE_PMESII!$G$3:$G$62,_xlfn.AGGREGATE(15,6,(ROW(ASCOPE_PMESII!$F$3:$F$62)-ROW(ASCOPE_PMESII!$F$3)+1)/(ASCOPE_PMESII!$F$3:$F$62="PCS"),48-(COUNTIF(ASCOPE_PMESII!$B$3:$B$62,"PCS")+COUNTIF(ASCOPE_PMESII!$D$3:$D$62,"PCS")))),""),IF(48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48-(COUNTIF(ASCOPE_PMESII!$B$3:$B$62,"PCS")+COUNTIF(ASCOPE_PMESII!$D$3:$D$62,"PCS")+COUNTIF(ASCOPE_PMESII!$F$3:$F$62,"PCS")))),""),IF(48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48-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48-(COUNTIF(ASCOPE_PMESII!$B$3:$B$62,"PCS")+COUNTIF(ASCOPE_PMESII!$D$3:$D$62,"PCS")+COUNTIF(ASCOPE_PMESII!$F$3:$F$62,"PCS")+COUNTIF(ASCOPE_PMESII!$H$3:$H$62,"PCS")+COUNTIF(ASCOPE_PMESII!$J$3:$J$62,"PCS")))),"")))))),"")</f>
        <v/>
      </c>
    </row>
    <row r="52" spans="1:18" ht="34.5" customHeight="1">
      <c r="A52" s="21" t="str">
        <f t="array" ref="A52">IFERROR(IF(49&lt;=COUNTIF(ASCOPE_PMESII!$B$3:$B$62,"OE"),IFERROR(INDEX(ASCOPE_PMESII!$C$3:$C$62,_xlfn.AGGREGATE(15,6,(ROW(ASCOPE_PMESII!$B$3:$B$62)-ROW(ASCOPE_PMESII!$B$3)+1)/(ASCOPE_PMESII!$B$3:$B$62="OE"),49)),""),IF(49&lt;=(COUNTIF(ASCOPE_PMESII!$B$3:$B$62,"OE")+COUNTIF(ASCOPE_PMESII!$D$3:$D$62,"OE")),IFERROR(INDEX(ASCOPE_PMESII!$E$3:$E$62,_xlfn.AGGREGATE(15,6,(ROW(ASCOPE_PMESII!$D$3:$D$62)-ROW(ASCOPE_PMESII!$D$3)+1)/(ASCOPE_PMESII!$D$3:$D$62="OE"),49-(COUNTIF(ASCOPE_PMESII!$B$3:$B$62,"OE")))),""),IF(49&lt;=(COUNTIF(ASCOPE_PMESII!$B$3:$B$62,"OE")+COUNTIF(ASCOPE_PMESII!$D$3:$D$62,"OE")+COUNTIF(ASCOPE_PMESII!$F$3:$F$62,"OE")),IFERROR(INDEX(ASCOPE_PMESII!$G$3:$G$62,_xlfn.AGGREGATE(15,6,(ROW(ASCOPE_PMESII!$F$3:$F$62)-ROW(ASCOPE_PMESII!$F$3)+1)/(ASCOPE_PMESII!$F$3:$F$62="OE"),49-(COUNTIF(ASCOPE_PMESII!$B$3:$B$62,"OE")+COUNTIF(ASCOPE_PMESII!$D$3:$D$62,"OE")))),""),IF(49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49-(COUNTIF(ASCOPE_PMESII!$B$3:$B$62,"OE")+COUNTIF(ASCOPE_PMESII!$D$3:$D$62,"OE")+COUNTIF(ASCOPE_PMESII!$F$3:$F$62,"OE")))),""),IF(49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49-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49-(COUNTIF(ASCOPE_PMESII!$B$3:$B$62,"OE")+COUNTIF(ASCOPE_PMESII!$D$3:$D$62,"OE")+COUNTIF(ASCOPE_PMESII!$F$3:$F$62,"OE")+COUNTIF(ASCOPE_PMESII!$H$3:$H$62,"OE")+COUNTIF(ASCOPE_PMESII!$J$3:$J$62,"OE")))),"")))))),"")</f>
        <v/>
      </c>
      <c r="B52" s="21" t="str">
        <f t="array" ref="B52">IFERROR(IF(49&lt;=COUNTIF(ASCOPE_PMESII!$B$3:$B$62,"OA"),IFERROR(INDEX(ASCOPE_PMESII!$C$3:$C$62,_xlfn.AGGREGATE(15,6,(ROW(ASCOPE_PMESII!$B$3:$B$62)-ROW(ASCOPE_PMESII!$B$3)+1)/(ASCOPE_PMESII!$B$3:$B$62="OA"),49)),""),IF(49&lt;=(COUNTIF(ASCOPE_PMESII!$B$3:$B$62,"OA")+COUNTIF(ASCOPE_PMESII!$D$3:$D$62,"OA")),IFERROR(INDEX(ASCOPE_PMESII!$E$3:$E$62,_xlfn.AGGREGATE(15,6,(ROW(ASCOPE_PMESII!$D$3:$D$62)-ROW(ASCOPE_PMESII!$D$3)+1)/(ASCOPE_PMESII!$D$3:$D$62="OA"),49-(COUNTIF(ASCOPE_PMESII!$B$3:$B$62,"OA")))),""),IF(49&lt;=(COUNTIF(ASCOPE_PMESII!$B$3:$B$62,"OA")+COUNTIF(ASCOPE_PMESII!$D$3:$D$62,"OA")+COUNTIF(ASCOPE_PMESII!$F$3:$F$62,"OA")),IFERROR(INDEX(ASCOPE_PMESII!$G$3:$G$62,_xlfn.AGGREGATE(15,6,(ROW(ASCOPE_PMESII!$F$3:$F$62)-ROW(ASCOPE_PMESII!$F$3)+1)/(ASCOPE_PMESII!$F$3:$F$62="OA"),49-(COUNTIF(ASCOPE_PMESII!$B$3:$B$62,"OA")+COUNTIF(ASCOPE_PMESII!$D$3:$D$62,"OA")))),""),IF(49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49-(COUNTIF(ASCOPE_PMESII!$B$3:$B$62,"OA")+COUNTIF(ASCOPE_PMESII!$D$3:$D$62,"OA")+COUNTIF(ASCOPE_PMESII!$F$3:$F$62,"OA")))),""),IF(49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49-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49-(COUNTIF(ASCOPE_PMESII!$B$3:$B$62,"OA")+COUNTIF(ASCOPE_PMESII!$D$3:$D$62,"OA")+COUNTIF(ASCOPE_PMESII!$F$3:$F$62,"OA")+COUNTIF(ASCOPE_PMESII!$H$3:$H$62,"OA")+COUNTIF(ASCOPE_PMESII!$J$3:$J$62,"OA")))),"")))))),"")</f>
        <v/>
      </c>
      <c r="C52" s="21" t="str">
        <f t="array" ref="C52">IFERROR(IF(49&lt;=COUNTIF(ASCOPE_PMESII!$B$3:$B$62,"RISK"),IFERROR(INDEX(ASCOPE_PMESII!$C$3:$C$62,_xlfn.AGGREGATE(15,6,(ROW(ASCOPE_PMESII!$B$3:$B$62)-ROW(ASCOPE_PMESII!$B$3)+1)/(ASCOPE_PMESII!$B$3:$B$62="RISK"),49)),""),IF(49&lt;=(COUNTIF(ASCOPE_PMESII!$B$3:$B$62,"RISK")+COUNTIF(ASCOPE_PMESII!$D$3:$D$62,"RISK")),IFERROR(INDEX(ASCOPE_PMESII!$E$3:$E$62,_xlfn.AGGREGATE(15,6,(ROW(ASCOPE_PMESII!$D$3:$D$62)-ROW(ASCOPE_PMESII!$D$3)+1)/(ASCOPE_PMESII!$D$3:$D$62="RISK"),49-(COUNTIF(ASCOPE_PMESII!$B$3:$B$62,"RISK")))),""),IF(49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49-(COUNTIF(ASCOPE_PMESII!$B$3:$B$62,"RISK")+COUNTIF(ASCOPE_PMESII!$D$3:$D$62,"RISK")))),""),IF(49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49-(COUNTIF(ASCOPE_PMESII!$B$3:$B$62,"RISK")+COUNTIF(ASCOPE_PMESII!$D$3:$D$62,"RISK")+COUNTIF(ASCOPE_PMESII!$F$3:$F$62,"RISK")))),""),IF(49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49-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49-(COUNTIF(ASCOPE_PMESII!$B$3:$B$62,"RISK")+COUNTIF(ASCOPE_PMESII!$D$3:$D$62,"RISK")+COUNTIF(ASCOPE_PMESII!$F$3:$F$62,"RISK")+COUNTIF(ASCOPE_PMESII!$H$3:$H$62,"RISK")+COUNTIF(ASCOPE_PMESII!$J$3:$J$62,"RISK")))),"")))))),"")</f>
        <v/>
      </c>
      <c r="D52" s="21" t="str">
        <f t="array" ref="D52">IFERROR(IF(49&lt;=COUNTIF(ASCOPE_PMESII!$B$3:$B$62,"CV"),IFERROR(INDEX(ASCOPE_PMESII!$C$3:$C$62,_xlfn.AGGREGATE(15,6,(ROW(ASCOPE_PMESII!$B$3:$B$62)-ROW(ASCOPE_PMESII!$B$3)+1)/(ASCOPE_PMESII!$B$3:$B$62="CV"),49)),""),IF(49&lt;=(COUNTIF(ASCOPE_PMESII!$B$3:$B$62,"CV")+COUNTIF(ASCOPE_PMESII!$D$3:$D$62,"CV")),IFERROR(INDEX(ASCOPE_PMESII!$E$3:$E$62,_xlfn.AGGREGATE(15,6,(ROW(ASCOPE_PMESII!$D$3:$D$62)-ROW(ASCOPE_PMESII!$D$3)+1)/(ASCOPE_PMESII!$D$3:$D$62="CV"),49-(COUNTIF(ASCOPE_PMESII!$B$3:$B$62,"CV")))),""),IF(49&lt;=(COUNTIF(ASCOPE_PMESII!$B$3:$B$62,"CV")+COUNTIF(ASCOPE_PMESII!$D$3:$D$62,"CV")+COUNTIF(ASCOPE_PMESII!$F$3:$F$62,"CV")),IFERROR(INDEX(ASCOPE_PMESII!$G$3:$G$62,_xlfn.AGGREGATE(15,6,(ROW(ASCOPE_PMESII!$F$3:$F$62)-ROW(ASCOPE_PMESII!$F$3)+1)/(ASCOPE_PMESII!$F$3:$F$62="CV"),49-(COUNTIF(ASCOPE_PMESII!$B$3:$B$62,"CV")+COUNTIF(ASCOPE_PMESII!$D$3:$D$62,"CV")))),""),IF(49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49-(COUNTIF(ASCOPE_PMESII!$B$3:$B$62,"CV")+COUNTIF(ASCOPE_PMESII!$D$3:$D$62,"CV")+COUNTIF(ASCOPE_PMESII!$F$3:$F$62,"CV")))),""),IF(49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49-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49-(COUNTIF(ASCOPE_PMESII!$B$3:$B$62,"CV")+COUNTIF(ASCOPE_PMESII!$D$3:$D$62,"CV")+COUNTIF(ASCOPE_PMESII!$F$3:$F$62,"CV")+COUNTIF(ASCOPE_PMESII!$H$3:$H$62,"CV")+COUNTIF(ASCOPE_PMESII!$J$3:$J$62,"CV")))),"")))))),"")</f>
        <v>Civilians distinguish protection from occupation</v>
      </c>
      <c r="E52" s="21" t="str">
        <f t="array" ref="E52">IFERROR(IF(49&lt;=COUNTIF(ASCOPE_PMESII!$B$3:$B$62,"COR"),IFERROR(INDEX(ASCOPE_PMESII!$C$3:$C$62,_xlfn.AGGREGATE(15,6,(ROW(ASCOPE_PMESII!$B$3:$B$62)-ROW(ASCOPE_PMESII!$B$3)+1)/(ASCOPE_PMESII!$B$3:$B$62="COR"),49)),""),IF(49&lt;=(COUNTIF(ASCOPE_PMESII!$B$3:$B$62,"COR")+COUNTIF(ASCOPE_PMESII!$D$3:$D$62,"COR")),IFERROR(INDEX(ASCOPE_PMESII!$E$3:$E$62,_xlfn.AGGREGATE(15,6,(ROW(ASCOPE_PMESII!$D$3:$D$62)-ROW(ASCOPE_PMESII!$D$3)+1)/(ASCOPE_PMESII!$D$3:$D$62="COR"),49-(COUNTIF(ASCOPE_PMESII!$B$3:$B$62,"COR")))),""),IF(49&lt;=(COUNTIF(ASCOPE_PMESII!$B$3:$B$62,"COR")+COUNTIF(ASCOPE_PMESII!$D$3:$D$62,"COR")+COUNTIF(ASCOPE_PMESII!$F$3:$F$62,"COR")),IFERROR(INDEX(ASCOPE_PMESII!$G$3:$G$62,_xlfn.AGGREGATE(15,6,(ROW(ASCOPE_PMESII!$F$3:$F$62)-ROW(ASCOPE_PMESII!$F$3)+1)/(ASCOPE_PMESII!$F$3:$F$62="COR"),49-(COUNTIF(ASCOPE_PMESII!$B$3:$B$62,"COR")+COUNTIF(ASCOPE_PMESII!$D$3:$D$62,"COR")))),""),IF(49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49-(COUNTIF(ASCOPE_PMESII!$B$3:$B$62,"COR")+COUNTIF(ASCOPE_PMESII!$D$3:$D$62,"COR")+COUNTIF(ASCOPE_PMESII!$F$3:$F$62,"COR")))),""),IF(49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49-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49-(COUNTIF(ASCOPE_PMESII!$B$3:$B$62,"COR")+COUNTIF(ASCOPE_PMESII!$D$3:$D$62,"COR")+COUNTIF(ASCOPE_PMESII!$F$3:$F$62,"COR")+COUNTIF(ASCOPE_PMESII!$H$3:$H$62,"COR")+COUNTIF(ASCOPE_PMESII!$J$3:$J$62,"COR")))),"")))))),"")</f>
        <v/>
      </c>
      <c r="F52" s="21" t="str">
        <f t="array" ref="F52">IFERROR(IF(49&lt;=COUNTIF(ASCOPE_PMESII!$B$3:$B$62,"REQT"),IFERROR(INDEX(ASCOPE_PMESII!$C$3:$C$62,_xlfn.AGGREGATE(15,6,(ROW(ASCOPE_PMESII!$B$3:$B$62)-ROW(ASCOPE_PMESII!$B$3)+1)/(ASCOPE_PMESII!$B$3:$B$62="REQT"),49)),""),IF(49&lt;=(COUNTIF(ASCOPE_PMESII!$B$3:$B$62,"REQT")+COUNTIF(ASCOPE_PMESII!$D$3:$D$62,"REQT")),IFERROR(INDEX(ASCOPE_PMESII!$E$3:$E$62,_xlfn.AGGREGATE(15,6,(ROW(ASCOPE_PMESII!$D$3:$D$62)-ROW(ASCOPE_PMESII!$D$3)+1)/(ASCOPE_PMESII!$D$3:$D$62="REQT"),49-(COUNTIF(ASCOPE_PMESII!$B$3:$B$62,"REQT")))),""),IF(49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49-(COUNTIF(ASCOPE_PMESII!$B$3:$B$62,"REQT")+COUNTIF(ASCOPE_PMESII!$D$3:$D$62,"REQT")))),""),IF(49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49-(COUNTIF(ASCOPE_PMESII!$B$3:$B$62,"REQT")+COUNTIF(ASCOPE_PMESII!$D$3:$D$62,"REQT")+COUNTIF(ASCOPE_PMESII!$F$3:$F$62,"REQT")))),""),IF(49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49-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49-(COUNTIF(ASCOPE_PMESII!$B$3:$B$62,"REQT")+COUNTIF(ASCOPE_PMESII!$D$3:$D$62,"REQT")+COUNTIF(ASCOPE_PMESII!$F$3:$F$62,"REQT")+COUNTIF(ASCOPE_PMESII!$H$3:$H$62,"REQT")+COUNTIF(ASCOPE_PMESII!$J$3:$J$62,"REQT")))),"")))))),"")</f>
        <v/>
      </c>
      <c r="G52" s="21" t="str">
        <f t="array" ref="G52">IFERROR(IF(49&lt;=COUNTIF(ASCOPE_PMESII!$B$3:$B$62,"REST"),IFERROR(INDEX(ASCOPE_PMESII!$C$3:$C$62,_xlfn.AGGREGATE(15,6,(ROW(ASCOPE_PMESII!$B$3:$B$62)-ROW(ASCOPE_PMESII!$B$3)+1)/(ASCOPE_PMESII!$B$3:$B$62="REST"),49)),""),IF(49&lt;=(COUNTIF(ASCOPE_PMESII!$B$3:$B$62,"REST")+COUNTIF(ASCOPE_PMESII!$D$3:$D$62,"REST")),IFERROR(INDEX(ASCOPE_PMESII!$E$3:$E$62,_xlfn.AGGREGATE(15,6,(ROW(ASCOPE_PMESII!$D$3:$D$62)-ROW(ASCOPE_PMESII!$D$3)+1)/(ASCOPE_PMESII!$D$3:$D$62="REST"),49-(COUNTIF(ASCOPE_PMESII!$B$3:$B$62,"REST")))),""),IF(49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49-(COUNTIF(ASCOPE_PMESII!$B$3:$B$62,"REST")+COUNTIF(ASCOPE_PMESII!$D$3:$D$62,"REST")))),""),IF(49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49-(COUNTIF(ASCOPE_PMESII!$B$3:$B$62,"REST")+COUNTIF(ASCOPE_PMESII!$D$3:$D$62,"REST")+COUNTIF(ASCOPE_PMESII!$F$3:$F$62,"REST")))),""),IF(49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49-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49-(COUNTIF(ASCOPE_PMESII!$B$3:$B$62,"REST")+COUNTIF(ASCOPE_PMESII!$D$3:$D$62,"REST")+COUNTIF(ASCOPE_PMESII!$F$3:$F$62,"REST")+COUNTIF(ASCOPE_PMESII!$H$3:$H$62,"REST")+COUNTIF(ASCOPE_PMESII!$J$3:$J$62,"REST")))),"")))))),"")</f>
        <v/>
      </c>
      <c r="H52" s="21" t="str">
        <f t="array" ref="H52">IFERROR(IF(49&lt;=COUNTIF(ASCOPE_PMESII!$B$3:$B$62,"KCD-MUST"),IFERROR(INDEX(ASCOPE_PMESII!$C$3:$C$62,_xlfn.AGGREGATE(15,6,(ROW(ASCOPE_PMESII!$B$3:$B$62)-ROW(ASCOPE_PMESII!$B$3)+1)/(ASCOPE_PMESII!$B$3:$B$62="KCD-MUST"),49)),""),IF(49&lt;=(COUNTIF(ASCOPE_PMESII!$B$3:$B$62,"KCD-MUST")+COUNTIF(ASCOPE_PMESII!$D$3:$D$62,"KCD-MUST")),IFERROR(INDEX(ASCOPE_PMESII!$E$3:$E$62,_xlfn.AGGREGATE(15,6,(ROW(ASCOPE_PMESII!$D$3:$D$62)-ROW(ASCOPE_PMESII!$D$3)+1)/(ASCOPE_PMESII!$D$3:$D$62="KCD-MUST"),49-(COUNTIF(ASCOPE_PMESII!$B$3:$B$62,"KCD-MUST")))),""),IF(49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49-(COUNTIF(ASCOPE_PMESII!$B$3:$B$62,"KCD-MUST")+COUNTIF(ASCOPE_PMESII!$D$3:$D$62,"KCD-MUST")))),""),IF(49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49-(COUNTIF(ASCOPE_PMESII!$B$3:$B$62,"KCD-MUST")+COUNTIF(ASCOPE_PMESII!$D$3:$D$62,"KCD-MUST")+COUNTIF(ASCOPE_PMESII!$F$3:$F$62,"KCD-MUST")))),""),IF(49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49-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49-(COUNTIF(ASCOPE_PMESII!$B$3:$B$62,"KCD-MUST")+COUNTIF(ASCOPE_PMESII!$D$3:$D$62,"KCD-MUST")+COUNTIF(ASCOPE_PMESII!$F$3:$F$62,"KCD-MUST")+COUNTIF(ASCOPE_PMESII!$H$3:$H$62,"KCD-MUST")+COUNTIF(ASCOPE_PMESII!$J$3:$J$62,"KCD-MUST")))),"")))))),"")</f>
        <v/>
      </c>
      <c r="I52" s="21" t="str">
        <f t="array" ref="I52">IFERROR(IF(49&lt;=COUNTIF(ASCOPE_PMESII!$B$3:$B$62,"KCD-SHOULD"),IFERROR(INDEX(ASCOPE_PMESII!$C$3:$C$62,_xlfn.AGGREGATE(15,6,(ROW(ASCOPE_PMESII!$B$3:$B$62)-ROW(ASCOPE_PMESII!$B$3)+1)/(ASCOPE_PMESII!$B$3:$B$62="KCD-SHOULD"),49)),""),IF(49&lt;=(COUNTIF(ASCOPE_PMESII!$B$3:$B$62,"KCD-SHOULD")+COUNTIF(ASCOPE_PMESII!$D$3:$D$62,"KCD-SHOULD")),IFERROR(INDEX(ASCOPE_PMESII!$E$3:$E$62,_xlfn.AGGREGATE(15,6,(ROW(ASCOPE_PMESII!$D$3:$D$62)-ROW(ASCOPE_PMESII!$D$3)+1)/(ASCOPE_PMESII!$D$3:$D$62="KCD-SHOULD"),49-(COUNTIF(ASCOPE_PMESII!$B$3:$B$62,"KCD-SHOULD")))),""),IF(49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49-(COUNTIF(ASCOPE_PMESII!$B$3:$B$62,"KCD-SHOULD")+COUNTIF(ASCOPE_PMESII!$D$3:$D$62,"KCD-SHOULD")))),""),IF(49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49-(COUNTIF(ASCOPE_PMESII!$B$3:$B$62,"KCD-SHOULD")+COUNTIF(ASCOPE_PMESII!$D$3:$D$62,"KCD-SHOULD")+COUNTIF(ASCOPE_PMESII!$F$3:$F$62,"KCD-SHOULD")))),""),IF(49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49-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49-(COUNTIF(ASCOPE_PMESII!$B$3:$B$62,"KCD-SHOULD")+COUNTIF(ASCOPE_PMESII!$D$3:$D$62,"KCD-SHOULD")+COUNTIF(ASCOPE_PMESII!$F$3:$F$62,"KCD-SHOULD")+COUNTIF(ASCOPE_PMESII!$H$3:$H$62,"KCD-SHOULD")+COUNTIF(ASCOPE_PMESII!$J$3:$J$62,"KCD-SHOULD")))),"")))))),"")</f>
        <v/>
      </c>
      <c r="J52" s="21" t="str">
        <f t="array" ref="J52">IFERROR(IF(49&lt;=COUNTIF(ASCOPE_PMESII!$B$3:$B$62,"KCD-SHOULD NOT"),IFERROR(INDEX(ASCOPE_PMESII!$C$3:$C$62,_xlfn.AGGREGATE(15,6,(ROW(ASCOPE_PMESII!$B$3:$B$62)-ROW(ASCOPE_PMESII!$B$3)+1)/(ASCOPE_PMESII!$B$3:$B$62="KCD-SHOULD NOT"),49)),""),IF(49&lt;=(COUNTIF(ASCOPE_PMESII!$B$3:$B$62,"KCD-SHOULD NOT")+COUNTIF(ASCOPE_PMESII!$D$3:$D$62,"KCD-SHOULD NOT")),IFERROR(INDEX(ASCOPE_PMESII!$E$3:$E$62,_xlfn.AGGREGATE(15,6,(ROW(ASCOPE_PMESII!$D$3:$D$62)-ROW(ASCOPE_PMESII!$D$3)+1)/(ASCOPE_PMESII!$D$3:$D$62="KCD-SHOULD NOT"),49-(COUNTIF(ASCOPE_PMESII!$B$3:$B$62,"KCD-SHOULD NOT")))),""),IF(49&lt;=(COUNTIF(ASCOPE_PMESII!$B$3:$B$62,"KCD-SHOULD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NOT"),49-(COUNTIF(ASCOPE_PMESII!$B$3:$B$62,"KCD-SHOULD NOT")+COUNTIF(ASCOPE_PMESII!$D$3:$D$62,"KCD-SHOULD NOT")))),""),IF(49&lt;=(COUNTIF(ASCOPE_PMESII!$B$3:$B$62,"KCD-SHOULD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NOT"),49-(COUNTIF(ASCOPE_PMESII!$B$3:$B$62,"KCD-SHOULD NOT")+COUNTIF(ASCOPE_PMESII!$D$3:$D$62,"KCD-SHOULD NOT")+COUNTIF(ASCOPE_PMESII!$F$3:$F$62,"KCD-SHOULD NOT")))),""),IF(49&lt;=(COUNTIF(ASCOPE_PMESII!$B$3:$B$62,"KCD-SHOULD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NOT"),49-(COUNTIF(ASCOPE_PMESII!$B$3:$B$62,"KCD-SHOULD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NOT"),49-(COUNTIF(ASCOPE_PMESII!$B$3:$B$62,"KCD-SHOULD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52" s="21" t="str">
        <f t="array" ref="K52">IFERROR(IF(49&lt;=COUNTIF(ASCOPE_PMESII!$B$3:$B$62,"KCD-CANNOT"),IFERROR(INDEX(ASCOPE_PMESII!$C$3:$C$62,_xlfn.AGGREGATE(15,6,(ROW(ASCOPE_PMESII!$B$3:$B$62)-ROW(ASCOPE_PMESII!$B$3)+1)/(ASCOPE_PMESII!$B$3:$B$62="KCD-CANNOT"),49)),""),IF(49&lt;=(COUNTIF(ASCOPE_PMESII!$B$3:$B$62,"KCD-CANNOT")+COUNTIF(ASCOPE_PMESII!$D$3:$D$62,"KCD-CANNOT")),IFERROR(INDEX(ASCOPE_PMESII!$E$3:$E$62,_xlfn.AGGREGATE(15,6,(ROW(ASCOPE_PMESII!$D$3:$D$62)-ROW(ASCOPE_PMESII!$D$3)+1)/(ASCOPE_PMESII!$D$3:$D$62="KCD-CANNOT"),49-(COUNTIF(ASCOPE_PMESII!$B$3:$B$62,"KCD-CANNOT")))),""),IF(49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49-(COUNTIF(ASCOPE_PMESII!$B$3:$B$62,"KCD-CANNOT")+COUNTIF(ASCOPE_PMESII!$D$3:$D$62,"KCD-CANNOT")))),""),IF(49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49-(COUNTIF(ASCOPE_PMESII!$B$3:$B$62,"KCD-CANNOT")+COUNTIF(ASCOPE_PMESII!$D$3:$D$62,"KCD-CANNOT")+COUNTIF(ASCOPE_PMESII!$F$3:$F$62,"KCD-CANNOT")))),""),IF(49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49-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49-(COUNTIF(ASCOPE_PMESII!$B$3:$B$62,"KCD-CANNOT")+COUNTIF(ASCOPE_PMESII!$D$3:$D$62,"KCD-CANNOT")+COUNTIF(ASCOPE_PMESII!$F$3:$F$62,"KCD-CANNOT")+COUNTIF(ASCOPE_PMESII!$H$3:$H$62,"KCD-CANNOT")+COUNTIF(ASCOPE_PMESII!$J$3:$J$62,"KCD-CANNOT")))),"")))))),"")</f>
        <v/>
      </c>
      <c r="L52" s="21" t="str">
        <f t="array" ref="L52">IFERROR(IF(49&lt;=COUNTIF(ASCOPE_PMESII!$B$3:$B$62,"DECISION"),IFERROR(INDEX(ASCOPE_PMESII!$C$3:$C$62,_xlfn.AGGREGATE(15,6,(ROW(ASCOPE_PMESII!$B$3:$B$62)-ROW(ASCOPE_PMESII!$B$3)+1)/(ASCOPE_PMESII!$B$3:$B$62="DECISION"),49)),""),IF(49&lt;=(COUNTIF(ASCOPE_PMESII!$B$3:$B$62,"DECISION")+COUNTIF(ASCOPE_PMESII!$D$3:$D$62,"DECISION")),IFERROR(INDEX(ASCOPE_PMESII!$E$3:$E$62,_xlfn.AGGREGATE(15,6,(ROW(ASCOPE_PMESII!$D$3:$D$62)-ROW(ASCOPE_PMESII!$D$3)+1)/(ASCOPE_PMESII!$D$3:$D$62="DECISION"),49-(COUNTIF(ASCOPE_PMESII!$B$3:$B$62,"DECISION")))),""),IF(49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49-(COUNTIF(ASCOPE_PMESII!$B$3:$B$62,"DECISION")+COUNTIF(ASCOPE_PMESII!$D$3:$D$62,"DECISION")))),""),IF(49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49-(COUNTIF(ASCOPE_PMESII!$B$3:$B$62,"DECISION")+COUNTIF(ASCOPE_PMESII!$D$3:$D$62,"DECISION")+COUNTIF(ASCOPE_PMESII!$F$3:$F$62,"DECISION")))),""),IF(49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49-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49-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52" s="21" t="str">
        <f t="array" ref="M52">IFERROR(IF(49&lt;=COUNTIF(ASCOPE_PMESII!$B$3:$B$62,"ASSUMPTION"),IFERROR(INDEX(ASCOPE_PMESII!$C$3:$C$62,_xlfn.AGGREGATE(15,6,(ROW(ASCOPE_PMESII!$B$3:$B$62)-ROW(ASCOPE_PMESII!$B$3)+1)/(ASCOPE_PMESII!$B$3:$B$62="ASSUMPTION"),49)),""),IF(49&lt;=(COUNTIF(ASCOPE_PMESII!$B$3:$B$62,"ASSUMPTION")+COUNTIF(ASCOPE_PMESII!$D$3:$D$62,"ASSUMPTION")),IFERROR(INDEX(ASCOPE_PMESII!$E$3:$E$62,_xlfn.AGGREGATE(15,6,(ROW(ASCOPE_PMESII!$D$3:$D$62)-ROW(ASCOPE_PMESII!$D$3)+1)/(ASCOPE_PMESII!$D$3:$D$62="ASSUMPTION"),49-(COUNTIF(ASCOPE_PMESII!$B$3:$B$62,"ASSUMPTION")))),""),IF(49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49-(COUNTIF(ASCOPE_PMESII!$B$3:$B$62,"ASSUMPTION")+COUNTIF(ASCOPE_PMESII!$D$3:$D$62,"ASSUMPTION")))),""),IF(49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49-(COUNTIF(ASCOPE_PMESII!$B$3:$B$62,"ASSUMPTION")+COUNTIF(ASCOPE_PMESII!$D$3:$D$62,"ASSUMPTION")+COUNTIF(ASCOPE_PMESII!$F$3:$F$62,"ASSUMPTION")))),""),IF(49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49-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49-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52" s="21" t="str">
        <f t="array" ref="N52">IFERROR(IF(49&lt;=COUNTIF(ASCOPE_PMESII!$B$3:$B$62,"CONSTRAINT"),IFERROR(INDEX(ASCOPE_PMESII!$C$3:$C$62,_xlfn.AGGREGATE(15,6,(ROW(ASCOPE_PMESII!$B$3:$B$62)-ROW(ASCOPE_PMESII!$B$3)+1)/(ASCOPE_PMESII!$B$3:$B$62="CONSTRAINT"),49)),""),IF(49&lt;=(COUNTIF(ASCOPE_PMESII!$B$3:$B$62,"CONSTRAINT")+COUNTIF(ASCOPE_PMESII!$D$3:$D$62,"CONSTRAINT")),IFERROR(INDEX(ASCOPE_PMESII!$E$3:$E$62,_xlfn.AGGREGATE(15,6,(ROW(ASCOPE_PMESII!$D$3:$D$62)-ROW(ASCOPE_PMESII!$D$3)+1)/(ASCOPE_PMESII!$D$3:$D$62="CONSTRAINT"),49-(COUNTIF(ASCOPE_PMESII!$B$3:$B$62,"CONSTRAINT")))),""),IF(49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49-(COUNTIF(ASCOPE_PMESII!$B$3:$B$62,"CONSTRAINT")+COUNTIF(ASCOPE_PMESII!$D$3:$D$62,"CONSTRAINT")))),""),IF(49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49-(COUNTIF(ASCOPE_PMESII!$B$3:$B$62,"CONSTRAINT")+COUNTIF(ASCOPE_PMESII!$D$3:$D$62,"CONSTRAINT")+COUNTIF(ASCOPE_PMESII!$F$3:$F$62,"CONSTRAINT")))),""),IF(49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49-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49-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52" s="21" t="str">
        <f t="array" ref="O52">IFERROR(IF(49&lt;=COUNTIF(ASCOPE_PMESII!$B$3:$B$62,"LIMITATION"),IFERROR(INDEX(ASCOPE_PMESII!$C$3:$C$62,_xlfn.AGGREGATE(15,6,(ROW(ASCOPE_PMESII!$B$3:$B$62)-ROW(ASCOPE_PMESII!$B$3)+1)/(ASCOPE_PMESII!$B$3:$B$62="LIMITATION"),49)),""),IF(49&lt;=(COUNTIF(ASCOPE_PMESII!$B$3:$B$62,"LIMITATION")+COUNTIF(ASCOPE_PMESII!$D$3:$D$62,"LIMITATION")),IFERROR(INDEX(ASCOPE_PMESII!$E$3:$E$62,_xlfn.AGGREGATE(15,6,(ROW(ASCOPE_PMESII!$D$3:$D$62)-ROW(ASCOPE_PMESII!$D$3)+1)/(ASCOPE_PMESII!$D$3:$D$62="LIMITATION"),49-(COUNTIF(ASCOPE_PMESII!$B$3:$B$62,"LIMITATION")))),""),IF(49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49-(COUNTIF(ASCOPE_PMESII!$B$3:$B$62,"LIMITATION")+COUNTIF(ASCOPE_PMESII!$D$3:$D$62,"LIMITATION")))),""),IF(49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49-(COUNTIF(ASCOPE_PMESII!$B$3:$B$62,"LIMITATION")+COUNTIF(ASCOPE_PMESII!$D$3:$D$62,"LIMITATION")+COUNTIF(ASCOPE_PMESII!$F$3:$F$62,"LIMITATION")))),""),IF(49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49-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49-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52" s="21" t="str">
        <f t="array" ref="P52">IFERROR(IF(49&lt;=COUNTIF(ASCOPE_PMESII!$B$3:$B$62,"CC"),IFERROR(INDEX(ASCOPE_PMESII!$C$3:$C$62,_xlfn.AGGREGATE(15,6,(ROW(ASCOPE_PMESII!$B$3:$B$62)-ROW(ASCOPE_PMESII!$B$3)+1)/(ASCOPE_PMESII!$B$3:$B$62="CC"),49)),""),IF(49&lt;=(COUNTIF(ASCOPE_PMESII!$B$3:$B$62,"CC")+COUNTIF(ASCOPE_PMESII!$D$3:$D$62,"CC")),IFERROR(INDEX(ASCOPE_PMESII!$E$3:$E$62,_xlfn.AGGREGATE(15,6,(ROW(ASCOPE_PMESII!$D$3:$D$62)-ROW(ASCOPE_PMESII!$D$3)+1)/(ASCOPE_PMESII!$D$3:$D$62="CC"),49-(COUNTIF(ASCOPE_PMESII!$B$3:$B$62,"CC")))),""),IF(49&lt;=(COUNTIF(ASCOPE_PMESII!$B$3:$B$62,"CC")+COUNTIF(ASCOPE_PMESII!$D$3:$D$62,"CC")+COUNTIF(ASCOPE_PMESII!$F$3:$F$62,"CC")),IFERROR(INDEX(ASCOPE_PMESII!$G$3:$G$62,_xlfn.AGGREGATE(15,6,(ROW(ASCOPE_PMESII!$F$3:$F$62)-ROW(ASCOPE_PMESII!$F$3)+1)/(ASCOPE_PMESII!$F$3:$F$62="CC"),49-(COUNTIF(ASCOPE_PMESII!$B$3:$B$62,"CC")+COUNTIF(ASCOPE_PMESII!$D$3:$D$62,"CC")))),""),IF(49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49-(COUNTIF(ASCOPE_PMESII!$B$3:$B$62,"CC")+COUNTIF(ASCOPE_PMESII!$D$3:$D$62,"CC")+COUNTIF(ASCOPE_PMESII!$F$3:$F$62,"CC")))),""),IF(49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49-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49-(COUNTIF(ASCOPE_PMESII!$B$3:$B$62,"CC")+COUNTIF(ASCOPE_PMESII!$D$3:$D$62,"CC")+COUNTIF(ASCOPE_PMESII!$F$3:$F$62,"CC")+COUNTIF(ASCOPE_PMESII!$H$3:$H$62,"CC")+COUNTIF(ASCOPE_PMESII!$J$3:$J$62,"CC")))),"")))))),"")</f>
        <v/>
      </c>
      <c r="Q52" s="21" t="str">
        <f t="array" ref="Q52">IFERROR(IF(49&lt;=COUNTIF(ASCOPE_PMESII!$B$3:$B$62,"CR"),IFERROR(INDEX(ASCOPE_PMESII!$C$3:$C$62,_xlfn.AGGREGATE(15,6,(ROW(ASCOPE_PMESII!$B$3:$B$62)-ROW(ASCOPE_PMESII!$B$3)+1)/(ASCOPE_PMESII!$B$3:$B$62="CR"),49)),""),IF(49&lt;=(COUNTIF(ASCOPE_PMESII!$B$3:$B$62,"CR")+COUNTIF(ASCOPE_PMESII!$D$3:$D$62,"CR")),IFERROR(INDEX(ASCOPE_PMESII!$E$3:$E$62,_xlfn.AGGREGATE(15,6,(ROW(ASCOPE_PMESII!$D$3:$D$62)-ROW(ASCOPE_PMESII!$D$3)+1)/(ASCOPE_PMESII!$D$3:$D$62="CR"),49-(COUNTIF(ASCOPE_PMESII!$B$3:$B$62,"CR")))),""),IF(49&lt;=(COUNTIF(ASCOPE_PMESII!$B$3:$B$62,"CR")+COUNTIF(ASCOPE_PMESII!$D$3:$D$62,"CR")+COUNTIF(ASCOPE_PMESII!$F$3:$F$62,"CR")),IFERROR(INDEX(ASCOPE_PMESII!$G$3:$G$62,_xlfn.AGGREGATE(15,6,(ROW(ASCOPE_PMESII!$F$3:$F$62)-ROW(ASCOPE_PMESII!$F$3)+1)/(ASCOPE_PMESII!$F$3:$F$62="CR"),49-(COUNTIF(ASCOPE_PMESII!$B$3:$B$62,"CR")+COUNTIF(ASCOPE_PMESII!$D$3:$D$62,"CR")))),""),IF(49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49-(COUNTIF(ASCOPE_PMESII!$B$3:$B$62,"CR")+COUNTIF(ASCOPE_PMESII!$D$3:$D$62,"CR")+COUNTIF(ASCOPE_PMESII!$F$3:$F$62,"CR")))),""),IF(49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49-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49-(COUNTIF(ASCOPE_PMESII!$B$3:$B$62,"CR")+COUNTIF(ASCOPE_PMESII!$D$3:$D$62,"CR")+COUNTIF(ASCOPE_PMESII!$F$3:$F$62,"CR")+COUNTIF(ASCOPE_PMESII!$H$3:$H$62,"CR")+COUNTIF(ASCOPE_PMESII!$J$3:$J$62,"CR")))),"")))))),"")</f>
        <v/>
      </c>
      <c r="R52" s="94" t="str">
        <f t="array" ref="R52">IFERROR(IF(49&lt;=COUNTIF(ASCOPE_PMESII!$B$3:$B$62,"PCS"),IFERROR(INDEX(ASCOPE_PMESII!$C$3:$C$62,_xlfn.AGGREGATE(15,6,(ROW(ASCOPE_PMESII!$B$3:$B$62)-ROW(ASCOPE_PMESII!$B$3)+1)/(ASCOPE_PMESII!$B$3:$B$62="PCS"),49)),""),IF(49&lt;=(COUNTIF(ASCOPE_PMESII!$B$3:$B$62,"PCS")+COUNTIF(ASCOPE_PMESII!$D$3:$D$62,"PCS")),IFERROR(INDEX(ASCOPE_PMESII!$E$3:$E$62,_xlfn.AGGREGATE(15,6,(ROW(ASCOPE_PMESII!$D$3:$D$62)-ROW(ASCOPE_PMESII!$D$3)+1)/(ASCOPE_PMESII!$D$3:$D$62="PCS"),49-(COUNTIF(ASCOPE_PMESII!$B$3:$B$62,"PCS")))),""),IF(49&lt;=(COUNTIF(ASCOPE_PMESII!$B$3:$B$62,"PCS")+COUNTIF(ASCOPE_PMESII!$D$3:$D$62,"PCS")+COUNTIF(ASCOPE_PMESII!$F$3:$F$62,"PCS")),IFERROR(INDEX(ASCOPE_PMESII!$G$3:$G$62,_xlfn.AGGREGATE(15,6,(ROW(ASCOPE_PMESII!$F$3:$F$62)-ROW(ASCOPE_PMESII!$F$3)+1)/(ASCOPE_PMESII!$F$3:$F$62="PCS"),49-(COUNTIF(ASCOPE_PMESII!$B$3:$B$62,"PCS")+COUNTIF(ASCOPE_PMESII!$D$3:$D$62,"PCS")))),""),IF(49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49-(COUNTIF(ASCOPE_PMESII!$B$3:$B$62,"PCS")+COUNTIF(ASCOPE_PMESII!$D$3:$D$62,"PCS")+COUNTIF(ASCOPE_PMESII!$F$3:$F$62,"PCS")))),""),IF(49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49-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49-(COUNTIF(ASCOPE_PMESII!$B$3:$B$62,"PCS")+COUNTIF(ASCOPE_PMESII!$D$3:$D$62,"PCS")+COUNTIF(ASCOPE_PMESII!$F$3:$F$62,"PCS")+COUNTIF(ASCOPE_PMESII!$H$3:$H$62,"PCS")+COUNTIF(ASCOPE_PMESII!$J$3:$J$62,"PCS")))),"")))))),"")</f>
        <v/>
      </c>
    </row>
    <row r="53" spans="1:18" ht="34.5" customHeight="1">
      <c r="A53" s="22" t="str">
        <f t="array" ref="A53">IFERROR(IF(50&lt;=COUNTIF(ASCOPE_PMESII!$B$3:$B$62,"OE"),IFERROR(INDEX(ASCOPE_PMESII!$C$3:$C$62,_xlfn.AGGREGATE(15,6,(ROW(ASCOPE_PMESII!$B$3:$B$62)-ROW(ASCOPE_PMESII!$B$3)+1)/(ASCOPE_PMESII!$B$3:$B$62="OE"),50)),""),IF(50&lt;=(COUNTIF(ASCOPE_PMESII!$B$3:$B$62,"OE")+COUNTIF(ASCOPE_PMESII!$D$3:$D$62,"OE")),IFERROR(INDEX(ASCOPE_PMESII!$E$3:$E$62,_xlfn.AGGREGATE(15,6,(ROW(ASCOPE_PMESII!$D$3:$D$62)-ROW(ASCOPE_PMESII!$D$3)+1)/(ASCOPE_PMESII!$D$3:$D$62="OE"),50-(COUNTIF(ASCOPE_PMESII!$B$3:$B$62,"OE")))),""),IF(50&lt;=(COUNTIF(ASCOPE_PMESII!$B$3:$B$62,"OE")+COUNTIF(ASCOPE_PMESII!$D$3:$D$62,"OE")+COUNTIF(ASCOPE_PMESII!$F$3:$F$62,"OE")),IFERROR(INDEX(ASCOPE_PMESII!$G$3:$G$62,_xlfn.AGGREGATE(15,6,(ROW(ASCOPE_PMESII!$F$3:$F$62)-ROW(ASCOPE_PMESII!$F$3)+1)/(ASCOPE_PMESII!$F$3:$F$62="OE"),50-(COUNTIF(ASCOPE_PMESII!$B$3:$B$62,"OE")+COUNTIF(ASCOPE_PMESII!$D$3:$D$62,"OE")))),""),IF(50&lt;=(COUNTIF(ASCOPE_PMESII!$B$3:$B$62,"OE")+COUNTIF(ASCOPE_PMESII!$D$3:$D$62,"OE")+COUNTIF(ASCOPE_PMESII!$F$3:$F$62,"OE")+COUNTIF(ASCOPE_PMESII!$H$3:$H$62,"OE")),IFERROR(INDEX(ASCOPE_PMESII!$I$3:$I$62,_xlfn.AGGREGATE(15,6,(ROW(ASCOPE_PMESII!$H$3:$H$62)-ROW(ASCOPE_PMESII!$H$3)+1)/(ASCOPE_PMESII!$H$3:$H$62="OE"),50-(COUNTIF(ASCOPE_PMESII!$B$3:$B$62,"OE")+COUNTIF(ASCOPE_PMESII!$D$3:$D$62,"OE")+COUNTIF(ASCOPE_PMESII!$F$3:$F$62,"OE")))),""),IF(50&lt;=(COUNTIF(ASCOPE_PMESII!$B$3:$B$62,"OE")+COUNTIF(ASCOPE_PMESII!$D$3:$D$62,"OE")+COUNTIF(ASCOPE_PMESII!$F$3:$F$62,"OE")+COUNTIF(ASCOPE_PMESII!$H$3:$H$62,"OE")+COUNTIF(ASCOPE_PMESII!$J$3:$J$62,"OE")),IFERROR(INDEX(ASCOPE_PMESII!$K$3:$K$62,_xlfn.AGGREGATE(15,6,(ROW(ASCOPE_PMESII!$J$3:$J$62)-ROW(ASCOPE_PMESII!$J$3)+1)/(ASCOPE_PMESII!$J$3:$J$62="OE"),50-(COUNTIF(ASCOPE_PMESII!$B$3:$B$62,"OE")+COUNTIF(ASCOPE_PMESII!$D$3:$D$62,"OE")+COUNTIF(ASCOPE_PMESII!$F$3:$F$62,"OE")+COUNTIF(ASCOPE_PMESII!$H$3:$H$62,"OE")))),""),IFERROR(INDEX(ASCOPE_PMESII!$M$3:$M$62,_xlfn.AGGREGATE(15,6,(ROW(ASCOPE_PMESII!$L$3:$L$62)-ROW(ASCOPE_PMESII!$L$3)+1)/(ASCOPE_PMESII!$L$3:$L$62="OE"),50-(COUNTIF(ASCOPE_PMESII!$B$3:$B$62,"OE")+COUNTIF(ASCOPE_PMESII!$D$3:$D$62,"OE")+COUNTIF(ASCOPE_PMESII!$F$3:$F$62,"OE")+COUNTIF(ASCOPE_PMESII!$H$3:$H$62,"OE")+COUNTIF(ASCOPE_PMESII!$J$3:$J$62,"OE")))),"")))))),"")</f>
        <v/>
      </c>
      <c r="B53" s="22" t="str">
        <f t="array" ref="B53">IFERROR(IF(50&lt;=COUNTIF(ASCOPE_PMESII!$B$3:$B$62,"OA"),IFERROR(INDEX(ASCOPE_PMESII!$C$3:$C$62,_xlfn.AGGREGATE(15,6,(ROW(ASCOPE_PMESII!$B$3:$B$62)-ROW(ASCOPE_PMESII!$B$3)+1)/(ASCOPE_PMESII!$B$3:$B$62="OA"),50)),""),IF(50&lt;=(COUNTIF(ASCOPE_PMESII!$B$3:$B$62,"OA")+COUNTIF(ASCOPE_PMESII!$D$3:$D$62,"OA")),IFERROR(INDEX(ASCOPE_PMESII!$E$3:$E$62,_xlfn.AGGREGATE(15,6,(ROW(ASCOPE_PMESII!$D$3:$D$62)-ROW(ASCOPE_PMESII!$D$3)+1)/(ASCOPE_PMESII!$D$3:$D$62="OA"),50-(COUNTIF(ASCOPE_PMESII!$B$3:$B$62,"OA")))),""),IF(50&lt;=(COUNTIF(ASCOPE_PMESII!$B$3:$B$62,"OA")+COUNTIF(ASCOPE_PMESII!$D$3:$D$62,"OA")+COUNTIF(ASCOPE_PMESII!$F$3:$F$62,"OA")),IFERROR(INDEX(ASCOPE_PMESII!$G$3:$G$62,_xlfn.AGGREGATE(15,6,(ROW(ASCOPE_PMESII!$F$3:$F$62)-ROW(ASCOPE_PMESII!$F$3)+1)/(ASCOPE_PMESII!$F$3:$F$62="OA"),50-(COUNTIF(ASCOPE_PMESII!$B$3:$B$62,"OA")+COUNTIF(ASCOPE_PMESII!$D$3:$D$62,"OA")))),""),IF(50&lt;=(COUNTIF(ASCOPE_PMESII!$B$3:$B$62,"OA")+COUNTIF(ASCOPE_PMESII!$D$3:$D$62,"OA")+COUNTIF(ASCOPE_PMESII!$F$3:$F$62,"OA")+COUNTIF(ASCOPE_PMESII!$H$3:$H$62,"OA")),IFERROR(INDEX(ASCOPE_PMESII!$I$3:$I$62,_xlfn.AGGREGATE(15,6,(ROW(ASCOPE_PMESII!$H$3:$H$62)-ROW(ASCOPE_PMESII!$H$3)+1)/(ASCOPE_PMESII!$H$3:$H$62="OA"),50-(COUNTIF(ASCOPE_PMESII!$B$3:$B$62,"OA")+COUNTIF(ASCOPE_PMESII!$D$3:$D$62,"OA")+COUNTIF(ASCOPE_PMESII!$F$3:$F$62,"OA")))),""),IF(50&lt;=(COUNTIF(ASCOPE_PMESII!$B$3:$B$62,"OA")+COUNTIF(ASCOPE_PMESII!$D$3:$D$62,"OA")+COUNTIF(ASCOPE_PMESII!$F$3:$F$62,"OA")+COUNTIF(ASCOPE_PMESII!$H$3:$H$62,"OA")+COUNTIF(ASCOPE_PMESII!$J$3:$J$62,"OA")),IFERROR(INDEX(ASCOPE_PMESII!$K$3:$K$62,_xlfn.AGGREGATE(15,6,(ROW(ASCOPE_PMESII!$J$3:$J$62)-ROW(ASCOPE_PMESII!$J$3)+1)/(ASCOPE_PMESII!$J$3:$J$62="OA"),50-(COUNTIF(ASCOPE_PMESII!$B$3:$B$62,"OA")+COUNTIF(ASCOPE_PMESII!$D$3:$D$62,"OA")+COUNTIF(ASCOPE_PMESII!$F$3:$F$62,"OA")+COUNTIF(ASCOPE_PMESII!$H$3:$H$62,"OA")))),""),IFERROR(INDEX(ASCOPE_PMESII!$M$3:$M$62,_xlfn.AGGREGATE(15,6,(ROW(ASCOPE_PMESII!$L$3:$L$62)-ROW(ASCOPE_PMESII!$L$3)+1)/(ASCOPE_PMESII!$L$3:$L$62="OA"),50-(COUNTIF(ASCOPE_PMESII!$B$3:$B$62,"OA")+COUNTIF(ASCOPE_PMESII!$D$3:$D$62,"OA")+COUNTIF(ASCOPE_PMESII!$F$3:$F$62,"OA")+COUNTIF(ASCOPE_PMESII!$H$3:$H$62,"OA")+COUNTIF(ASCOPE_PMESII!$J$3:$J$62,"OA")))),"")))))),"")</f>
        <v/>
      </c>
      <c r="C53" s="22" t="str">
        <f t="array" ref="C53">IFERROR(IF(50&lt;=COUNTIF(ASCOPE_PMESII!$B$3:$B$62,"RISK"),IFERROR(INDEX(ASCOPE_PMESII!$C$3:$C$62,_xlfn.AGGREGATE(15,6,(ROW(ASCOPE_PMESII!$B$3:$B$62)-ROW(ASCOPE_PMESII!$B$3)+1)/(ASCOPE_PMESII!$B$3:$B$62="RISK"),50)),""),IF(50&lt;=(COUNTIF(ASCOPE_PMESII!$B$3:$B$62,"RISK")+COUNTIF(ASCOPE_PMESII!$D$3:$D$62,"RISK")),IFERROR(INDEX(ASCOPE_PMESII!$E$3:$E$62,_xlfn.AGGREGATE(15,6,(ROW(ASCOPE_PMESII!$D$3:$D$62)-ROW(ASCOPE_PMESII!$D$3)+1)/(ASCOPE_PMESII!$D$3:$D$62="RISK"),50-(COUNTIF(ASCOPE_PMESII!$B$3:$B$62,"RISK")))),""),IF(50&lt;=(COUNTIF(ASCOPE_PMESII!$B$3:$B$62,"RISK")+COUNTIF(ASCOPE_PMESII!$D$3:$D$62,"RISK")+COUNTIF(ASCOPE_PMESII!$F$3:$F$62,"RISK")),IFERROR(INDEX(ASCOPE_PMESII!$G$3:$G$62,_xlfn.AGGREGATE(15,6,(ROW(ASCOPE_PMESII!$F$3:$F$62)-ROW(ASCOPE_PMESII!$F$3)+1)/(ASCOPE_PMESII!$F$3:$F$62="RISK"),50-(COUNTIF(ASCOPE_PMESII!$B$3:$B$62,"RISK")+COUNTIF(ASCOPE_PMESII!$D$3:$D$62,"RISK")))),""),IF(50&lt;=(COUNTIF(ASCOPE_PMESII!$B$3:$B$62,"RISK")+COUNTIF(ASCOPE_PMESII!$D$3:$D$62,"RISK")+COUNTIF(ASCOPE_PMESII!$F$3:$F$62,"RISK")+COUNTIF(ASCOPE_PMESII!$H$3:$H$62,"RISK")),IFERROR(INDEX(ASCOPE_PMESII!$I$3:$I$62,_xlfn.AGGREGATE(15,6,(ROW(ASCOPE_PMESII!$H$3:$H$62)-ROW(ASCOPE_PMESII!$H$3)+1)/(ASCOPE_PMESII!$H$3:$H$62="RISK"),50-(COUNTIF(ASCOPE_PMESII!$B$3:$B$62,"RISK")+COUNTIF(ASCOPE_PMESII!$D$3:$D$62,"RISK")+COUNTIF(ASCOPE_PMESII!$F$3:$F$62,"RISK")))),""),IF(50&lt;=(COUNTIF(ASCOPE_PMESII!$B$3:$B$62,"RISK")+COUNTIF(ASCOPE_PMESII!$D$3:$D$62,"RISK")+COUNTIF(ASCOPE_PMESII!$F$3:$F$62,"RISK")+COUNTIF(ASCOPE_PMESII!$H$3:$H$62,"RISK")+COUNTIF(ASCOPE_PMESII!$J$3:$J$62,"RISK")),IFERROR(INDEX(ASCOPE_PMESII!$K$3:$K$62,_xlfn.AGGREGATE(15,6,(ROW(ASCOPE_PMESII!$J$3:$J$62)-ROW(ASCOPE_PMESII!$J$3)+1)/(ASCOPE_PMESII!$J$3:$J$62="RISK"),50-(COUNTIF(ASCOPE_PMESII!$B$3:$B$62,"RISK")+COUNTIF(ASCOPE_PMESII!$D$3:$D$62,"RISK")+COUNTIF(ASCOPE_PMESII!$F$3:$F$62,"RISK")+COUNTIF(ASCOPE_PMESII!$H$3:$H$62,"RISK")))),""),IFERROR(INDEX(ASCOPE_PMESII!$M$3:$M$62,_xlfn.AGGREGATE(15,6,(ROW(ASCOPE_PMESII!$L$3:$L$62)-ROW(ASCOPE_PMESII!$L$3)+1)/(ASCOPE_PMESII!$L$3:$L$62="RISK"),50-(COUNTIF(ASCOPE_PMESII!$B$3:$B$62,"RISK")+COUNTIF(ASCOPE_PMESII!$D$3:$D$62,"RISK")+COUNTIF(ASCOPE_PMESII!$F$3:$F$62,"RISK")+COUNTIF(ASCOPE_PMESII!$H$3:$H$62,"RISK")+COUNTIF(ASCOPE_PMESII!$J$3:$J$62,"RISK")))),"")))))),"")</f>
        <v/>
      </c>
      <c r="D53" s="22" t="str">
        <f t="array" ref="D53">IFERROR(IF(50&lt;=COUNTIF(ASCOPE_PMESII!$B$3:$B$62,"CV"),IFERROR(INDEX(ASCOPE_PMESII!$C$3:$C$62,_xlfn.AGGREGATE(15,6,(ROW(ASCOPE_PMESII!$B$3:$B$62)-ROW(ASCOPE_PMESII!$B$3)+1)/(ASCOPE_PMESII!$B$3:$B$62="CV"),50)),""),IF(50&lt;=(COUNTIF(ASCOPE_PMESII!$B$3:$B$62,"CV")+COUNTIF(ASCOPE_PMESII!$D$3:$D$62,"CV")),IFERROR(INDEX(ASCOPE_PMESII!$E$3:$E$62,_xlfn.AGGREGATE(15,6,(ROW(ASCOPE_PMESII!$D$3:$D$62)-ROW(ASCOPE_PMESII!$D$3)+1)/(ASCOPE_PMESII!$D$3:$D$62="CV"),50-(COUNTIF(ASCOPE_PMESII!$B$3:$B$62,"CV")))),""),IF(50&lt;=(COUNTIF(ASCOPE_PMESII!$B$3:$B$62,"CV")+COUNTIF(ASCOPE_PMESII!$D$3:$D$62,"CV")+COUNTIF(ASCOPE_PMESII!$F$3:$F$62,"CV")),IFERROR(INDEX(ASCOPE_PMESII!$G$3:$G$62,_xlfn.AGGREGATE(15,6,(ROW(ASCOPE_PMESII!$F$3:$F$62)-ROW(ASCOPE_PMESII!$F$3)+1)/(ASCOPE_PMESII!$F$3:$F$62="CV"),50-(COUNTIF(ASCOPE_PMESII!$B$3:$B$62,"CV")+COUNTIF(ASCOPE_PMESII!$D$3:$D$62,"CV")))),""),IF(50&lt;=(COUNTIF(ASCOPE_PMESII!$B$3:$B$62,"CV")+COUNTIF(ASCOPE_PMESII!$D$3:$D$62,"CV")+COUNTIF(ASCOPE_PMESII!$F$3:$F$62,"CV")+COUNTIF(ASCOPE_PMESII!$H$3:$H$62,"CV")),IFERROR(INDEX(ASCOPE_PMESII!$I$3:$I$62,_xlfn.AGGREGATE(15,6,(ROW(ASCOPE_PMESII!$H$3:$H$62)-ROW(ASCOPE_PMESII!$H$3)+1)/(ASCOPE_PMESII!$H$3:$H$62="CV"),50-(COUNTIF(ASCOPE_PMESII!$B$3:$B$62,"CV")+COUNTIF(ASCOPE_PMESII!$D$3:$D$62,"CV")+COUNTIF(ASCOPE_PMESII!$F$3:$F$62,"CV")))),""),IF(50&lt;=(COUNTIF(ASCOPE_PMESII!$B$3:$B$62,"CV")+COUNTIF(ASCOPE_PMESII!$D$3:$D$62,"CV")+COUNTIF(ASCOPE_PMESII!$F$3:$F$62,"CV")+COUNTIF(ASCOPE_PMESII!$H$3:$H$62,"CV")+COUNTIF(ASCOPE_PMESII!$J$3:$J$62,"CV")),IFERROR(INDEX(ASCOPE_PMESII!$K$3:$K$62,_xlfn.AGGREGATE(15,6,(ROW(ASCOPE_PMESII!$J$3:$J$62)-ROW(ASCOPE_PMESII!$J$3)+1)/(ASCOPE_PMESII!$J$3:$J$62="CV"),50-(COUNTIF(ASCOPE_PMESII!$B$3:$B$62,"CV")+COUNTIF(ASCOPE_PMESII!$D$3:$D$62,"CV")+COUNTIF(ASCOPE_PMESII!$F$3:$F$62,"CV")+COUNTIF(ASCOPE_PMESII!$H$3:$H$62,"CV")))),""),IFERROR(INDEX(ASCOPE_PMESII!$M$3:$M$62,_xlfn.AGGREGATE(15,6,(ROW(ASCOPE_PMESII!$L$3:$L$62)-ROW(ASCOPE_PMESII!$L$3)+1)/(ASCOPE_PMESII!$L$3:$L$62="CV"),50-(COUNTIF(ASCOPE_PMESII!$B$3:$B$62,"CV")+COUNTIF(ASCOPE_PMESII!$D$3:$D$62,"CV")+COUNTIF(ASCOPE_PMESII!$F$3:$F$62,"CV")+COUNTIF(ASCOPE_PMESII!$H$3:$H$62,"CV")+COUNTIF(ASCOPE_PMESII!$J$3:$J$62,"CV")))),"")))))),"")</f>
        <v>Families influence rebel morale and defection</v>
      </c>
      <c r="E53" s="22" t="str">
        <f t="array" ref="E53">IFERROR(IF(50&lt;=COUNTIF(ASCOPE_PMESII!$B$3:$B$62,"COR"),IFERROR(INDEX(ASCOPE_PMESII!$C$3:$C$62,_xlfn.AGGREGATE(15,6,(ROW(ASCOPE_PMESII!$B$3:$B$62)-ROW(ASCOPE_PMESII!$B$3)+1)/(ASCOPE_PMESII!$B$3:$B$62="COR"),50)),""),IF(50&lt;=(COUNTIF(ASCOPE_PMESII!$B$3:$B$62,"COR")+COUNTIF(ASCOPE_PMESII!$D$3:$D$62,"COR")),IFERROR(INDEX(ASCOPE_PMESII!$E$3:$E$62,_xlfn.AGGREGATE(15,6,(ROW(ASCOPE_PMESII!$D$3:$D$62)-ROW(ASCOPE_PMESII!$D$3)+1)/(ASCOPE_PMESII!$D$3:$D$62="COR"),50-(COUNTIF(ASCOPE_PMESII!$B$3:$B$62,"COR")))),""),IF(50&lt;=(COUNTIF(ASCOPE_PMESII!$B$3:$B$62,"COR")+COUNTIF(ASCOPE_PMESII!$D$3:$D$62,"COR")+COUNTIF(ASCOPE_PMESII!$F$3:$F$62,"COR")),IFERROR(INDEX(ASCOPE_PMESII!$G$3:$G$62,_xlfn.AGGREGATE(15,6,(ROW(ASCOPE_PMESII!$F$3:$F$62)-ROW(ASCOPE_PMESII!$F$3)+1)/(ASCOPE_PMESII!$F$3:$F$62="COR"),50-(COUNTIF(ASCOPE_PMESII!$B$3:$B$62,"COR")+COUNTIF(ASCOPE_PMESII!$D$3:$D$62,"COR")))),""),IF(50&lt;=(COUNTIF(ASCOPE_PMESII!$B$3:$B$62,"COR")+COUNTIF(ASCOPE_PMESII!$D$3:$D$62,"COR")+COUNTIF(ASCOPE_PMESII!$F$3:$F$62,"COR")+COUNTIF(ASCOPE_PMESII!$H$3:$H$62,"COR")),IFERROR(INDEX(ASCOPE_PMESII!$I$3:$I$62,_xlfn.AGGREGATE(15,6,(ROW(ASCOPE_PMESII!$H$3:$H$62)-ROW(ASCOPE_PMESII!$H$3)+1)/(ASCOPE_PMESII!$H$3:$H$62="COR"),50-(COUNTIF(ASCOPE_PMESII!$B$3:$B$62,"COR")+COUNTIF(ASCOPE_PMESII!$D$3:$D$62,"COR")+COUNTIF(ASCOPE_PMESII!$F$3:$F$62,"COR")))),""),IF(50&lt;=(COUNTIF(ASCOPE_PMESII!$B$3:$B$62,"COR")+COUNTIF(ASCOPE_PMESII!$D$3:$D$62,"COR")+COUNTIF(ASCOPE_PMESII!$F$3:$F$62,"COR")+COUNTIF(ASCOPE_PMESII!$H$3:$H$62,"COR")+COUNTIF(ASCOPE_PMESII!$J$3:$J$62,"COR")),IFERROR(INDEX(ASCOPE_PMESII!$K$3:$K$62,_xlfn.AGGREGATE(15,6,(ROW(ASCOPE_PMESII!$J$3:$J$62)-ROW(ASCOPE_PMESII!$J$3)+1)/(ASCOPE_PMESII!$J$3:$J$62="COR"),50-(COUNTIF(ASCOPE_PMESII!$B$3:$B$62,"COR")+COUNTIF(ASCOPE_PMESII!$D$3:$D$62,"COR")+COUNTIF(ASCOPE_PMESII!$F$3:$F$62,"COR")+COUNTIF(ASCOPE_PMESII!$H$3:$H$62,"COR")))),""),IFERROR(INDEX(ASCOPE_PMESII!$M$3:$M$62,_xlfn.AGGREGATE(15,6,(ROW(ASCOPE_PMESII!$L$3:$L$62)-ROW(ASCOPE_PMESII!$L$3)+1)/(ASCOPE_PMESII!$L$3:$L$62="COR"),50-(COUNTIF(ASCOPE_PMESII!$B$3:$B$62,"COR")+COUNTIF(ASCOPE_PMESII!$D$3:$D$62,"COR")+COUNTIF(ASCOPE_PMESII!$F$3:$F$62,"COR")+COUNTIF(ASCOPE_PMESII!$H$3:$H$62,"COR")+COUNTIF(ASCOPE_PMESII!$J$3:$J$62,"COR")))),"")))))),"")</f>
        <v/>
      </c>
      <c r="F53" s="22" t="str">
        <f t="array" ref="F53">IFERROR(IF(50&lt;=COUNTIF(ASCOPE_PMESII!$B$3:$B$62,"REQT"),IFERROR(INDEX(ASCOPE_PMESII!$C$3:$C$62,_xlfn.AGGREGATE(15,6,(ROW(ASCOPE_PMESII!$B$3:$B$62)-ROW(ASCOPE_PMESII!$B$3)+1)/(ASCOPE_PMESII!$B$3:$B$62="REQT"),50)),""),IF(50&lt;=(COUNTIF(ASCOPE_PMESII!$B$3:$B$62,"REQT")+COUNTIF(ASCOPE_PMESII!$D$3:$D$62,"REQT")),IFERROR(INDEX(ASCOPE_PMESII!$E$3:$E$62,_xlfn.AGGREGATE(15,6,(ROW(ASCOPE_PMESII!$D$3:$D$62)-ROW(ASCOPE_PMESII!$D$3)+1)/(ASCOPE_PMESII!$D$3:$D$62="REQT"),50-(COUNTIF(ASCOPE_PMESII!$B$3:$B$62,"REQT")))),""),IF(50&lt;=(COUNTIF(ASCOPE_PMESII!$B$3:$B$62,"REQT")+COUNTIF(ASCOPE_PMESII!$D$3:$D$62,"REQT")+COUNTIF(ASCOPE_PMESII!$F$3:$F$62,"REQT")),IFERROR(INDEX(ASCOPE_PMESII!$G$3:$G$62,_xlfn.AGGREGATE(15,6,(ROW(ASCOPE_PMESII!$F$3:$F$62)-ROW(ASCOPE_PMESII!$F$3)+1)/(ASCOPE_PMESII!$F$3:$F$62="REQT"),50-(COUNTIF(ASCOPE_PMESII!$B$3:$B$62,"REQT")+COUNTIF(ASCOPE_PMESII!$D$3:$D$62,"REQT")))),""),IF(50&lt;=(COUNTIF(ASCOPE_PMESII!$B$3:$B$62,"REQT")+COUNTIF(ASCOPE_PMESII!$D$3:$D$62,"REQT")+COUNTIF(ASCOPE_PMESII!$F$3:$F$62,"REQT")+COUNTIF(ASCOPE_PMESII!$H$3:$H$62,"REQT")),IFERROR(INDEX(ASCOPE_PMESII!$I$3:$I$62,_xlfn.AGGREGATE(15,6,(ROW(ASCOPE_PMESII!$H$3:$H$62)-ROW(ASCOPE_PMESII!$H$3)+1)/(ASCOPE_PMESII!$H$3:$H$62="REQT"),50-(COUNTIF(ASCOPE_PMESII!$B$3:$B$62,"REQT")+COUNTIF(ASCOPE_PMESII!$D$3:$D$62,"REQT")+COUNTIF(ASCOPE_PMESII!$F$3:$F$62,"REQT")))),""),IF(50&lt;=(COUNTIF(ASCOPE_PMESII!$B$3:$B$62,"REQT")+COUNTIF(ASCOPE_PMESII!$D$3:$D$62,"REQT")+COUNTIF(ASCOPE_PMESII!$F$3:$F$62,"REQT")+COUNTIF(ASCOPE_PMESII!$H$3:$H$62,"REQT")+COUNTIF(ASCOPE_PMESII!$J$3:$J$62,"REQT")),IFERROR(INDEX(ASCOPE_PMESII!$K$3:$K$62,_xlfn.AGGREGATE(15,6,(ROW(ASCOPE_PMESII!$J$3:$J$62)-ROW(ASCOPE_PMESII!$J$3)+1)/(ASCOPE_PMESII!$J$3:$J$62="REQT"),50-(COUNTIF(ASCOPE_PMESII!$B$3:$B$62,"REQT")+COUNTIF(ASCOPE_PMESII!$D$3:$D$62,"REQT")+COUNTIF(ASCOPE_PMESII!$F$3:$F$62,"REQT")+COUNTIF(ASCOPE_PMESII!$H$3:$H$62,"REQT")))),""),IFERROR(INDEX(ASCOPE_PMESII!$M$3:$M$62,_xlfn.AGGREGATE(15,6,(ROW(ASCOPE_PMESII!$L$3:$L$62)-ROW(ASCOPE_PMESII!$L$3)+1)/(ASCOPE_PMESII!$L$3:$L$62="REQT"),50-(COUNTIF(ASCOPE_PMESII!$B$3:$B$62,"REQT")+COUNTIF(ASCOPE_PMESII!$D$3:$D$62,"REQT")+COUNTIF(ASCOPE_PMESII!$F$3:$F$62,"REQT")+COUNTIF(ASCOPE_PMESII!$H$3:$H$62,"REQT")+COUNTIF(ASCOPE_PMESII!$J$3:$J$62,"REQT")))),"")))))),"")</f>
        <v/>
      </c>
      <c r="G53" s="22" t="str">
        <f t="array" ref="G53">IFERROR(IF(50&lt;=COUNTIF(ASCOPE_PMESII!$B$3:$B$62,"REST"),IFERROR(INDEX(ASCOPE_PMESII!$C$3:$C$62,_xlfn.AGGREGATE(15,6,(ROW(ASCOPE_PMESII!$B$3:$B$62)-ROW(ASCOPE_PMESII!$B$3)+1)/(ASCOPE_PMESII!$B$3:$B$62="REST"),50)),""),IF(50&lt;=(COUNTIF(ASCOPE_PMESII!$B$3:$B$62,"REST")+COUNTIF(ASCOPE_PMESII!$D$3:$D$62,"REST")),IFERROR(INDEX(ASCOPE_PMESII!$E$3:$E$62,_xlfn.AGGREGATE(15,6,(ROW(ASCOPE_PMESII!$D$3:$D$62)-ROW(ASCOPE_PMESII!$D$3)+1)/(ASCOPE_PMESII!$D$3:$D$62="REST"),50-(COUNTIF(ASCOPE_PMESII!$B$3:$B$62,"REST")))),""),IF(50&lt;=(COUNTIF(ASCOPE_PMESII!$B$3:$B$62,"REST")+COUNTIF(ASCOPE_PMESII!$D$3:$D$62,"REST")+COUNTIF(ASCOPE_PMESII!$F$3:$F$62,"REST")),IFERROR(INDEX(ASCOPE_PMESII!$G$3:$G$62,_xlfn.AGGREGATE(15,6,(ROW(ASCOPE_PMESII!$F$3:$F$62)-ROW(ASCOPE_PMESII!$F$3)+1)/(ASCOPE_PMESII!$F$3:$F$62="REST"),50-(COUNTIF(ASCOPE_PMESII!$B$3:$B$62,"REST")+COUNTIF(ASCOPE_PMESII!$D$3:$D$62,"REST")))),""),IF(50&lt;=(COUNTIF(ASCOPE_PMESII!$B$3:$B$62,"REST")+COUNTIF(ASCOPE_PMESII!$D$3:$D$62,"REST")+COUNTIF(ASCOPE_PMESII!$F$3:$F$62,"REST")+COUNTIF(ASCOPE_PMESII!$H$3:$H$62,"REST")),IFERROR(INDEX(ASCOPE_PMESII!$I$3:$I$62,_xlfn.AGGREGATE(15,6,(ROW(ASCOPE_PMESII!$H$3:$H$62)-ROW(ASCOPE_PMESII!$H$3)+1)/(ASCOPE_PMESII!$H$3:$H$62="REST"),50-(COUNTIF(ASCOPE_PMESII!$B$3:$B$62,"REST")+COUNTIF(ASCOPE_PMESII!$D$3:$D$62,"REST")+COUNTIF(ASCOPE_PMESII!$F$3:$F$62,"REST")))),""),IF(50&lt;=(COUNTIF(ASCOPE_PMESII!$B$3:$B$62,"REST")+COUNTIF(ASCOPE_PMESII!$D$3:$D$62,"REST")+COUNTIF(ASCOPE_PMESII!$F$3:$F$62,"REST")+COUNTIF(ASCOPE_PMESII!$H$3:$H$62,"REST")+COUNTIF(ASCOPE_PMESII!$J$3:$J$62,"REST")),IFERROR(INDEX(ASCOPE_PMESII!$K$3:$K$62,_xlfn.AGGREGATE(15,6,(ROW(ASCOPE_PMESII!$J$3:$J$62)-ROW(ASCOPE_PMESII!$J$3)+1)/(ASCOPE_PMESII!$J$3:$J$62="REST"),50-(COUNTIF(ASCOPE_PMESII!$B$3:$B$62,"REST")+COUNTIF(ASCOPE_PMESII!$D$3:$D$62,"REST")+COUNTIF(ASCOPE_PMESII!$F$3:$F$62,"REST")+COUNTIF(ASCOPE_PMESII!$H$3:$H$62,"REST")))),""),IFERROR(INDEX(ASCOPE_PMESII!$M$3:$M$62,_xlfn.AGGREGATE(15,6,(ROW(ASCOPE_PMESII!$L$3:$L$62)-ROW(ASCOPE_PMESII!$L$3)+1)/(ASCOPE_PMESII!$L$3:$L$62="REST"),50-(COUNTIF(ASCOPE_PMESII!$B$3:$B$62,"REST")+COUNTIF(ASCOPE_PMESII!$D$3:$D$62,"REST")+COUNTIF(ASCOPE_PMESII!$F$3:$F$62,"REST")+COUNTIF(ASCOPE_PMESII!$H$3:$H$62,"REST")+COUNTIF(ASCOPE_PMESII!$J$3:$J$62,"REST")))),"")))))),"")</f>
        <v/>
      </c>
      <c r="H53" s="22" t="str">
        <f t="array" ref="H53">IFERROR(IF(50&lt;=COUNTIF(ASCOPE_PMESII!$B$3:$B$62,"KCD-MUST"),IFERROR(INDEX(ASCOPE_PMESII!$C$3:$C$62,_xlfn.AGGREGATE(15,6,(ROW(ASCOPE_PMESII!$B$3:$B$62)-ROW(ASCOPE_PMESII!$B$3)+1)/(ASCOPE_PMESII!$B$3:$B$62="KCD-MUST"),50)),""),IF(50&lt;=(COUNTIF(ASCOPE_PMESII!$B$3:$B$62,"KCD-MUST")+COUNTIF(ASCOPE_PMESII!$D$3:$D$62,"KCD-MUST")),IFERROR(INDEX(ASCOPE_PMESII!$E$3:$E$62,_xlfn.AGGREGATE(15,6,(ROW(ASCOPE_PMESII!$D$3:$D$62)-ROW(ASCOPE_PMESII!$D$3)+1)/(ASCOPE_PMESII!$D$3:$D$62="KCD-MUST"),50-(COUNTIF(ASCOPE_PMESII!$B$3:$B$62,"KCD-MUST")))),""),IF(50&lt;=(COUNTIF(ASCOPE_PMESII!$B$3:$B$62,"KCD-MUST")+COUNTIF(ASCOPE_PMESII!$D$3:$D$62,"KCD-MUST")+COUNTIF(ASCOPE_PMESII!$F$3:$F$62,"KCD-MUST")),IFERROR(INDEX(ASCOPE_PMESII!$G$3:$G$62,_xlfn.AGGREGATE(15,6,(ROW(ASCOPE_PMESII!$F$3:$F$62)-ROW(ASCOPE_PMESII!$F$3)+1)/(ASCOPE_PMESII!$F$3:$F$62="KCD-MUST"),50-(COUNTIF(ASCOPE_PMESII!$B$3:$B$62,"KCD-MUST")+COUNTIF(ASCOPE_PMESII!$D$3:$D$62,"KCD-MUST")))),""),IF(50&lt;=(COUNTIF(ASCOPE_PMESII!$B$3:$B$62,"KCD-MUST")+COUNTIF(ASCOPE_PMESII!$D$3:$D$62,"KCD-MUST")+COUNTIF(ASCOPE_PMESII!$F$3:$F$62,"KCD-MUST")+COUNTIF(ASCOPE_PMESII!$H$3:$H$62,"KCD-MUST")),IFERROR(INDEX(ASCOPE_PMESII!$I$3:$I$62,_xlfn.AGGREGATE(15,6,(ROW(ASCOPE_PMESII!$H$3:$H$62)-ROW(ASCOPE_PMESII!$H$3)+1)/(ASCOPE_PMESII!$H$3:$H$62="KCD-MUST"),50-(COUNTIF(ASCOPE_PMESII!$B$3:$B$62,"KCD-MUST")+COUNTIF(ASCOPE_PMESII!$D$3:$D$62,"KCD-MUST")+COUNTIF(ASCOPE_PMESII!$F$3:$F$62,"KCD-MUST")))),""),IF(50&lt;=(COUNTIF(ASCOPE_PMESII!$B$3:$B$62,"KCD-MUST")+COUNTIF(ASCOPE_PMESII!$D$3:$D$62,"KCD-MUST")+COUNTIF(ASCOPE_PMESII!$F$3:$F$62,"KCD-MUST")+COUNTIF(ASCOPE_PMESII!$H$3:$H$62,"KCD-MUST")+COUNTIF(ASCOPE_PMESII!$J$3:$J$62,"KCD-MUST")),IFERROR(INDEX(ASCOPE_PMESII!$K$3:$K$62,_xlfn.AGGREGATE(15,6,(ROW(ASCOPE_PMESII!$J$3:$J$62)-ROW(ASCOPE_PMESII!$J$3)+1)/(ASCOPE_PMESII!$J$3:$J$62="KCD-MUST"),50-(COUNTIF(ASCOPE_PMESII!$B$3:$B$62,"KCD-MUST")+COUNTIF(ASCOPE_PMESII!$D$3:$D$62,"KCD-MUST")+COUNTIF(ASCOPE_PMESII!$F$3:$F$62,"KCD-MUST")+COUNTIF(ASCOPE_PMESII!$H$3:$H$62,"KCD-MUST")))),""),IFERROR(INDEX(ASCOPE_PMESII!$M$3:$M$62,_xlfn.AGGREGATE(15,6,(ROW(ASCOPE_PMESII!$L$3:$L$62)-ROW(ASCOPE_PMESII!$L$3)+1)/(ASCOPE_PMESII!$L$3:$L$62="KCD-MUST"),50-(COUNTIF(ASCOPE_PMESII!$B$3:$B$62,"KCD-MUST")+COUNTIF(ASCOPE_PMESII!$D$3:$D$62,"KCD-MUST")+COUNTIF(ASCOPE_PMESII!$F$3:$F$62,"KCD-MUST")+COUNTIF(ASCOPE_PMESII!$H$3:$H$62,"KCD-MUST")+COUNTIF(ASCOPE_PMESII!$J$3:$J$62,"KCD-MUST")))),"")))))),"")</f>
        <v/>
      </c>
      <c r="I53" s="22" t="str">
        <f t="array" ref="I53">IFERROR(IF(50&lt;=COUNTIF(ASCOPE_PMESII!$B$3:$B$62,"KCD-SHOULD"),IFERROR(INDEX(ASCOPE_PMESII!$C$3:$C$62,_xlfn.AGGREGATE(15,6,(ROW(ASCOPE_PMESII!$B$3:$B$62)-ROW(ASCOPE_PMESII!$B$3)+1)/(ASCOPE_PMESII!$B$3:$B$62="KCD-SHOULD"),50)),""),IF(50&lt;=(COUNTIF(ASCOPE_PMESII!$B$3:$B$62,"KCD-SHOULD")+COUNTIF(ASCOPE_PMESII!$D$3:$D$62,"KCD-SHOULD")),IFERROR(INDEX(ASCOPE_PMESII!$E$3:$E$62,_xlfn.AGGREGATE(15,6,(ROW(ASCOPE_PMESII!$D$3:$D$62)-ROW(ASCOPE_PMESII!$D$3)+1)/(ASCOPE_PMESII!$D$3:$D$62="KCD-SHOULD"),50-(COUNTIF(ASCOPE_PMESII!$B$3:$B$62,"KCD-SHOULD")))),""),IF(50&lt;=(COUNTIF(ASCOPE_PMESII!$B$3:$B$62,"KCD-SHOULD")+COUNTIF(ASCOPE_PMESII!$D$3:$D$62,"KCD-SHOULD")+COUNTIF(ASCOPE_PMESII!$F$3:$F$62,"KCD-SHOULD")),IFERROR(INDEX(ASCOPE_PMESII!$G$3:$G$62,_xlfn.AGGREGATE(15,6,(ROW(ASCOPE_PMESII!$F$3:$F$62)-ROW(ASCOPE_PMESII!$F$3)+1)/(ASCOPE_PMESII!$F$3:$F$62="KCD-SHOULD"),50-(COUNTIF(ASCOPE_PMESII!$B$3:$B$62,"KCD-SHOULD")+COUNTIF(ASCOPE_PMESII!$D$3:$D$62,"KCD-SHOULD")))),""),IF(50&lt;=(COUNTIF(ASCOPE_PMESII!$B$3:$B$62,"KCD-SHOULD")+COUNTIF(ASCOPE_PMESII!$D$3:$D$62,"KCD-SHOULD")+COUNTIF(ASCOPE_PMESII!$F$3:$F$62,"KCD-SHOULD")+COUNTIF(ASCOPE_PMESII!$H$3:$H$62,"KCD-SHOULD")),IFERROR(INDEX(ASCOPE_PMESII!$I$3:$I$62,_xlfn.AGGREGATE(15,6,(ROW(ASCOPE_PMESII!$H$3:$H$62)-ROW(ASCOPE_PMESII!$H$3)+1)/(ASCOPE_PMESII!$H$3:$H$62="KCD-SHOULD"),50-(COUNTIF(ASCOPE_PMESII!$B$3:$B$62,"KCD-SHOULD")+COUNTIF(ASCOPE_PMESII!$D$3:$D$62,"KCD-SHOULD")+COUNTIF(ASCOPE_PMESII!$F$3:$F$62,"KCD-SHOULD")))),""),IF(50&lt;=(COUNTIF(ASCOPE_PMESII!$B$3:$B$62,"KCD-SHOULD")+COUNTIF(ASCOPE_PMESII!$D$3:$D$62,"KCD-SHOULD")+COUNTIF(ASCOPE_PMESII!$F$3:$F$62,"KCD-SHOULD")+COUNTIF(ASCOPE_PMESII!$H$3:$H$62,"KCD-SHOULD")+COUNTIF(ASCOPE_PMESII!$J$3:$J$62,"KCD-SHOULD")),IFERROR(INDEX(ASCOPE_PMESII!$K$3:$K$62,_xlfn.AGGREGATE(15,6,(ROW(ASCOPE_PMESII!$J$3:$J$62)-ROW(ASCOPE_PMESII!$J$3)+1)/(ASCOPE_PMESII!$J$3:$J$62="KCD-SHOULD"),50-(COUNTIF(ASCOPE_PMESII!$B$3:$B$62,"KCD-SHOULD")+COUNTIF(ASCOPE_PMESII!$D$3:$D$62,"KCD-SHOULD")+COUNTIF(ASCOPE_PMESII!$F$3:$F$62,"KCD-SHOULD")+COUNTIF(ASCOPE_PMESII!$H$3:$H$62,"KCD-SHOULD")))),""),IFERROR(INDEX(ASCOPE_PMESII!$M$3:$M$62,_xlfn.AGGREGATE(15,6,(ROW(ASCOPE_PMESII!$L$3:$L$62)-ROW(ASCOPE_PMESII!$L$3)+1)/(ASCOPE_PMESII!$L$3:$L$62="KCD-SHOULD"),50-(COUNTIF(ASCOPE_PMESII!$B$3:$B$62,"KCD-SHOULD")+COUNTIF(ASCOPE_PMESII!$D$3:$D$62,"KCD-SHOULD")+COUNTIF(ASCOPE_PMESII!$F$3:$F$62,"KCD-SHOULD")+COUNTIF(ASCOPE_PMESII!$H$3:$H$62,"KCD-SHOULD")+COUNTIF(ASCOPE_PMESII!$J$3:$J$62,"KCD-SHOULD")))),"")))))),"")</f>
        <v/>
      </c>
      <c r="J53" s="22" t="str">
        <f t="array" ref="J53">IFERROR(IF(50&lt;=COUNTIF(ASCOPE_PMESII!$B$3:$B$62,"KCD-SHOULD NOT"),IFERROR(INDEX(ASCOPE_PMESII!$C$3:$C$62,_xlfn.AGGREGATE(15,6,(ROW(ASCOPE_PMESII!$B$3:$B$62)-ROW(ASCOPE_PMESII!$B$3)+1)/(ASCOPE_PMESII!$B$3:$B$62="KCD-SHOULD NOT"),50)),""),IF(50&lt;=(COUNTIF(ASCOPE_PMESII!$B$3:$B$62,"KCD-SHOULD NOT")+COUNTIF(ASCOPE_PMESII!$D$3:$D$62,"KCD-SHOULD NOT")),IFERROR(INDEX(ASCOPE_PMESII!$E$3:$E$62,_xlfn.AGGREGATE(15,6,(ROW(ASCOPE_PMESII!$D$3:$D$62)-ROW(ASCOPE_PMESII!$D$3)+1)/(ASCOPE_PMESII!$D$3:$D$62="KCD-SHOULD NOT"),50-(COUNTIF(ASCOPE_PMESII!$B$3:$B$62,"KCD-SHOULD NOT")))),""),IF(50&lt;=(COUNTIF(ASCOPE_PMESII!$B$3:$B$62,"KCD-SHOULD NOT")+COUNTIF(ASCOPE_PMESII!$D$3:$D$62,"KCD-SHOULD NOT")+COUNTIF(ASCOPE_PMESII!$F$3:$F$62,"KCD-SHOULD NOT")),IFERROR(INDEX(ASCOPE_PMESII!$G$3:$G$62,_xlfn.AGGREGATE(15,6,(ROW(ASCOPE_PMESII!$F$3:$F$62)-ROW(ASCOPE_PMESII!$F$3)+1)/(ASCOPE_PMESII!$F$3:$F$62="KCD-SHOULD NOT"),50-(COUNTIF(ASCOPE_PMESII!$B$3:$B$62,"KCD-SHOULD NOT")+COUNTIF(ASCOPE_PMESII!$D$3:$D$62,"KCD-SHOULD NOT")))),""),IF(50&lt;=(COUNTIF(ASCOPE_PMESII!$B$3:$B$62,"KCD-SHOULD NOT")+COUNTIF(ASCOPE_PMESII!$D$3:$D$62,"KCD-SHOULD NOT")+COUNTIF(ASCOPE_PMESII!$F$3:$F$62,"KCD-SHOULD NOT")+COUNTIF(ASCOPE_PMESII!$H$3:$H$62,"KCD-SHOULD NOT")),IFERROR(INDEX(ASCOPE_PMESII!$I$3:$I$62,_xlfn.AGGREGATE(15,6,(ROW(ASCOPE_PMESII!$H$3:$H$62)-ROW(ASCOPE_PMESII!$H$3)+1)/(ASCOPE_PMESII!$H$3:$H$62="KCD-SHOULD NOT"),50-(COUNTIF(ASCOPE_PMESII!$B$3:$B$62,"KCD-SHOULD NOT")+COUNTIF(ASCOPE_PMESII!$D$3:$D$62,"KCD-SHOULD NOT")+COUNTIF(ASCOPE_PMESII!$F$3:$F$62,"KCD-SHOULD NOT")))),""),IF(50&lt;=(COUNTIF(ASCOPE_PMESII!$B$3:$B$62,"KCD-SHOULD NOT")+COUNTIF(ASCOPE_PMESII!$D$3:$D$62,"KCD-SHOULD NOT")+COUNTIF(ASCOPE_PMESII!$F$3:$F$62,"KCD-SHOULD NOT")+COUNTIF(ASCOPE_PMESII!$H$3:$H$62,"KCD-SHOULD NOT")+COUNTIF(ASCOPE_PMESII!$J$3:$J$62,"KCD-SHOULD NOT")),IFERROR(INDEX(ASCOPE_PMESII!$K$3:$K$62,_xlfn.AGGREGATE(15,6,(ROW(ASCOPE_PMESII!$J$3:$J$62)-ROW(ASCOPE_PMESII!$J$3)+1)/(ASCOPE_PMESII!$J$3:$J$62="KCD-SHOULD NOT"),50-(COUNTIF(ASCOPE_PMESII!$B$3:$B$62,"KCD-SHOULD NOT")+COUNTIF(ASCOPE_PMESII!$D$3:$D$62,"KCD-SHOULD NOT")+COUNTIF(ASCOPE_PMESII!$F$3:$F$62,"KCD-SHOULD NOT")+COUNTIF(ASCOPE_PMESII!$H$3:$H$62,"KCD-SHOULD NOT")))),""),IFERROR(INDEX(ASCOPE_PMESII!$M$3:$M$62,_xlfn.AGGREGATE(15,6,(ROW(ASCOPE_PMESII!$L$3:$L$62)-ROW(ASCOPE_PMESII!$L$3)+1)/(ASCOPE_PMESII!$L$3:$L$62="KCD-SHOULD NOT"),50-(COUNTIF(ASCOPE_PMESII!$B$3:$B$62,"KCD-SHOULD NOT")+COUNTIF(ASCOPE_PMESII!$D$3:$D$62,"KCD-SHOULD NOT")+COUNTIF(ASCOPE_PMESII!$F$3:$F$62,"KCD-SHOULD NOT")+COUNTIF(ASCOPE_PMESII!$H$3:$H$62,"KCD-SHOULD NOT")+COUNTIF(ASCOPE_PMESII!$J$3:$J$62,"KCD-SHOULD NOT")))),"")))))),"")</f>
        <v/>
      </c>
      <c r="K53" s="22" t="str">
        <f t="array" ref="K53">IFERROR(IF(50&lt;=COUNTIF(ASCOPE_PMESII!$B$3:$B$62,"KCD-CANNOT"),IFERROR(INDEX(ASCOPE_PMESII!$C$3:$C$62,_xlfn.AGGREGATE(15,6,(ROW(ASCOPE_PMESII!$B$3:$B$62)-ROW(ASCOPE_PMESII!$B$3)+1)/(ASCOPE_PMESII!$B$3:$B$62="KCD-CANNOT"),50)),""),IF(50&lt;=(COUNTIF(ASCOPE_PMESII!$B$3:$B$62,"KCD-CANNOT")+COUNTIF(ASCOPE_PMESII!$D$3:$D$62,"KCD-CANNOT")),IFERROR(INDEX(ASCOPE_PMESII!$E$3:$E$62,_xlfn.AGGREGATE(15,6,(ROW(ASCOPE_PMESII!$D$3:$D$62)-ROW(ASCOPE_PMESII!$D$3)+1)/(ASCOPE_PMESII!$D$3:$D$62="KCD-CANNOT"),50-(COUNTIF(ASCOPE_PMESII!$B$3:$B$62,"KCD-CANNOT")))),""),IF(50&lt;=(COUNTIF(ASCOPE_PMESII!$B$3:$B$62,"KCD-CANNOT")+COUNTIF(ASCOPE_PMESII!$D$3:$D$62,"KCD-CANNOT")+COUNTIF(ASCOPE_PMESII!$F$3:$F$62,"KCD-CANNOT")),IFERROR(INDEX(ASCOPE_PMESII!$G$3:$G$62,_xlfn.AGGREGATE(15,6,(ROW(ASCOPE_PMESII!$F$3:$F$62)-ROW(ASCOPE_PMESII!$F$3)+1)/(ASCOPE_PMESII!$F$3:$F$62="KCD-CANNOT"),50-(COUNTIF(ASCOPE_PMESII!$B$3:$B$62,"KCD-CANNOT")+COUNTIF(ASCOPE_PMESII!$D$3:$D$62,"KCD-CANNOT")))),""),IF(50&lt;=(COUNTIF(ASCOPE_PMESII!$B$3:$B$62,"KCD-CANNOT")+COUNTIF(ASCOPE_PMESII!$D$3:$D$62,"KCD-CANNOT")+COUNTIF(ASCOPE_PMESII!$F$3:$F$62,"KCD-CANNOT")+COUNTIF(ASCOPE_PMESII!$H$3:$H$62,"KCD-CANNOT")),IFERROR(INDEX(ASCOPE_PMESII!$I$3:$I$62,_xlfn.AGGREGATE(15,6,(ROW(ASCOPE_PMESII!$H$3:$H$62)-ROW(ASCOPE_PMESII!$H$3)+1)/(ASCOPE_PMESII!$H$3:$H$62="KCD-CANNOT"),50-(COUNTIF(ASCOPE_PMESII!$B$3:$B$62,"KCD-CANNOT")+COUNTIF(ASCOPE_PMESII!$D$3:$D$62,"KCD-CANNOT")+COUNTIF(ASCOPE_PMESII!$F$3:$F$62,"KCD-CANNOT")))),""),IF(50&lt;=(COUNTIF(ASCOPE_PMESII!$B$3:$B$62,"KCD-CANNOT")+COUNTIF(ASCOPE_PMESII!$D$3:$D$62,"KCD-CANNOT")+COUNTIF(ASCOPE_PMESII!$F$3:$F$62,"KCD-CANNOT")+COUNTIF(ASCOPE_PMESII!$H$3:$H$62,"KCD-CANNOT")+COUNTIF(ASCOPE_PMESII!$J$3:$J$62,"KCD-CANNOT")),IFERROR(INDEX(ASCOPE_PMESII!$K$3:$K$62,_xlfn.AGGREGATE(15,6,(ROW(ASCOPE_PMESII!$J$3:$J$62)-ROW(ASCOPE_PMESII!$J$3)+1)/(ASCOPE_PMESII!$J$3:$J$62="KCD-CANNOT"),50-(COUNTIF(ASCOPE_PMESII!$B$3:$B$62,"KCD-CANNOT")+COUNTIF(ASCOPE_PMESII!$D$3:$D$62,"KCD-CANNOT")+COUNTIF(ASCOPE_PMESII!$F$3:$F$62,"KCD-CANNOT")+COUNTIF(ASCOPE_PMESII!$H$3:$H$62,"KCD-CANNOT")))),""),IFERROR(INDEX(ASCOPE_PMESII!$M$3:$M$62,_xlfn.AGGREGATE(15,6,(ROW(ASCOPE_PMESII!$L$3:$L$62)-ROW(ASCOPE_PMESII!$L$3)+1)/(ASCOPE_PMESII!$L$3:$L$62="KCD-CANNOT"),50-(COUNTIF(ASCOPE_PMESII!$B$3:$B$62,"KCD-CANNOT")+COUNTIF(ASCOPE_PMESII!$D$3:$D$62,"KCD-CANNOT")+COUNTIF(ASCOPE_PMESII!$F$3:$F$62,"KCD-CANNOT")+COUNTIF(ASCOPE_PMESII!$H$3:$H$62,"KCD-CANNOT")+COUNTIF(ASCOPE_PMESII!$J$3:$J$62,"KCD-CANNOT")))),"")))))),"")</f>
        <v/>
      </c>
      <c r="L53" s="22" t="str">
        <f t="array" ref="L53">IFERROR(IF(50&lt;=COUNTIF(ASCOPE_PMESII!$B$3:$B$62,"DECISION"),IFERROR(INDEX(ASCOPE_PMESII!$C$3:$C$62,_xlfn.AGGREGATE(15,6,(ROW(ASCOPE_PMESII!$B$3:$B$62)-ROW(ASCOPE_PMESII!$B$3)+1)/(ASCOPE_PMESII!$B$3:$B$62="DECISION"),50)),""),IF(50&lt;=(COUNTIF(ASCOPE_PMESII!$B$3:$B$62,"DECISION")+COUNTIF(ASCOPE_PMESII!$D$3:$D$62,"DECISION")),IFERROR(INDEX(ASCOPE_PMESII!$E$3:$E$62,_xlfn.AGGREGATE(15,6,(ROW(ASCOPE_PMESII!$D$3:$D$62)-ROW(ASCOPE_PMESII!$D$3)+1)/(ASCOPE_PMESII!$D$3:$D$62="DECISION"),50-(COUNTIF(ASCOPE_PMESII!$B$3:$B$62,"DECISION")))),""),IF(50&lt;=(COUNTIF(ASCOPE_PMESII!$B$3:$B$62,"DECISION")+COUNTIF(ASCOPE_PMESII!$D$3:$D$62,"DECISION")+COUNTIF(ASCOPE_PMESII!$F$3:$F$62,"DECISION")),IFERROR(INDEX(ASCOPE_PMESII!$G$3:$G$62,_xlfn.AGGREGATE(15,6,(ROW(ASCOPE_PMESII!$F$3:$F$62)-ROW(ASCOPE_PMESII!$F$3)+1)/(ASCOPE_PMESII!$F$3:$F$62="DECISION"),50-(COUNTIF(ASCOPE_PMESII!$B$3:$B$62,"DECISION")+COUNTIF(ASCOPE_PMESII!$D$3:$D$62,"DECISION")))),""),IF(50&lt;=(COUNTIF(ASCOPE_PMESII!$B$3:$B$62,"DECISION")+COUNTIF(ASCOPE_PMESII!$D$3:$D$62,"DECISION")+COUNTIF(ASCOPE_PMESII!$F$3:$F$62,"DECISION")+COUNTIF(ASCOPE_PMESII!$H$3:$H$62,"DECISION")),IFERROR(INDEX(ASCOPE_PMESII!$I$3:$I$62,_xlfn.AGGREGATE(15,6,(ROW(ASCOPE_PMESII!$H$3:$H$62)-ROW(ASCOPE_PMESII!$H$3)+1)/(ASCOPE_PMESII!$H$3:$H$62="DECISION"),50-(COUNTIF(ASCOPE_PMESII!$B$3:$B$62,"DECISION")+COUNTIF(ASCOPE_PMESII!$D$3:$D$62,"DECISION")+COUNTIF(ASCOPE_PMESII!$F$3:$F$62,"DECISION")))),""),IF(50&lt;=(COUNTIF(ASCOPE_PMESII!$B$3:$B$62,"DECISION")+COUNTIF(ASCOPE_PMESII!$D$3:$D$62,"DECISION")+COUNTIF(ASCOPE_PMESII!$F$3:$F$62,"DECISION")+COUNTIF(ASCOPE_PMESII!$H$3:$H$62,"DECISION")+COUNTIF(ASCOPE_PMESII!$J$3:$J$62,"DECISION")),IFERROR(INDEX(ASCOPE_PMESII!$K$3:$K$62,_xlfn.AGGREGATE(15,6,(ROW(ASCOPE_PMESII!$J$3:$J$62)-ROW(ASCOPE_PMESII!$J$3)+1)/(ASCOPE_PMESII!$J$3:$J$62="DECISION"),50-(COUNTIF(ASCOPE_PMESII!$B$3:$B$62,"DECISION")+COUNTIF(ASCOPE_PMESII!$D$3:$D$62,"DECISION")+COUNTIF(ASCOPE_PMESII!$F$3:$F$62,"DECISION")+COUNTIF(ASCOPE_PMESII!$H$3:$H$62,"DECISION")))),""),IFERROR(INDEX(ASCOPE_PMESII!$M$3:$M$62,_xlfn.AGGREGATE(15,6,(ROW(ASCOPE_PMESII!$L$3:$L$62)-ROW(ASCOPE_PMESII!$L$3)+1)/(ASCOPE_PMESII!$L$3:$L$62="DECISION"),50-(COUNTIF(ASCOPE_PMESII!$B$3:$B$62,"DECISION")+COUNTIF(ASCOPE_PMESII!$D$3:$D$62,"DECISION")+COUNTIF(ASCOPE_PMESII!$F$3:$F$62,"DECISION")+COUNTIF(ASCOPE_PMESII!$H$3:$H$62,"DECISION")+COUNTIF(ASCOPE_PMESII!$J$3:$J$62,"DECISION")))),"")))))),"")</f>
        <v/>
      </c>
      <c r="M53" s="22" t="str">
        <f t="array" ref="M53">IFERROR(IF(50&lt;=COUNTIF(ASCOPE_PMESII!$B$3:$B$62,"ASSUMPTION"),IFERROR(INDEX(ASCOPE_PMESII!$C$3:$C$62,_xlfn.AGGREGATE(15,6,(ROW(ASCOPE_PMESII!$B$3:$B$62)-ROW(ASCOPE_PMESII!$B$3)+1)/(ASCOPE_PMESII!$B$3:$B$62="ASSUMPTION"),50)),""),IF(50&lt;=(COUNTIF(ASCOPE_PMESII!$B$3:$B$62,"ASSUMPTION")+COUNTIF(ASCOPE_PMESII!$D$3:$D$62,"ASSUMPTION")),IFERROR(INDEX(ASCOPE_PMESII!$E$3:$E$62,_xlfn.AGGREGATE(15,6,(ROW(ASCOPE_PMESII!$D$3:$D$62)-ROW(ASCOPE_PMESII!$D$3)+1)/(ASCOPE_PMESII!$D$3:$D$62="ASSUMPTION"),50-(COUNTIF(ASCOPE_PMESII!$B$3:$B$62,"ASSUMPTION")))),""),IF(50&lt;=(COUNTIF(ASCOPE_PMESII!$B$3:$B$62,"ASSUMPTION")+COUNTIF(ASCOPE_PMESII!$D$3:$D$62,"ASSUMPTION")+COUNTIF(ASCOPE_PMESII!$F$3:$F$62,"ASSUMPTION")),IFERROR(INDEX(ASCOPE_PMESII!$G$3:$G$62,_xlfn.AGGREGATE(15,6,(ROW(ASCOPE_PMESII!$F$3:$F$62)-ROW(ASCOPE_PMESII!$F$3)+1)/(ASCOPE_PMESII!$F$3:$F$62="ASSUMPTION"),50-(COUNTIF(ASCOPE_PMESII!$B$3:$B$62,"ASSUMPTION")+COUNTIF(ASCOPE_PMESII!$D$3:$D$62,"ASSUMPTION")))),""),IF(50&lt;=(COUNTIF(ASCOPE_PMESII!$B$3:$B$62,"ASSUMPTION")+COUNTIF(ASCOPE_PMESII!$D$3:$D$62,"ASSUMPTION")+COUNTIF(ASCOPE_PMESII!$F$3:$F$62,"ASSUMPTION")+COUNTIF(ASCOPE_PMESII!$H$3:$H$62,"ASSUMPTION")),IFERROR(INDEX(ASCOPE_PMESII!$I$3:$I$62,_xlfn.AGGREGATE(15,6,(ROW(ASCOPE_PMESII!$H$3:$H$62)-ROW(ASCOPE_PMESII!$H$3)+1)/(ASCOPE_PMESII!$H$3:$H$62="ASSUMPTION"),50-(COUNTIF(ASCOPE_PMESII!$B$3:$B$62,"ASSUMPTION")+COUNTIF(ASCOPE_PMESII!$D$3:$D$62,"ASSUMPTION")+COUNTIF(ASCOPE_PMESII!$F$3:$F$62,"ASSUMPTION")))),""),IF(50&lt;=(COUNTIF(ASCOPE_PMESII!$B$3:$B$62,"ASSUMPTION")+COUNTIF(ASCOPE_PMESII!$D$3:$D$62,"ASSUMPTION")+COUNTIF(ASCOPE_PMESII!$F$3:$F$62,"ASSUMPTION")+COUNTIF(ASCOPE_PMESII!$H$3:$H$62,"ASSUMPTION")+COUNTIF(ASCOPE_PMESII!$J$3:$J$62,"ASSUMPTION")),IFERROR(INDEX(ASCOPE_PMESII!$K$3:$K$62,_xlfn.AGGREGATE(15,6,(ROW(ASCOPE_PMESII!$J$3:$J$62)-ROW(ASCOPE_PMESII!$J$3)+1)/(ASCOPE_PMESII!$J$3:$J$62="ASSUMPTION"),50-(COUNTIF(ASCOPE_PMESII!$B$3:$B$62,"ASSUMPTION")+COUNTIF(ASCOPE_PMESII!$D$3:$D$62,"ASSUMPTION")+COUNTIF(ASCOPE_PMESII!$F$3:$F$62,"ASSUMPTION")+COUNTIF(ASCOPE_PMESII!$H$3:$H$62,"ASSUMPTION")))),""),IFERROR(INDEX(ASCOPE_PMESII!$M$3:$M$62,_xlfn.AGGREGATE(15,6,(ROW(ASCOPE_PMESII!$L$3:$L$62)-ROW(ASCOPE_PMESII!$L$3)+1)/(ASCOPE_PMESII!$L$3:$L$62="ASSUMPTION"),50-(COUNTIF(ASCOPE_PMESII!$B$3:$B$62,"ASSUMPTION")+COUNTIF(ASCOPE_PMESII!$D$3:$D$62,"ASSUMPTION")+COUNTIF(ASCOPE_PMESII!$F$3:$F$62,"ASSUMPTION")+COUNTIF(ASCOPE_PMESII!$H$3:$H$62,"ASSUMPTION")+COUNTIF(ASCOPE_PMESII!$J$3:$J$62,"ASSUMPTION")))),"")))))),"")</f>
        <v/>
      </c>
      <c r="N53" s="22" t="str">
        <f t="array" ref="N53">IFERROR(IF(50&lt;=COUNTIF(ASCOPE_PMESII!$B$3:$B$62,"CONSTRAINT"),IFERROR(INDEX(ASCOPE_PMESII!$C$3:$C$62,_xlfn.AGGREGATE(15,6,(ROW(ASCOPE_PMESII!$B$3:$B$62)-ROW(ASCOPE_PMESII!$B$3)+1)/(ASCOPE_PMESII!$B$3:$B$62="CONSTRAINT"),50)),""),IF(50&lt;=(COUNTIF(ASCOPE_PMESII!$B$3:$B$62,"CONSTRAINT")+COUNTIF(ASCOPE_PMESII!$D$3:$D$62,"CONSTRAINT")),IFERROR(INDEX(ASCOPE_PMESII!$E$3:$E$62,_xlfn.AGGREGATE(15,6,(ROW(ASCOPE_PMESII!$D$3:$D$62)-ROW(ASCOPE_PMESII!$D$3)+1)/(ASCOPE_PMESII!$D$3:$D$62="CONSTRAINT"),50-(COUNTIF(ASCOPE_PMESII!$B$3:$B$62,"CONSTRAINT")))),""),IF(50&lt;=(COUNTIF(ASCOPE_PMESII!$B$3:$B$62,"CONSTRAINT")+COUNTIF(ASCOPE_PMESII!$D$3:$D$62,"CONSTRAINT")+COUNTIF(ASCOPE_PMESII!$F$3:$F$62,"CONSTRAINT")),IFERROR(INDEX(ASCOPE_PMESII!$G$3:$G$62,_xlfn.AGGREGATE(15,6,(ROW(ASCOPE_PMESII!$F$3:$F$62)-ROW(ASCOPE_PMESII!$F$3)+1)/(ASCOPE_PMESII!$F$3:$F$62="CONSTRAINT"),50-(COUNTIF(ASCOPE_PMESII!$B$3:$B$62,"CONSTRAINT")+COUNTIF(ASCOPE_PMESII!$D$3:$D$62,"CONSTRAINT")))),""),IF(50&lt;=(COUNTIF(ASCOPE_PMESII!$B$3:$B$62,"CONSTRAINT")+COUNTIF(ASCOPE_PMESII!$D$3:$D$62,"CONSTRAINT")+COUNTIF(ASCOPE_PMESII!$F$3:$F$62,"CONSTRAINT")+COUNTIF(ASCOPE_PMESII!$H$3:$H$62,"CONSTRAINT")),IFERROR(INDEX(ASCOPE_PMESII!$I$3:$I$62,_xlfn.AGGREGATE(15,6,(ROW(ASCOPE_PMESII!$H$3:$H$62)-ROW(ASCOPE_PMESII!$H$3)+1)/(ASCOPE_PMESII!$H$3:$H$62="CONSTRAINT"),50-(COUNTIF(ASCOPE_PMESII!$B$3:$B$62,"CONSTRAINT")+COUNTIF(ASCOPE_PMESII!$D$3:$D$62,"CONSTRAINT")+COUNTIF(ASCOPE_PMESII!$F$3:$F$62,"CONSTRAINT")))),""),IF(50&lt;=(COUNTIF(ASCOPE_PMESII!$B$3:$B$62,"CONSTRAINT")+COUNTIF(ASCOPE_PMESII!$D$3:$D$62,"CONSTRAINT")+COUNTIF(ASCOPE_PMESII!$F$3:$F$62,"CONSTRAINT")+COUNTIF(ASCOPE_PMESII!$H$3:$H$62,"CONSTRAINT")+COUNTIF(ASCOPE_PMESII!$J$3:$J$62,"CONSTRAINT")),IFERROR(INDEX(ASCOPE_PMESII!$K$3:$K$62,_xlfn.AGGREGATE(15,6,(ROW(ASCOPE_PMESII!$J$3:$J$62)-ROW(ASCOPE_PMESII!$J$3)+1)/(ASCOPE_PMESII!$J$3:$J$62="CONSTRAINT"),50-(COUNTIF(ASCOPE_PMESII!$B$3:$B$62,"CONSTRAINT")+COUNTIF(ASCOPE_PMESII!$D$3:$D$62,"CONSTRAINT")+COUNTIF(ASCOPE_PMESII!$F$3:$F$62,"CONSTRAINT")+COUNTIF(ASCOPE_PMESII!$H$3:$H$62,"CONSTRAINT")))),""),IFERROR(INDEX(ASCOPE_PMESII!$M$3:$M$62,_xlfn.AGGREGATE(15,6,(ROW(ASCOPE_PMESII!$L$3:$L$62)-ROW(ASCOPE_PMESII!$L$3)+1)/(ASCOPE_PMESII!$L$3:$L$62="CONSTRAINT"),50-(COUNTIF(ASCOPE_PMESII!$B$3:$B$62,"CONSTRAINT")+COUNTIF(ASCOPE_PMESII!$D$3:$D$62,"CONSTRAINT")+COUNTIF(ASCOPE_PMESII!$F$3:$F$62,"CONSTRAINT")+COUNTIF(ASCOPE_PMESII!$H$3:$H$62,"CONSTRAINT")+COUNTIF(ASCOPE_PMESII!$J$3:$J$62,"CONSTRAINT")))),"")))))),"")</f>
        <v/>
      </c>
      <c r="O53" s="22" t="str">
        <f t="array" ref="O53">IFERROR(IF(50&lt;=COUNTIF(ASCOPE_PMESII!$B$3:$B$62,"LIMITATION"),IFERROR(INDEX(ASCOPE_PMESII!$C$3:$C$62,_xlfn.AGGREGATE(15,6,(ROW(ASCOPE_PMESII!$B$3:$B$62)-ROW(ASCOPE_PMESII!$B$3)+1)/(ASCOPE_PMESII!$B$3:$B$62="LIMITATION"),50)),""),IF(50&lt;=(COUNTIF(ASCOPE_PMESII!$B$3:$B$62,"LIMITATION")+COUNTIF(ASCOPE_PMESII!$D$3:$D$62,"LIMITATION")),IFERROR(INDEX(ASCOPE_PMESII!$E$3:$E$62,_xlfn.AGGREGATE(15,6,(ROW(ASCOPE_PMESII!$D$3:$D$62)-ROW(ASCOPE_PMESII!$D$3)+1)/(ASCOPE_PMESII!$D$3:$D$62="LIMITATION"),50-(COUNTIF(ASCOPE_PMESII!$B$3:$B$62,"LIMITATION")))),""),IF(50&lt;=(COUNTIF(ASCOPE_PMESII!$B$3:$B$62,"LIMITATION")+COUNTIF(ASCOPE_PMESII!$D$3:$D$62,"LIMITATION")+COUNTIF(ASCOPE_PMESII!$F$3:$F$62,"LIMITATION")),IFERROR(INDEX(ASCOPE_PMESII!$G$3:$G$62,_xlfn.AGGREGATE(15,6,(ROW(ASCOPE_PMESII!$F$3:$F$62)-ROW(ASCOPE_PMESII!$F$3)+1)/(ASCOPE_PMESII!$F$3:$F$62="LIMITATION"),50-(COUNTIF(ASCOPE_PMESII!$B$3:$B$62,"LIMITATION")+COUNTIF(ASCOPE_PMESII!$D$3:$D$62,"LIMITATION")))),""),IF(50&lt;=(COUNTIF(ASCOPE_PMESII!$B$3:$B$62,"LIMITATION")+COUNTIF(ASCOPE_PMESII!$D$3:$D$62,"LIMITATION")+COUNTIF(ASCOPE_PMESII!$F$3:$F$62,"LIMITATION")+COUNTIF(ASCOPE_PMESII!$H$3:$H$62,"LIMITATION")),IFERROR(INDEX(ASCOPE_PMESII!$I$3:$I$62,_xlfn.AGGREGATE(15,6,(ROW(ASCOPE_PMESII!$H$3:$H$62)-ROW(ASCOPE_PMESII!$H$3)+1)/(ASCOPE_PMESII!$H$3:$H$62="LIMITATION"),50-(COUNTIF(ASCOPE_PMESII!$B$3:$B$62,"LIMITATION")+COUNTIF(ASCOPE_PMESII!$D$3:$D$62,"LIMITATION")+COUNTIF(ASCOPE_PMESII!$F$3:$F$62,"LIMITATION")))),""),IF(50&lt;=(COUNTIF(ASCOPE_PMESII!$B$3:$B$62,"LIMITATION")+COUNTIF(ASCOPE_PMESII!$D$3:$D$62,"LIMITATION")+COUNTIF(ASCOPE_PMESII!$F$3:$F$62,"LIMITATION")+COUNTIF(ASCOPE_PMESII!$H$3:$H$62,"LIMITATION")+COUNTIF(ASCOPE_PMESII!$J$3:$J$62,"LIMITATION")),IFERROR(INDEX(ASCOPE_PMESII!$K$3:$K$62,_xlfn.AGGREGATE(15,6,(ROW(ASCOPE_PMESII!$J$3:$J$62)-ROW(ASCOPE_PMESII!$J$3)+1)/(ASCOPE_PMESII!$J$3:$J$62="LIMITATION"),50-(COUNTIF(ASCOPE_PMESII!$B$3:$B$62,"LIMITATION")+COUNTIF(ASCOPE_PMESII!$D$3:$D$62,"LIMITATION")+COUNTIF(ASCOPE_PMESII!$F$3:$F$62,"LIMITATION")+COUNTIF(ASCOPE_PMESII!$H$3:$H$62,"LIMITATION")))),""),IFERROR(INDEX(ASCOPE_PMESII!$M$3:$M$62,_xlfn.AGGREGATE(15,6,(ROW(ASCOPE_PMESII!$L$3:$L$62)-ROW(ASCOPE_PMESII!$L$3)+1)/(ASCOPE_PMESII!$L$3:$L$62="LIMITATION"),50-(COUNTIF(ASCOPE_PMESII!$B$3:$B$62,"LIMITATION")+COUNTIF(ASCOPE_PMESII!$D$3:$D$62,"LIMITATION")+COUNTIF(ASCOPE_PMESII!$F$3:$F$62,"LIMITATION")+COUNTIF(ASCOPE_PMESII!$H$3:$H$62,"LIMITATION")+COUNTIF(ASCOPE_PMESII!$J$3:$J$62,"LIMITATION")))),"")))))),"")</f>
        <v/>
      </c>
      <c r="P53" s="22" t="str">
        <f t="array" ref="P53">IFERROR(IF(50&lt;=COUNTIF(ASCOPE_PMESII!$B$3:$B$62,"CC"),IFERROR(INDEX(ASCOPE_PMESII!$C$3:$C$62,_xlfn.AGGREGATE(15,6,(ROW(ASCOPE_PMESII!$B$3:$B$62)-ROW(ASCOPE_PMESII!$B$3)+1)/(ASCOPE_PMESII!$B$3:$B$62="CC"),50)),""),IF(50&lt;=(COUNTIF(ASCOPE_PMESII!$B$3:$B$62,"CC")+COUNTIF(ASCOPE_PMESII!$D$3:$D$62,"CC")),IFERROR(INDEX(ASCOPE_PMESII!$E$3:$E$62,_xlfn.AGGREGATE(15,6,(ROW(ASCOPE_PMESII!$D$3:$D$62)-ROW(ASCOPE_PMESII!$D$3)+1)/(ASCOPE_PMESII!$D$3:$D$62="CC"),50-(COUNTIF(ASCOPE_PMESII!$B$3:$B$62,"CC")))),""),IF(50&lt;=(COUNTIF(ASCOPE_PMESII!$B$3:$B$62,"CC")+COUNTIF(ASCOPE_PMESII!$D$3:$D$62,"CC")+COUNTIF(ASCOPE_PMESII!$F$3:$F$62,"CC")),IFERROR(INDEX(ASCOPE_PMESII!$G$3:$G$62,_xlfn.AGGREGATE(15,6,(ROW(ASCOPE_PMESII!$F$3:$F$62)-ROW(ASCOPE_PMESII!$F$3)+1)/(ASCOPE_PMESII!$F$3:$F$62="CC"),50-(COUNTIF(ASCOPE_PMESII!$B$3:$B$62,"CC")+COUNTIF(ASCOPE_PMESII!$D$3:$D$62,"CC")))),""),IF(50&lt;=(COUNTIF(ASCOPE_PMESII!$B$3:$B$62,"CC")+COUNTIF(ASCOPE_PMESII!$D$3:$D$62,"CC")+COUNTIF(ASCOPE_PMESII!$F$3:$F$62,"CC")+COUNTIF(ASCOPE_PMESII!$H$3:$H$62,"CC")),IFERROR(INDEX(ASCOPE_PMESII!$I$3:$I$62,_xlfn.AGGREGATE(15,6,(ROW(ASCOPE_PMESII!$H$3:$H$62)-ROW(ASCOPE_PMESII!$H$3)+1)/(ASCOPE_PMESII!$H$3:$H$62="CC"),50-(COUNTIF(ASCOPE_PMESII!$B$3:$B$62,"CC")+COUNTIF(ASCOPE_PMESII!$D$3:$D$62,"CC")+COUNTIF(ASCOPE_PMESII!$F$3:$F$62,"CC")))),""),IF(50&lt;=(COUNTIF(ASCOPE_PMESII!$B$3:$B$62,"CC")+COUNTIF(ASCOPE_PMESII!$D$3:$D$62,"CC")+COUNTIF(ASCOPE_PMESII!$F$3:$F$62,"CC")+COUNTIF(ASCOPE_PMESII!$H$3:$H$62,"CC")+COUNTIF(ASCOPE_PMESII!$J$3:$J$62,"CC")),IFERROR(INDEX(ASCOPE_PMESII!$K$3:$K$62,_xlfn.AGGREGATE(15,6,(ROW(ASCOPE_PMESII!$J$3:$J$62)-ROW(ASCOPE_PMESII!$J$3)+1)/(ASCOPE_PMESII!$J$3:$J$62="CC"),50-(COUNTIF(ASCOPE_PMESII!$B$3:$B$62,"CC")+COUNTIF(ASCOPE_PMESII!$D$3:$D$62,"CC")+COUNTIF(ASCOPE_PMESII!$F$3:$F$62,"CC")+COUNTIF(ASCOPE_PMESII!$H$3:$H$62,"CC")))),""),IFERROR(INDEX(ASCOPE_PMESII!$M$3:$M$62,_xlfn.AGGREGATE(15,6,(ROW(ASCOPE_PMESII!$L$3:$L$62)-ROW(ASCOPE_PMESII!$L$3)+1)/(ASCOPE_PMESII!$L$3:$L$62="CC"),50-(COUNTIF(ASCOPE_PMESII!$B$3:$B$62,"CC")+COUNTIF(ASCOPE_PMESII!$D$3:$D$62,"CC")+COUNTIF(ASCOPE_PMESII!$F$3:$F$62,"CC")+COUNTIF(ASCOPE_PMESII!$H$3:$H$62,"CC")+COUNTIF(ASCOPE_PMESII!$J$3:$J$62,"CC")))),"")))))),"")</f>
        <v/>
      </c>
      <c r="Q53" s="22" t="str">
        <f t="array" ref="Q53">IFERROR(IF(50&lt;=COUNTIF(ASCOPE_PMESII!$B$3:$B$62,"CR"),IFERROR(INDEX(ASCOPE_PMESII!$C$3:$C$62,_xlfn.AGGREGATE(15,6,(ROW(ASCOPE_PMESII!$B$3:$B$62)-ROW(ASCOPE_PMESII!$B$3)+1)/(ASCOPE_PMESII!$B$3:$B$62="CR"),50)),""),IF(50&lt;=(COUNTIF(ASCOPE_PMESII!$B$3:$B$62,"CR")+COUNTIF(ASCOPE_PMESII!$D$3:$D$62,"CR")),IFERROR(INDEX(ASCOPE_PMESII!$E$3:$E$62,_xlfn.AGGREGATE(15,6,(ROW(ASCOPE_PMESII!$D$3:$D$62)-ROW(ASCOPE_PMESII!$D$3)+1)/(ASCOPE_PMESII!$D$3:$D$62="CR"),50-(COUNTIF(ASCOPE_PMESII!$B$3:$B$62,"CR")))),""),IF(50&lt;=(COUNTIF(ASCOPE_PMESII!$B$3:$B$62,"CR")+COUNTIF(ASCOPE_PMESII!$D$3:$D$62,"CR")+COUNTIF(ASCOPE_PMESII!$F$3:$F$62,"CR")),IFERROR(INDEX(ASCOPE_PMESII!$G$3:$G$62,_xlfn.AGGREGATE(15,6,(ROW(ASCOPE_PMESII!$F$3:$F$62)-ROW(ASCOPE_PMESII!$F$3)+1)/(ASCOPE_PMESII!$F$3:$F$62="CR"),50-(COUNTIF(ASCOPE_PMESII!$B$3:$B$62,"CR")+COUNTIF(ASCOPE_PMESII!$D$3:$D$62,"CR")))),""),IF(50&lt;=(COUNTIF(ASCOPE_PMESII!$B$3:$B$62,"CR")+COUNTIF(ASCOPE_PMESII!$D$3:$D$62,"CR")+COUNTIF(ASCOPE_PMESII!$F$3:$F$62,"CR")+COUNTIF(ASCOPE_PMESII!$H$3:$H$62,"CR")),IFERROR(INDEX(ASCOPE_PMESII!$I$3:$I$62,_xlfn.AGGREGATE(15,6,(ROW(ASCOPE_PMESII!$H$3:$H$62)-ROW(ASCOPE_PMESII!$H$3)+1)/(ASCOPE_PMESII!$H$3:$H$62="CR"),50-(COUNTIF(ASCOPE_PMESII!$B$3:$B$62,"CR")+COUNTIF(ASCOPE_PMESII!$D$3:$D$62,"CR")+COUNTIF(ASCOPE_PMESII!$F$3:$F$62,"CR")))),""),IF(50&lt;=(COUNTIF(ASCOPE_PMESII!$B$3:$B$62,"CR")+COUNTIF(ASCOPE_PMESII!$D$3:$D$62,"CR")+COUNTIF(ASCOPE_PMESII!$F$3:$F$62,"CR")+COUNTIF(ASCOPE_PMESII!$H$3:$H$62,"CR")+COUNTIF(ASCOPE_PMESII!$J$3:$J$62,"CR")),IFERROR(INDEX(ASCOPE_PMESII!$K$3:$K$62,_xlfn.AGGREGATE(15,6,(ROW(ASCOPE_PMESII!$J$3:$J$62)-ROW(ASCOPE_PMESII!$J$3)+1)/(ASCOPE_PMESII!$J$3:$J$62="CR"),50-(COUNTIF(ASCOPE_PMESII!$B$3:$B$62,"CR")+COUNTIF(ASCOPE_PMESII!$D$3:$D$62,"CR")+COUNTIF(ASCOPE_PMESII!$F$3:$F$62,"CR")+COUNTIF(ASCOPE_PMESII!$H$3:$H$62,"CR")))),""),IFERROR(INDEX(ASCOPE_PMESII!$M$3:$M$62,_xlfn.AGGREGATE(15,6,(ROW(ASCOPE_PMESII!$L$3:$L$62)-ROW(ASCOPE_PMESII!$L$3)+1)/(ASCOPE_PMESII!$L$3:$L$62="CR"),50-(COUNTIF(ASCOPE_PMESII!$B$3:$B$62,"CR")+COUNTIF(ASCOPE_PMESII!$D$3:$D$62,"CR")+COUNTIF(ASCOPE_PMESII!$F$3:$F$62,"CR")+COUNTIF(ASCOPE_PMESII!$H$3:$H$62,"CR")+COUNTIF(ASCOPE_PMESII!$J$3:$J$62,"CR")))),"")))))),"")</f>
        <v/>
      </c>
      <c r="R53" s="95" t="str">
        <f t="array" ref="R53">IFERROR(IF(50&lt;=COUNTIF(ASCOPE_PMESII!$B$3:$B$62,"PCS"),IFERROR(INDEX(ASCOPE_PMESII!$C$3:$C$62,_xlfn.AGGREGATE(15,6,(ROW(ASCOPE_PMESII!$B$3:$B$62)-ROW(ASCOPE_PMESII!$B$3)+1)/(ASCOPE_PMESII!$B$3:$B$62="PCS"),50)),""),IF(50&lt;=(COUNTIF(ASCOPE_PMESII!$B$3:$B$62,"PCS")+COUNTIF(ASCOPE_PMESII!$D$3:$D$62,"PCS")),IFERROR(INDEX(ASCOPE_PMESII!$E$3:$E$62,_xlfn.AGGREGATE(15,6,(ROW(ASCOPE_PMESII!$D$3:$D$62)-ROW(ASCOPE_PMESII!$D$3)+1)/(ASCOPE_PMESII!$D$3:$D$62="PCS"),50-(COUNTIF(ASCOPE_PMESII!$B$3:$B$62,"PCS")))),""),IF(50&lt;=(COUNTIF(ASCOPE_PMESII!$B$3:$B$62,"PCS")+COUNTIF(ASCOPE_PMESII!$D$3:$D$62,"PCS")+COUNTIF(ASCOPE_PMESII!$F$3:$F$62,"PCS")),IFERROR(INDEX(ASCOPE_PMESII!$G$3:$G$62,_xlfn.AGGREGATE(15,6,(ROW(ASCOPE_PMESII!$F$3:$F$62)-ROW(ASCOPE_PMESII!$F$3)+1)/(ASCOPE_PMESII!$F$3:$F$62="PCS"),50-(COUNTIF(ASCOPE_PMESII!$B$3:$B$62,"PCS")+COUNTIF(ASCOPE_PMESII!$D$3:$D$62,"PCS")))),""),IF(50&lt;=(COUNTIF(ASCOPE_PMESII!$B$3:$B$62,"PCS")+COUNTIF(ASCOPE_PMESII!$D$3:$D$62,"PCS")+COUNTIF(ASCOPE_PMESII!$F$3:$F$62,"PCS")+COUNTIF(ASCOPE_PMESII!$H$3:$H$62,"PCS")),IFERROR(INDEX(ASCOPE_PMESII!$I$3:$I$62,_xlfn.AGGREGATE(15,6,(ROW(ASCOPE_PMESII!$H$3:$H$62)-ROW(ASCOPE_PMESII!$H$3)+1)/(ASCOPE_PMESII!$H$3:$H$62="PCS"),50-(COUNTIF(ASCOPE_PMESII!$B$3:$B$62,"PCS")+COUNTIF(ASCOPE_PMESII!$D$3:$D$62,"PCS")+COUNTIF(ASCOPE_PMESII!$F$3:$F$62,"PCS")))),""),IF(50&lt;=(COUNTIF(ASCOPE_PMESII!$B$3:$B$62,"PCS")+COUNTIF(ASCOPE_PMESII!$D$3:$D$62,"PCS")+COUNTIF(ASCOPE_PMESII!$F$3:$F$62,"PCS")+COUNTIF(ASCOPE_PMESII!$H$3:$H$62,"PCS")+COUNTIF(ASCOPE_PMESII!$J$3:$J$62,"PCS")),IFERROR(INDEX(ASCOPE_PMESII!$K$3:$K$62,_xlfn.AGGREGATE(15,6,(ROW(ASCOPE_PMESII!$J$3:$J$62)-ROW(ASCOPE_PMESII!$J$3)+1)/(ASCOPE_PMESII!$J$3:$J$62="PCS"),50-(COUNTIF(ASCOPE_PMESII!$B$3:$B$62,"PCS")+COUNTIF(ASCOPE_PMESII!$D$3:$D$62,"PCS")+COUNTIF(ASCOPE_PMESII!$F$3:$F$62,"PCS")+COUNTIF(ASCOPE_PMESII!$H$3:$H$62,"PCS")))),""),IFERROR(INDEX(ASCOPE_PMESII!$M$3:$M$62,_xlfn.AGGREGATE(15,6,(ROW(ASCOPE_PMESII!$L$3:$L$62)-ROW(ASCOPE_PMESII!$L$3)+1)/(ASCOPE_PMESII!$L$3:$L$62="PCS"),50-(COUNTIF(ASCOPE_PMESII!$B$3:$B$62,"PCS")+COUNTIF(ASCOPE_PMESII!$D$3:$D$62,"PCS")+COUNTIF(ASCOPE_PMESII!$F$3:$F$62,"PCS")+COUNTIF(ASCOPE_PMESII!$H$3:$H$62,"PCS")+COUNTIF(ASCOPE_PMESII!$J$3:$J$62,"PCS")))),"")))))),"")</f>
        <v/>
      </c>
    </row>
    <row r="54" spans="1:18" ht="34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</row>
    <row r="55" spans="1:18" ht="34.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spans="1:18" ht="34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7" spans="1:18" ht="34.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</row>
    <row r="58" spans="1:18" ht="34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 spans="1:18" ht="34.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</row>
    <row r="60" spans="1:18" ht="34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</row>
    <row r="61" spans="1:18" ht="34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</row>
    <row r="62" spans="1:18" ht="34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</row>
    <row r="63" spans="1:18" ht="34.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</row>
    <row r="64" spans="1:18" ht="34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 spans="1:17" ht="34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</row>
    <row r="66" spans="1:17" ht="34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 spans="1:17" ht="34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</row>
    <row r="68" spans="1:17" ht="34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 spans="1:17" ht="34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</row>
    <row r="70" spans="1:17" ht="34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</row>
    <row r="71" spans="1:17" ht="34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</row>
    <row r="72" spans="1:17" ht="34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 ht="34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</row>
    <row r="74" spans="1:17" ht="34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 ht="34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</row>
    <row r="76" spans="1:17" ht="34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 ht="34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</row>
    <row r="78" spans="1:17" ht="34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 ht="34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</row>
    <row r="80" spans="1:17" ht="34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 spans="1:17" ht="34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</row>
    <row r="82" spans="1:17" ht="34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</row>
    <row r="83" spans="1:17" ht="34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</row>
    <row r="84" spans="1:17" ht="34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</row>
    <row r="85" spans="1:17" ht="34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</row>
    <row r="86" spans="1:17" ht="34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</row>
    <row r="87" spans="1:17" ht="34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</row>
    <row r="88" spans="1:17" ht="34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</row>
    <row r="89" spans="1:17" ht="34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</row>
    <row r="90" spans="1:17" ht="34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</row>
    <row r="91" spans="1:17" ht="34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</row>
    <row r="92" spans="1:17" ht="34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</row>
    <row r="93" spans="1:17" ht="34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</row>
    <row r="94" spans="1:17" ht="34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</row>
    <row r="95" spans="1:17" ht="34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</row>
    <row r="96" spans="1:17" ht="34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</row>
    <row r="97" spans="1:17" ht="34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</row>
    <row r="98" spans="1:17" ht="34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</row>
    <row r="99" spans="1:17" ht="34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</row>
    <row r="100" spans="1:17" ht="34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</row>
    <row r="101" spans="1:17" ht="34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</row>
    <row r="102" spans="1:17" ht="34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</row>
    <row r="103" spans="1:17" ht="34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</row>
    <row r="104" spans="1:17" ht="34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</row>
    <row r="105" spans="1:17" ht="34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</row>
    <row r="106" spans="1:17" ht="34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</row>
    <row r="107" spans="1:17" ht="34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</row>
    <row r="108" spans="1:17" ht="34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</row>
    <row r="109" spans="1:17" ht="34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</row>
    <row r="110" spans="1:17" ht="34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</row>
    <row r="111" spans="1:17" ht="34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</row>
    <row r="112" spans="1:17" ht="34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</row>
    <row r="113" spans="1:17" ht="34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</row>
    <row r="114" spans="1:17" ht="34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</row>
    <row r="115" spans="1:17" ht="34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</row>
    <row r="116" spans="1:17" ht="34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</row>
    <row r="117" spans="1:17" ht="34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</row>
    <row r="118" spans="1:17" ht="34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</row>
    <row r="119" spans="1:17" ht="34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</row>
    <row r="120" spans="1:17" ht="34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</row>
    <row r="121" spans="1:17" ht="34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</row>
    <row r="122" spans="1:17" ht="34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</row>
    <row r="123" spans="1:17" ht="34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</row>
    <row r="124" spans="1:17" ht="34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</row>
    <row r="125" spans="1:17" ht="34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</row>
    <row r="126" spans="1:17" ht="34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</row>
    <row r="127" spans="1:17" ht="34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</row>
    <row r="128" spans="1:17" ht="34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</row>
    <row r="129" spans="1:17" ht="34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</row>
    <row r="130" spans="1:17" ht="34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</row>
    <row r="131" spans="1:17" ht="34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</row>
    <row r="132" spans="1:17" ht="34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</row>
    <row r="133" spans="1:17" ht="34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</row>
    <row r="134" spans="1:17" ht="34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</row>
    <row r="135" spans="1:17" ht="34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</row>
    <row r="136" spans="1:17" ht="34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</row>
    <row r="137" spans="1:17" ht="34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</row>
    <row r="138" spans="1:17" ht="34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</row>
    <row r="139" spans="1:17" ht="34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</row>
    <row r="140" spans="1:17" ht="34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</row>
    <row r="141" spans="1:17" ht="34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</row>
    <row r="142" spans="1:17" ht="34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</row>
    <row r="143" spans="1:17" ht="34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</row>
    <row r="144" spans="1:17" ht="34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</row>
    <row r="145" spans="1:17" ht="34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</row>
    <row r="146" spans="1:17" ht="34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</row>
    <row r="147" spans="1:17" ht="34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</row>
    <row r="148" spans="1:17" ht="34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</row>
    <row r="149" spans="1:17" ht="34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</row>
    <row r="150" spans="1:17" ht="34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</row>
    <row r="151" spans="1:17" ht="34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</row>
    <row r="152" spans="1:17" ht="34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</row>
    <row r="153" spans="1:17" ht="34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</row>
    <row r="154" spans="1:17" ht="34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</row>
    <row r="155" spans="1:17" ht="34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</row>
    <row r="156" spans="1:17" ht="34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</row>
    <row r="157" spans="1:17" ht="34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</row>
    <row r="158" spans="1:17" ht="34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</row>
    <row r="159" spans="1:17" ht="34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</row>
    <row r="160" spans="1:17" ht="34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</row>
    <row r="161" spans="1:17" ht="34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</row>
    <row r="162" spans="1:17" ht="34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</row>
    <row r="163" spans="1:17" ht="34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</row>
    <row r="164" spans="1:17" ht="34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</row>
    <row r="165" spans="1:17" ht="34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</row>
    <row r="166" spans="1:17" ht="34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</row>
    <row r="167" spans="1:17" ht="34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</row>
    <row r="168" spans="1:17" ht="34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</row>
    <row r="169" spans="1:17" ht="34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</row>
    <row r="170" spans="1:17" ht="34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</row>
    <row r="171" spans="1:17" ht="34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</row>
    <row r="172" spans="1:17" ht="34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</row>
    <row r="173" spans="1:17" ht="34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</row>
    <row r="174" spans="1:17" ht="34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</row>
    <row r="175" spans="1:17" ht="34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</row>
    <row r="176" spans="1:17" ht="34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</row>
    <row r="177" spans="1:17" ht="34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</row>
    <row r="178" spans="1:17" ht="34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</row>
    <row r="179" spans="1:17" ht="34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</row>
    <row r="180" spans="1:17" ht="34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</row>
    <row r="181" spans="1:17" ht="34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</row>
    <row r="182" spans="1:17" ht="34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</row>
    <row r="183" spans="1:17" ht="34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</row>
    <row r="184" spans="1:17" ht="34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</row>
    <row r="185" spans="1:17" ht="34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</row>
    <row r="186" spans="1:17" ht="34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</row>
    <row r="187" spans="1:17" ht="34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</row>
    <row r="188" spans="1:17" ht="34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</row>
    <row r="189" spans="1:17" ht="34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</row>
    <row r="190" spans="1:17" ht="34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</row>
    <row r="191" spans="1:17" ht="34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</row>
    <row r="192" spans="1:17" ht="34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</row>
    <row r="193" spans="1:17" ht="34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</row>
    <row r="194" spans="1:17" ht="34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</row>
    <row r="195" spans="1:17" ht="34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</row>
    <row r="196" spans="1:17" ht="34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</row>
    <row r="197" spans="1:17" ht="34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</row>
    <row r="198" spans="1:17" ht="34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</row>
    <row r="199" spans="1:17" ht="34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</row>
    <row r="200" spans="1:17" ht="34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</row>
    <row r="201" spans="1:17" ht="34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</row>
    <row r="202" spans="1:17" ht="34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</row>
    <row r="203" spans="1:17" ht="34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</row>
    <row r="204" spans="1:17" ht="34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</row>
    <row r="205" spans="1:17" ht="34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</row>
    <row r="206" spans="1:17" ht="34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</row>
    <row r="207" spans="1:17" ht="34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</row>
    <row r="208" spans="1:17" ht="34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</row>
    <row r="209" spans="1:17" ht="34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</row>
    <row r="210" spans="1:17" ht="34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</row>
    <row r="211" spans="1:17" ht="34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</row>
    <row r="212" spans="1:17" ht="34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</row>
    <row r="213" spans="1:17" ht="34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</row>
    <row r="214" spans="1:17" ht="34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</row>
    <row r="215" spans="1:17" ht="34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</row>
    <row r="216" spans="1:17" ht="34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</row>
    <row r="217" spans="1:17" ht="34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</row>
    <row r="218" spans="1:17" ht="34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</row>
    <row r="219" spans="1:17" ht="34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</row>
    <row r="220" spans="1:17" ht="34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</row>
    <row r="221" spans="1:17" ht="34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</row>
    <row r="222" spans="1:17" ht="34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</row>
    <row r="223" spans="1:17" ht="34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</row>
    <row r="224" spans="1:17" ht="34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</row>
    <row r="225" spans="1:17" ht="34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</row>
    <row r="226" spans="1:17" ht="34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</row>
    <row r="227" spans="1:17" ht="34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</row>
    <row r="228" spans="1:17" ht="34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</row>
    <row r="229" spans="1:17" ht="34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</row>
    <row r="230" spans="1:17" ht="34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</row>
    <row r="231" spans="1:17" ht="34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</row>
    <row r="232" spans="1:17" ht="34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</row>
    <row r="233" spans="1:17" ht="34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</row>
    <row r="234" spans="1:17" ht="34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</row>
    <row r="235" spans="1:17" ht="34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</row>
    <row r="236" spans="1:17" ht="34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</row>
    <row r="237" spans="1:17" ht="34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</row>
    <row r="238" spans="1:17" ht="34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</row>
    <row r="239" spans="1:17" ht="34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</row>
    <row r="240" spans="1:17" ht="34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</row>
    <row r="241" spans="1:17" ht="34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</row>
    <row r="242" spans="1:17" ht="34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</row>
    <row r="243" spans="1:17" ht="34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</row>
    <row r="244" spans="1:17" ht="34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</row>
    <row r="245" spans="1:17" ht="34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</row>
    <row r="246" spans="1:17" ht="34.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</row>
    <row r="247" spans="1:17" ht="34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</row>
    <row r="248" spans="1:17" ht="34.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</row>
    <row r="249" spans="1:17" ht="34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</row>
    <row r="250" spans="1:17" ht="34.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</row>
    <row r="251" spans="1:17" ht="34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</row>
    <row r="252" spans="1:17" ht="34.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</row>
    <row r="253" spans="1:17" ht="34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</row>
    <row r="254" spans="1:17" ht="34.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</row>
    <row r="255" spans="1:17" ht="34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</row>
    <row r="256" spans="1:17" ht="34.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</row>
    <row r="257" spans="1:17" ht="34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</row>
    <row r="258" spans="1:17" ht="34.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</row>
    <row r="259" spans="1:17" ht="34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</row>
    <row r="260" spans="1:17" ht="34.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</row>
    <row r="261" spans="1:17" ht="34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</row>
    <row r="262" spans="1:17" ht="34.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</row>
    <row r="263" spans="1:17" ht="34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</row>
    <row r="264" spans="1:17" ht="34.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</row>
    <row r="265" spans="1:17" ht="34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</row>
    <row r="266" spans="1:17" ht="34.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</row>
    <row r="267" spans="1:17" ht="34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</row>
    <row r="268" spans="1:17" ht="34.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</row>
    <row r="269" spans="1:17" ht="34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</row>
    <row r="270" spans="1:17" ht="34.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</row>
    <row r="271" spans="1:17" ht="34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</row>
    <row r="272" spans="1:17" ht="34.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</row>
    <row r="273" spans="1:17" ht="34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</row>
    <row r="274" spans="1:17" ht="34.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</row>
    <row r="275" spans="1:17" ht="34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</row>
    <row r="276" spans="1:17" ht="34.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</row>
    <row r="277" spans="1:17" ht="34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</row>
    <row r="278" spans="1:17" ht="34.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</row>
    <row r="279" spans="1:17" ht="34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</row>
    <row r="280" spans="1:17" ht="34.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</row>
    <row r="281" spans="1:17" ht="34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</row>
    <row r="282" spans="1:17" ht="34.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</row>
    <row r="283" spans="1:17" ht="34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</row>
    <row r="284" spans="1:17" ht="34.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</row>
    <row r="285" spans="1:17" ht="34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</row>
    <row r="286" spans="1:17" ht="34.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</row>
    <row r="287" spans="1:17" ht="34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</row>
    <row r="288" spans="1:17" ht="34.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</row>
    <row r="289" spans="1:17" ht="34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</row>
    <row r="290" spans="1:17" ht="34.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</row>
    <row r="291" spans="1:17" ht="34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</row>
    <row r="292" spans="1:17" ht="34.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</row>
    <row r="293" spans="1:17" ht="34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</row>
    <row r="294" spans="1:17" ht="34.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</row>
    <row r="295" spans="1:17" ht="34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</row>
    <row r="296" spans="1:17" ht="34.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</row>
    <row r="297" spans="1:17" ht="34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</row>
    <row r="298" spans="1:17" ht="34.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</row>
    <row r="299" spans="1:17" ht="34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</row>
    <row r="300" spans="1:17" ht="34.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</row>
    <row r="301" spans="1:17" ht="34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</row>
    <row r="302" spans="1:17" ht="34.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</row>
    <row r="303" spans="1:17" ht="34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</row>
  </sheetData>
  <mergeCells count="2">
    <mergeCell ref="A2:Q2"/>
    <mergeCell ref="A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78"/>
  <sheetViews>
    <sheetView tabSelected="1" topLeftCell="A57" zoomScale="55" zoomScaleNormal="55" workbookViewId="0">
      <selection activeCell="G84" sqref="G84"/>
    </sheetView>
  </sheetViews>
  <sheetFormatPr defaultColWidth="8.6328125" defaultRowHeight="14.5"/>
  <cols>
    <col min="1" max="1" width="8" customWidth="1"/>
    <col min="2" max="2" width="62.6328125" customWidth="1"/>
    <col min="3" max="3" width="8" customWidth="1"/>
    <col min="4" max="4" width="56.6328125" customWidth="1"/>
    <col min="5" max="5" width="10" customWidth="1"/>
    <col min="6" max="6" width="18" customWidth="1"/>
    <col min="7" max="7" width="55" customWidth="1"/>
    <col min="18" max="18" width="18" customWidth="1"/>
  </cols>
  <sheetData>
    <row r="1" spans="1:18" ht="51.75" customHeight="1">
      <c r="A1" s="109" t="s">
        <v>0</v>
      </c>
      <c r="B1" s="106"/>
      <c r="C1" s="106"/>
      <c r="D1" s="106"/>
      <c r="E1" s="106"/>
      <c r="F1" s="106"/>
      <c r="G1" s="107"/>
    </row>
    <row r="2" spans="1:18" ht="19.5" customHeight="1">
      <c r="A2" s="105" t="s">
        <v>1</v>
      </c>
      <c r="B2" s="106"/>
      <c r="C2" s="106"/>
      <c r="D2" s="106"/>
      <c r="E2" s="106"/>
      <c r="F2" s="106"/>
      <c r="G2" s="107"/>
    </row>
    <row r="3" spans="1:18" ht="24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R3" s="23" t="s">
        <v>9</v>
      </c>
    </row>
    <row r="4" spans="1:18" ht="59.25" customHeight="1">
      <c r="A4" s="99" t="s">
        <v>10</v>
      </c>
      <c r="B4" s="108" t="s">
        <v>11</v>
      </c>
      <c r="C4" s="99" t="s">
        <v>12</v>
      </c>
      <c r="D4" s="108" t="s">
        <v>13</v>
      </c>
      <c r="E4" s="24" t="s">
        <v>14</v>
      </c>
      <c r="F4" s="24" t="s">
        <v>15</v>
      </c>
      <c r="G4" s="24" t="s">
        <v>16</v>
      </c>
      <c r="R4" s="25" t="s">
        <v>17</v>
      </c>
    </row>
    <row r="5" spans="1:18" ht="30" customHeight="1">
      <c r="A5" s="97"/>
      <c r="B5" s="103"/>
      <c r="C5" s="97"/>
      <c r="D5" s="103"/>
      <c r="E5" s="24" t="s">
        <v>18</v>
      </c>
      <c r="F5" s="24" t="s">
        <v>19</v>
      </c>
      <c r="G5" s="24" t="s">
        <v>20</v>
      </c>
      <c r="R5" s="25" t="s">
        <v>15</v>
      </c>
    </row>
    <row r="6" spans="1:18" ht="30" customHeight="1">
      <c r="A6" s="97"/>
      <c r="B6" s="103"/>
      <c r="C6" s="97"/>
      <c r="D6" s="103"/>
      <c r="E6" s="24" t="s">
        <v>21</v>
      </c>
      <c r="F6" s="24" t="s">
        <v>15</v>
      </c>
      <c r="G6" s="24" t="s">
        <v>22</v>
      </c>
      <c r="R6" s="25" t="s">
        <v>19</v>
      </c>
    </row>
    <row r="7" spans="1:18" ht="30" customHeight="1">
      <c r="A7" s="97"/>
      <c r="B7" s="103"/>
      <c r="C7" s="97"/>
      <c r="D7" s="103"/>
      <c r="E7" s="24" t="s">
        <v>23</v>
      </c>
      <c r="F7" s="24" t="s">
        <v>19</v>
      </c>
      <c r="G7" s="24" t="s">
        <v>24</v>
      </c>
      <c r="R7" s="25" t="s">
        <v>25</v>
      </c>
    </row>
    <row r="8" spans="1:18" ht="30" customHeight="1">
      <c r="A8" s="97"/>
      <c r="B8" s="103"/>
      <c r="C8" s="98"/>
      <c r="D8" s="104"/>
      <c r="E8" s="24" t="s">
        <v>26</v>
      </c>
      <c r="F8" s="24" t="s">
        <v>27</v>
      </c>
      <c r="G8" s="24" t="s">
        <v>1295</v>
      </c>
      <c r="R8" s="25" t="s">
        <v>28</v>
      </c>
    </row>
    <row r="9" spans="1:18" ht="30" customHeight="1">
      <c r="A9" s="97"/>
      <c r="B9" s="103"/>
      <c r="C9" s="99" t="s">
        <v>29</v>
      </c>
      <c r="D9" s="108" t="s">
        <v>30</v>
      </c>
      <c r="E9" s="24" t="s">
        <v>31</v>
      </c>
      <c r="F9" s="24" t="s">
        <v>32</v>
      </c>
      <c r="G9" s="24" t="s">
        <v>1296</v>
      </c>
      <c r="R9" s="25" t="s">
        <v>27</v>
      </c>
    </row>
    <row r="10" spans="1:18" ht="30" customHeight="1">
      <c r="A10" s="97"/>
      <c r="B10" s="103"/>
      <c r="C10" s="97"/>
      <c r="D10" s="103"/>
      <c r="E10" s="24" t="s">
        <v>33</v>
      </c>
      <c r="F10" s="24" t="s">
        <v>27</v>
      </c>
      <c r="G10" s="24" t="s">
        <v>34</v>
      </c>
      <c r="R10" s="25" t="s">
        <v>35</v>
      </c>
    </row>
    <row r="11" spans="1:18" ht="30" customHeight="1">
      <c r="A11" s="97"/>
      <c r="B11" s="103"/>
      <c r="C11" s="97"/>
      <c r="D11" s="103"/>
      <c r="E11" s="24" t="s">
        <v>36</v>
      </c>
      <c r="F11" s="24"/>
      <c r="G11" s="24"/>
      <c r="R11" s="25" t="s">
        <v>38</v>
      </c>
    </row>
    <row r="12" spans="1:18" ht="30" customHeight="1">
      <c r="A12" s="97"/>
      <c r="B12" s="103"/>
      <c r="C12" s="97"/>
      <c r="D12" s="103"/>
      <c r="E12" s="24" t="s">
        <v>39</v>
      </c>
      <c r="F12" s="24" t="s">
        <v>38</v>
      </c>
      <c r="G12" s="24" t="s">
        <v>40</v>
      </c>
      <c r="R12" s="25" t="s">
        <v>41</v>
      </c>
    </row>
    <row r="13" spans="1:18" ht="30" customHeight="1">
      <c r="A13" s="97"/>
      <c r="B13" s="103"/>
      <c r="C13" s="98"/>
      <c r="D13" s="104"/>
      <c r="E13" s="24" t="s">
        <v>42</v>
      </c>
      <c r="F13" s="24"/>
      <c r="G13" s="24"/>
      <c r="R13" s="25" t="s">
        <v>43</v>
      </c>
    </row>
    <row r="14" spans="1:18" ht="30" customHeight="1">
      <c r="A14" s="97"/>
      <c r="B14" s="103"/>
      <c r="C14" s="99" t="s">
        <v>44</v>
      </c>
      <c r="D14" s="108" t="s">
        <v>45</v>
      </c>
      <c r="E14" s="24" t="s">
        <v>46</v>
      </c>
      <c r="F14" s="24" t="s">
        <v>19</v>
      </c>
      <c r="G14" s="24" t="s">
        <v>47</v>
      </c>
      <c r="R14" s="25" t="s">
        <v>48</v>
      </c>
    </row>
    <row r="15" spans="1:18" ht="30" customHeight="1">
      <c r="A15" s="97"/>
      <c r="B15" s="103"/>
      <c r="C15" s="97"/>
      <c r="D15" s="103"/>
      <c r="E15" s="24" t="s">
        <v>49</v>
      </c>
      <c r="F15" s="24" t="s">
        <v>35</v>
      </c>
      <c r="G15" s="24" t="s">
        <v>1297</v>
      </c>
      <c r="R15" s="25" t="s">
        <v>50</v>
      </c>
    </row>
    <row r="16" spans="1:18" ht="30" customHeight="1">
      <c r="A16" s="97"/>
      <c r="B16" s="103"/>
      <c r="C16" s="97"/>
      <c r="D16" s="103"/>
      <c r="E16" s="24" t="s">
        <v>51</v>
      </c>
      <c r="F16" s="24" t="s">
        <v>19</v>
      </c>
      <c r="G16" s="24" t="s">
        <v>1298</v>
      </c>
      <c r="R16" s="25" t="s">
        <v>53</v>
      </c>
    </row>
    <row r="17" spans="1:18" ht="30" customHeight="1">
      <c r="A17" s="97"/>
      <c r="B17" s="103"/>
      <c r="C17" s="97"/>
      <c r="D17" s="103"/>
      <c r="E17" s="24" t="s">
        <v>54</v>
      </c>
      <c r="F17" s="24" t="s">
        <v>19</v>
      </c>
      <c r="G17" s="24" t="s">
        <v>55</v>
      </c>
      <c r="R17" s="25" t="s">
        <v>32</v>
      </c>
    </row>
    <row r="18" spans="1:18" ht="30" customHeight="1">
      <c r="A18" s="97"/>
      <c r="B18" s="103"/>
      <c r="C18" s="98"/>
      <c r="D18" s="104"/>
      <c r="E18" s="24" t="s">
        <v>56</v>
      </c>
      <c r="F18" s="24" t="s">
        <v>19</v>
      </c>
      <c r="G18" s="24" t="s">
        <v>57</v>
      </c>
      <c r="R18" s="25" t="s">
        <v>58</v>
      </c>
    </row>
    <row r="19" spans="1:18" ht="30" customHeight="1">
      <c r="A19" s="97"/>
      <c r="B19" s="103"/>
      <c r="C19" s="99" t="s">
        <v>59</v>
      </c>
      <c r="D19" s="108" t="s">
        <v>60</v>
      </c>
      <c r="E19" s="24" t="s">
        <v>61</v>
      </c>
      <c r="F19" s="24" t="s">
        <v>41</v>
      </c>
      <c r="G19" s="24" t="s">
        <v>1299</v>
      </c>
      <c r="R19" s="25" t="s">
        <v>62</v>
      </c>
    </row>
    <row r="20" spans="1:18" ht="30" customHeight="1">
      <c r="A20" s="97"/>
      <c r="B20" s="103"/>
      <c r="C20" s="97"/>
      <c r="D20" s="103"/>
      <c r="E20" s="24" t="s">
        <v>63</v>
      </c>
      <c r="F20" s="24" t="s">
        <v>19</v>
      </c>
      <c r="G20" s="24" t="s">
        <v>64</v>
      </c>
      <c r="R20" s="25" t="s">
        <v>65</v>
      </c>
    </row>
    <row r="21" spans="1:18" ht="30" customHeight="1">
      <c r="A21" s="97"/>
      <c r="B21" s="103"/>
      <c r="C21" s="97"/>
      <c r="D21" s="103"/>
      <c r="E21" s="24" t="s">
        <v>66</v>
      </c>
      <c r="F21" s="24" t="s">
        <v>25</v>
      </c>
      <c r="G21" s="24" t="s">
        <v>67</v>
      </c>
      <c r="R21" s="25" t="s">
        <v>68</v>
      </c>
    </row>
    <row r="22" spans="1:18" ht="30" customHeight="1">
      <c r="A22" s="97"/>
      <c r="B22" s="103"/>
      <c r="C22" s="97"/>
      <c r="D22" s="103"/>
      <c r="E22" s="24" t="s">
        <v>69</v>
      </c>
      <c r="F22" s="24"/>
      <c r="G22" s="24"/>
      <c r="R22" s="25" t="s">
        <v>70</v>
      </c>
    </row>
    <row r="23" spans="1:18" ht="30" customHeight="1">
      <c r="A23" s="97"/>
      <c r="B23" s="103"/>
      <c r="C23" s="98"/>
      <c r="D23" s="104"/>
      <c r="E23" s="24" t="s">
        <v>71</v>
      </c>
      <c r="F23" s="24" t="s">
        <v>48</v>
      </c>
      <c r="G23" s="24" t="s">
        <v>1300</v>
      </c>
      <c r="R23" s="25" t="s">
        <v>72</v>
      </c>
    </row>
    <row r="24" spans="1:18" ht="30" customHeight="1">
      <c r="A24" s="97"/>
      <c r="B24" s="103"/>
      <c r="C24" s="99" t="s">
        <v>73</v>
      </c>
      <c r="D24" s="108" t="s">
        <v>74</v>
      </c>
      <c r="E24" s="24" t="s">
        <v>75</v>
      </c>
      <c r="F24" s="24" t="s">
        <v>50</v>
      </c>
      <c r="G24" s="24" t="s">
        <v>1301</v>
      </c>
      <c r="R24" s="9" t="s">
        <v>76</v>
      </c>
    </row>
    <row r="25" spans="1:18" ht="30" customHeight="1">
      <c r="A25" s="97"/>
      <c r="B25" s="103"/>
      <c r="C25" s="97"/>
      <c r="D25" s="103"/>
      <c r="E25" s="24" t="s">
        <v>77</v>
      </c>
      <c r="F25" s="24" t="s">
        <v>38</v>
      </c>
      <c r="G25" s="24" t="s">
        <v>1302</v>
      </c>
    </row>
    <row r="26" spans="1:18" ht="30" customHeight="1">
      <c r="A26" s="97"/>
      <c r="B26" s="103"/>
      <c r="C26" s="97"/>
      <c r="D26" s="103"/>
      <c r="E26" s="24" t="s">
        <v>78</v>
      </c>
      <c r="F26" s="24" t="s">
        <v>43</v>
      </c>
      <c r="G26" s="24" t="s">
        <v>1303</v>
      </c>
    </row>
    <row r="27" spans="1:18" ht="30" customHeight="1">
      <c r="A27" s="97"/>
      <c r="B27" s="103"/>
      <c r="C27" s="97"/>
      <c r="D27" s="103"/>
      <c r="E27" s="24" t="s">
        <v>79</v>
      </c>
      <c r="F27" s="24" t="s">
        <v>19</v>
      </c>
      <c r="G27" s="24" t="s">
        <v>80</v>
      </c>
    </row>
    <row r="28" spans="1:18" ht="30" customHeight="1">
      <c r="A28" s="98"/>
      <c r="B28" s="104"/>
      <c r="C28" s="98"/>
      <c r="D28" s="104"/>
      <c r="E28" s="24" t="s">
        <v>81</v>
      </c>
      <c r="F28" s="24" t="s">
        <v>48</v>
      </c>
      <c r="G28" s="24" t="s">
        <v>82</v>
      </c>
    </row>
    <row r="29" spans="1:18" ht="51" customHeight="1">
      <c r="A29" s="96" t="s">
        <v>83</v>
      </c>
      <c r="B29" s="96" t="s">
        <v>84</v>
      </c>
      <c r="C29" s="96" t="s">
        <v>85</v>
      </c>
      <c r="D29" s="102" t="s">
        <v>86</v>
      </c>
      <c r="E29" s="26" t="s">
        <v>87</v>
      </c>
      <c r="F29" s="26" t="s">
        <v>15</v>
      </c>
      <c r="G29" s="26" t="s">
        <v>88</v>
      </c>
    </row>
    <row r="30" spans="1:18" ht="30" customHeight="1">
      <c r="A30" s="97"/>
      <c r="B30" s="97"/>
      <c r="C30" s="97"/>
      <c r="D30" s="103"/>
      <c r="E30" s="26" t="s">
        <v>89</v>
      </c>
      <c r="F30" s="26" t="s">
        <v>35</v>
      </c>
      <c r="G30" s="26" t="s">
        <v>1304</v>
      </c>
    </row>
    <row r="31" spans="1:18" ht="30" customHeight="1">
      <c r="A31" s="97"/>
      <c r="B31" s="97"/>
      <c r="C31" s="97"/>
      <c r="D31" s="103"/>
      <c r="E31" s="26" t="s">
        <v>90</v>
      </c>
      <c r="F31" s="26" t="s">
        <v>19</v>
      </c>
      <c r="G31" s="26" t="s">
        <v>91</v>
      </c>
    </row>
    <row r="32" spans="1:18" ht="30" customHeight="1">
      <c r="A32" s="97"/>
      <c r="B32" s="97"/>
      <c r="C32" s="97"/>
      <c r="D32" s="103"/>
      <c r="E32" s="26" t="s">
        <v>92</v>
      </c>
      <c r="F32" s="26" t="s">
        <v>25</v>
      </c>
      <c r="G32" s="26" t="s">
        <v>93</v>
      </c>
    </row>
    <row r="33" spans="1:7" ht="30" customHeight="1">
      <c r="A33" s="97"/>
      <c r="B33" s="97"/>
      <c r="C33" s="98"/>
      <c r="D33" s="104"/>
      <c r="E33" s="26" t="s">
        <v>94</v>
      </c>
      <c r="F33" s="26" t="s">
        <v>15</v>
      </c>
      <c r="G33" s="26" t="s">
        <v>95</v>
      </c>
    </row>
    <row r="34" spans="1:7" ht="30" customHeight="1">
      <c r="A34" s="97"/>
      <c r="B34" s="97"/>
      <c r="C34" s="96" t="s">
        <v>96</v>
      </c>
      <c r="D34" s="102" t="s">
        <v>97</v>
      </c>
      <c r="E34" s="26" t="s">
        <v>98</v>
      </c>
      <c r="F34" s="26"/>
      <c r="G34" s="26"/>
    </row>
    <row r="35" spans="1:7" ht="30" customHeight="1">
      <c r="A35" s="97"/>
      <c r="B35" s="97"/>
      <c r="C35" s="97"/>
      <c r="D35" s="103"/>
      <c r="E35" s="26" t="s">
        <v>99</v>
      </c>
      <c r="F35" s="26" t="s">
        <v>62</v>
      </c>
      <c r="G35" s="26" t="s">
        <v>1305</v>
      </c>
    </row>
    <row r="36" spans="1:7" ht="30" customHeight="1">
      <c r="A36" s="97"/>
      <c r="B36" s="97"/>
      <c r="C36" s="97"/>
      <c r="D36" s="103"/>
      <c r="E36" s="26" t="s">
        <v>100</v>
      </c>
      <c r="F36" s="26" t="s">
        <v>58</v>
      </c>
      <c r="G36" s="26" t="s">
        <v>1306</v>
      </c>
    </row>
    <row r="37" spans="1:7" ht="30" customHeight="1">
      <c r="A37" s="97"/>
      <c r="B37" s="97"/>
      <c r="C37" s="97"/>
      <c r="D37" s="103"/>
      <c r="E37" s="26" t="s">
        <v>101</v>
      </c>
      <c r="F37" s="26" t="s">
        <v>27</v>
      </c>
      <c r="G37" s="26" t="s">
        <v>102</v>
      </c>
    </row>
    <row r="38" spans="1:7" ht="30" customHeight="1">
      <c r="A38" s="97"/>
      <c r="B38" s="97"/>
      <c r="C38" s="98"/>
      <c r="D38" s="104"/>
      <c r="E38" s="26" t="s">
        <v>103</v>
      </c>
      <c r="F38" s="26" t="s">
        <v>50</v>
      </c>
      <c r="G38" s="26" t="s">
        <v>104</v>
      </c>
    </row>
    <row r="39" spans="1:7" ht="30" customHeight="1">
      <c r="A39" s="97"/>
      <c r="B39" s="97"/>
      <c r="C39" s="96" t="s">
        <v>105</v>
      </c>
      <c r="D39" s="102" t="s">
        <v>106</v>
      </c>
      <c r="E39" s="26" t="s">
        <v>107</v>
      </c>
      <c r="F39" s="26"/>
      <c r="G39" s="26"/>
    </row>
    <row r="40" spans="1:7" ht="30" customHeight="1">
      <c r="A40" s="97"/>
      <c r="B40" s="97"/>
      <c r="C40" s="97"/>
      <c r="D40" s="103"/>
      <c r="E40" s="26" t="s">
        <v>108</v>
      </c>
      <c r="F40" s="26" t="s">
        <v>25</v>
      </c>
      <c r="G40" s="26" t="s">
        <v>93</v>
      </c>
    </row>
    <row r="41" spans="1:7" ht="30" customHeight="1">
      <c r="A41" s="97"/>
      <c r="B41" s="97"/>
      <c r="C41" s="97"/>
      <c r="D41" s="103"/>
      <c r="E41" s="26" t="s">
        <v>109</v>
      </c>
      <c r="F41" s="26"/>
      <c r="G41" s="26"/>
    </row>
    <row r="42" spans="1:7" ht="30" customHeight="1">
      <c r="A42" s="97"/>
      <c r="B42" s="97"/>
      <c r="C42" s="97"/>
      <c r="D42" s="103"/>
      <c r="E42" s="26" t="s">
        <v>110</v>
      </c>
      <c r="F42" s="26" t="s">
        <v>50</v>
      </c>
      <c r="G42" s="26" t="s">
        <v>111</v>
      </c>
    </row>
    <row r="43" spans="1:7" ht="30" customHeight="1">
      <c r="A43" s="97"/>
      <c r="B43" s="97"/>
      <c r="C43" s="98"/>
      <c r="D43" s="104"/>
      <c r="E43" s="26" t="s">
        <v>112</v>
      </c>
      <c r="F43" s="26" t="s">
        <v>27</v>
      </c>
      <c r="G43" s="26" t="s">
        <v>113</v>
      </c>
    </row>
    <row r="44" spans="1:7" ht="30" customHeight="1">
      <c r="A44" s="97"/>
      <c r="B44" s="97"/>
      <c r="C44" s="96" t="s">
        <v>114</v>
      </c>
      <c r="D44" s="102" t="s">
        <v>115</v>
      </c>
      <c r="E44" s="26" t="s">
        <v>116</v>
      </c>
      <c r="F44" s="26" t="s">
        <v>15</v>
      </c>
      <c r="G44" s="26" t="s">
        <v>117</v>
      </c>
    </row>
    <row r="45" spans="1:7" ht="30" customHeight="1">
      <c r="A45" s="97"/>
      <c r="B45" s="97"/>
      <c r="C45" s="97"/>
      <c r="D45" s="103"/>
      <c r="E45" s="26" t="s">
        <v>118</v>
      </c>
      <c r="F45" s="26" t="s">
        <v>35</v>
      </c>
      <c r="G45" s="26" t="s">
        <v>119</v>
      </c>
    </row>
    <row r="46" spans="1:7" ht="30" customHeight="1">
      <c r="A46" s="97"/>
      <c r="B46" s="97"/>
      <c r="C46" s="97"/>
      <c r="D46" s="103"/>
      <c r="E46" s="26" t="s">
        <v>120</v>
      </c>
      <c r="F46" s="26" t="s">
        <v>19</v>
      </c>
      <c r="G46" s="26" t="s">
        <v>121</v>
      </c>
    </row>
    <row r="47" spans="1:7" ht="30" customHeight="1">
      <c r="A47" s="97"/>
      <c r="B47" s="97"/>
      <c r="C47" s="97"/>
      <c r="D47" s="103"/>
      <c r="E47" s="26" t="s">
        <v>122</v>
      </c>
      <c r="F47" s="26" t="s">
        <v>19</v>
      </c>
      <c r="G47" s="26" t="s">
        <v>123</v>
      </c>
    </row>
    <row r="48" spans="1:7" ht="30" customHeight="1">
      <c r="A48" s="97"/>
      <c r="B48" s="97"/>
      <c r="C48" s="98"/>
      <c r="D48" s="104"/>
      <c r="E48" s="26" t="s">
        <v>124</v>
      </c>
      <c r="F48" s="26"/>
      <c r="G48" s="26"/>
    </row>
    <row r="49" spans="1:7" ht="30" customHeight="1">
      <c r="A49" s="97"/>
      <c r="B49" s="97"/>
      <c r="C49" s="96" t="s">
        <v>125</v>
      </c>
      <c r="D49" s="102" t="s">
        <v>126</v>
      </c>
      <c r="E49" s="26" t="s">
        <v>127</v>
      </c>
      <c r="F49" s="26" t="s">
        <v>15</v>
      </c>
      <c r="G49" s="26" t="s">
        <v>128</v>
      </c>
    </row>
    <row r="50" spans="1:7" ht="30" customHeight="1">
      <c r="A50" s="97"/>
      <c r="B50" s="97"/>
      <c r="C50" s="97"/>
      <c r="D50" s="103"/>
      <c r="E50" s="26" t="s">
        <v>129</v>
      </c>
      <c r="F50" s="26" t="s">
        <v>43</v>
      </c>
      <c r="G50" s="26" t="s">
        <v>130</v>
      </c>
    </row>
    <row r="51" spans="1:7" ht="30" customHeight="1">
      <c r="A51" s="97"/>
      <c r="B51" s="97"/>
      <c r="C51" s="97"/>
      <c r="D51" s="103"/>
      <c r="E51" s="26" t="s">
        <v>131</v>
      </c>
      <c r="F51" s="26" t="s">
        <v>19</v>
      </c>
      <c r="G51" s="26" t="s">
        <v>132</v>
      </c>
    </row>
    <row r="52" spans="1:7" ht="30" customHeight="1">
      <c r="A52" s="97"/>
      <c r="B52" s="97"/>
      <c r="C52" s="97"/>
      <c r="D52" s="103"/>
      <c r="E52" s="26" t="s">
        <v>133</v>
      </c>
      <c r="F52" s="26" t="s">
        <v>19</v>
      </c>
      <c r="G52" s="26" t="s">
        <v>134</v>
      </c>
    </row>
    <row r="53" spans="1:7" ht="30" customHeight="1">
      <c r="A53" s="98"/>
      <c r="B53" s="98"/>
      <c r="C53" s="98"/>
      <c r="D53" s="104"/>
      <c r="E53" s="26" t="s">
        <v>135</v>
      </c>
      <c r="F53" s="26" t="s">
        <v>27</v>
      </c>
      <c r="G53" s="26" t="s">
        <v>1307</v>
      </c>
    </row>
    <row r="54" spans="1:7" ht="49.5" customHeight="1">
      <c r="A54" s="99" t="s">
        <v>136</v>
      </c>
      <c r="B54" s="99" t="s">
        <v>137</v>
      </c>
      <c r="C54" s="99" t="s">
        <v>138</v>
      </c>
      <c r="D54" s="108" t="s">
        <v>139</v>
      </c>
      <c r="E54" s="24" t="s">
        <v>140</v>
      </c>
      <c r="F54" s="24" t="s">
        <v>15</v>
      </c>
      <c r="G54" s="24" t="s">
        <v>141</v>
      </c>
    </row>
    <row r="55" spans="1:7" ht="30" customHeight="1">
      <c r="A55" s="97"/>
      <c r="B55" s="97"/>
      <c r="C55" s="97"/>
      <c r="D55" s="103"/>
      <c r="E55" s="24" t="s">
        <v>142</v>
      </c>
      <c r="F55" s="24" t="s">
        <v>65</v>
      </c>
      <c r="G55" s="24" t="s">
        <v>1308</v>
      </c>
    </row>
    <row r="56" spans="1:7" ht="30" customHeight="1">
      <c r="A56" s="97"/>
      <c r="B56" s="97"/>
      <c r="C56" s="97"/>
      <c r="D56" s="103"/>
      <c r="E56" s="24" t="s">
        <v>143</v>
      </c>
      <c r="F56" s="24" t="s">
        <v>19</v>
      </c>
      <c r="G56" s="24" t="s">
        <v>144</v>
      </c>
    </row>
    <row r="57" spans="1:7" ht="30" customHeight="1">
      <c r="A57" s="97"/>
      <c r="B57" s="97"/>
      <c r="C57" s="97"/>
      <c r="D57" s="103"/>
      <c r="E57" s="24" t="s">
        <v>145</v>
      </c>
      <c r="F57" s="24" t="s">
        <v>15</v>
      </c>
      <c r="G57" s="24" t="s">
        <v>146</v>
      </c>
    </row>
    <row r="58" spans="1:7" ht="30" customHeight="1">
      <c r="A58" s="97"/>
      <c r="B58" s="97"/>
      <c r="C58" s="98"/>
      <c r="D58" s="104"/>
      <c r="E58" s="24" t="s">
        <v>147</v>
      </c>
      <c r="F58" s="24" t="s">
        <v>15</v>
      </c>
      <c r="G58" s="24" t="s">
        <v>148</v>
      </c>
    </row>
    <row r="59" spans="1:7" ht="30" customHeight="1">
      <c r="A59" s="97"/>
      <c r="B59" s="97"/>
      <c r="C59" s="99" t="s">
        <v>149</v>
      </c>
      <c r="D59" s="108" t="s">
        <v>150</v>
      </c>
      <c r="E59" s="24" t="s">
        <v>151</v>
      </c>
      <c r="F59" s="24" t="s">
        <v>48</v>
      </c>
      <c r="G59" s="24" t="s">
        <v>1309</v>
      </c>
    </row>
    <row r="60" spans="1:7" ht="30" customHeight="1">
      <c r="A60" s="97"/>
      <c r="B60" s="97"/>
      <c r="C60" s="97"/>
      <c r="D60" s="103"/>
      <c r="E60" s="24" t="s">
        <v>152</v>
      </c>
      <c r="F60" s="24" t="s">
        <v>41</v>
      </c>
      <c r="G60" s="24" t="s">
        <v>1310</v>
      </c>
    </row>
    <row r="61" spans="1:7" ht="30" customHeight="1">
      <c r="A61" s="97"/>
      <c r="B61" s="97"/>
      <c r="C61" s="97"/>
      <c r="D61" s="103"/>
      <c r="E61" s="24" t="s">
        <v>153</v>
      </c>
      <c r="F61" s="24" t="s">
        <v>25</v>
      </c>
      <c r="G61" s="24" t="s">
        <v>154</v>
      </c>
    </row>
    <row r="62" spans="1:7" ht="30" customHeight="1">
      <c r="A62" s="97"/>
      <c r="B62" s="97"/>
      <c r="C62" s="97"/>
      <c r="D62" s="103"/>
      <c r="E62" s="24" t="s">
        <v>155</v>
      </c>
      <c r="F62" s="24"/>
      <c r="G62" s="24"/>
    </row>
    <row r="63" spans="1:7" ht="30" customHeight="1">
      <c r="A63" s="97"/>
      <c r="B63" s="97"/>
      <c r="C63" s="98"/>
      <c r="D63" s="104"/>
      <c r="E63" s="24" t="s">
        <v>156</v>
      </c>
      <c r="F63" s="24" t="s">
        <v>19</v>
      </c>
      <c r="G63" s="24" t="s">
        <v>157</v>
      </c>
    </row>
    <row r="64" spans="1:7" ht="30" customHeight="1">
      <c r="A64" s="97"/>
      <c r="B64" s="97"/>
      <c r="C64" s="99" t="s">
        <v>158</v>
      </c>
      <c r="D64" s="108" t="s">
        <v>159</v>
      </c>
      <c r="E64" s="24" t="s">
        <v>160</v>
      </c>
      <c r="F64" s="24" t="s">
        <v>32</v>
      </c>
      <c r="G64" s="24" t="s">
        <v>1311</v>
      </c>
    </row>
    <row r="65" spans="1:7" ht="30" customHeight="1">
      <c r="A65" s="97"/>
      <c r="B65" s="97"/>
      <c r="C65" s="97"/>
      <c r="D65" s="103"/>
      <c r="E65" s="24" t="s">
        <v>161</v>
      </c>
      <c r="F65" s="24"/>
      <c r="G65" s="24"/>
    </row>
    <row r="66" spans="1:7" ht="30" customHeight="1">
      <c r="A66" s="97"/>
      <c r="B66" s="97"/>
      <c r="C66" s="97"/>
      <c r="D66" s="103"/>
      <c r="E66" s="24" t="s">
        <v>162</v>
      </c>
      <c r="F66" s="24" t="s">
        <v>19</v>
      </c>
      <c r="G66" s="24" t="s">
        <v>163</v>
      </c>
    </row>
    <row r="67" spans="1:7" ht="30" customHeight="1">
      <c r="A67" s="97"/>
      <c r="B67" s="97"/>
      <c r="C67" s="97"/>
      <c r="D67" s="103"/>
      <c r="E67" s="24" t="s">
        <v>164</v>
      </c>
      <c r="F67" s="24"/>
      <c r="G67" s="24"/>
    </row>
    <row r="68" spans="1:7" ht="30" customHeight="1">
      <c r="A68" s="97"/>
      <c r="B68" s="97"/>
      <c r="C68" s="98"/>
      <c r="D68" s="104"/>
      <c r="E68" s="24" t="s">
        <v>165</v>
      </c>
      <c r="F68" s="24" t="s">
        <v>38</v>
      </c>
      <c r="G68" s="24" t="s">
        <v>1312</v>
      </c>
    </row>
    <row r="69" spans="1:7" ht="30" customHeight="1">
      <c r="A69" s="97"/>
      <c r="B69" s="97"/>
      <c r="C69" s="99" t="s">
        <v>166</v>
      </c>
      <c r="D69" s="108" t="s">
        <v>167</v>
      </c>
      <c r="E69" s="24" t="s">
        <v>168</v>
      </c>
      <c r="F69" s="24" t="s">
        <v>27</v>
      </c>
      <c r="G69" s="24" t="s">
        <v>169</v>
      </c>
    </row>
    <row r="70" spans="1:7" ht="30" customHeight="1">
      <c r="A70" s="97"/>
      <c r="B70" s="97"/>
      <c r="C70" s="97"/>
      <c r="D70" s="103"/>
      <c r="E70" s="24" t="s">
        <v>170</v>
      </c>
      <c r="F70" s="24" t="s">
        <v>50</v>
      </c>
      <c r="G70" s="24" t="s">
        <v>1313</v>
      </c>
    </row>
    <row r="71" spans="1:7" ht="30" customHeight="1">
      <c r="A71" s="97"/>
      <c r="B71" s="97"/>
      <c r="C71" s="97"/>
      <c r="D71" s="103"/>
      <c r="E71" s="24" t="s">
        <v>171</v>
      </c>
      <c r="F71" s="24" t="s">
        <v>25</v>
      </c>
      <c r="G71" s="24" t="s">
        <v>154</v>
      </c>
    </row>
    <row r="72" spans="1:7" ht="30" customHeight="1">
      <c r="A72" s="97"/>
      <c r="B72" s="97"/>
      <c r="C72" s="97"/>
      <c r="D72" s="103"/>
      <c r="E72" s="24" t="s">
        <v>172</v>
      </c>
      <c r="F72" s="24" t="s">
        <v>41</v>
      </c>
      <c r="G72" s="24" t="s">
        <v>173</v>
      </c>
    </row>
    <row r="73" spans="1:7" ht="30" customHeight="1">
      <c r="A73" s="97"/>
      <c r="B73" s="97"/>
      <c r="C73" s="98"/>
      <c r="D73" s="104"/>
      <c r="E73" s="24" t="s">
        <v>174</v>
      </c>
      <c r="F73" s="24" t="s">
        <v>53</v>
      </c>
      <c r="G73" s="24" t="s">
        <v>1314</v>
      </c>
    </row>
    <row r="74" spans="1:7" ht="30" customHeight="1">
      <c r="A74" s="97"/>
      <c r="B74" s="97"/>
      <c r="C74" s="99" t="s">
        <v>175</v>
      </c>
      <c r="D74" s="108" t="s">
        <v>176</v>
      </c>
      <c r="E74" s="24" t="s">
        <v>177</v>
      </c>
      <c r="F74" s="24" t="s">
        <v>48</v>
      </c>
      <c r="G74" s="24" t="s">
        <v>1315</v>
      </c>
    </row>
    <row r="75" spans="1:7" ht="30" customHeight="1">
      <c r="A75" s="97"/>
      <c r="B75" s="97"/>
      <c r="C75" s="97"/>
      <c r="D75" s="103"/>
      <c r="E75" s="24" t="s">
        <v>178</v>
      </c>
      <c r="F75" s="24" t="s">
        <v>48</v>
      </c>
      <c r="G75" s="24" t="s">
        <v>1316</v>
      </c>
    </row>
    <row r="76" spans="1:7" ht="30" customHeight="1">
      <c r="A76" s="97"/>
      <c r="B76" s="97"/>
      <c r="C76" s="97"/>
      <c r="D76" s="103"/>
      <c r="E76" s="24" t="s">
        <v>179</v>
      </c>
      <c r="F76" s="24" t="s">
        <v>27</v>
      </c>
      <c r="G76" s="24" t="s">
        <v>1317</v>
      </c>
    </row>
    <row r="77" spans="1:7" ht="30" customHeight="1">
      <c r="A77" s="97"/>
      <c r="B77" s="97"/>
      <c r="C77" s="97"/>
      <c r="D77" s="103"/>
      <c r="E77" s="24" t="s">
        <v>180</v>
      </c>
      <c r="F77" s="24" t="s">
        <v>48</v>
      </c>
      <c r="G77" s="24" t="s">
        <v>1318</v>
      </c>
    </row>
    <row r="78" spans="1:7" ht="30" customHeight="1">
      <c r="A78" s="98"/>
      <c r="B78" s="98"/>
      <c r="C78" s="98"/>
      <c r="D78" s="104"/>
      <c r="E78" s="24" t="s">
        <v>181</v>
      </c>
      <c r="F78" s="24" t="s">
        <v>58</v>
      </c>
      <c r="G78" s="24" t="s">
        <v>1319</v>
      </c>
    </row>
    <row r="79" spans="1:7" ht="50.25" customHeight="1">
      <c r="A79" s="96" t="s">
        <v>182</v>
      </c>
      <c r="B79" s="96" t="s">
        <v>183</v>
      </c>
      <c r="C79" s="96" t="s">
        <v>184</v>
      </c>
      <c r="D79" s="96" t="s">
        <v>185</v>
      </c>
      <c r="E79" s="26" t="s">
        <v>186</v>
      </c>
      <c r="F79" s="26" t="s">
        <v>17</v>
      </c>
      <c r="G79" s="26" t="s">
        <v>187</v>
      </c>
    </row>
    <row r="80" spans="1:7" ht="30" customHeight="1">
      <c r="A80" s="97"/>
      <c r="B80" s="97"/>
      <c r="C80" s="97"/>
      <c r="D80" s="97"/>
      <c r="E80" s="26" t="s">
        <v>188</v>
      </c>
      <c r="F80" s="26" t="s">
        <v>17</v>
      </c>
      <c r="G80" s="26" t="s">
        <v>189</v>
      </c>
    </row>
    <row r="81" spans="1:7" ht="30" customHeight="1">
      <c r="A81" s="97"/>
      <c r="B81" s="97"/>
      <c r="C81" s="97"/>
      <c r="D81" s="97"/>
      <c r="E81" s="26" t="s">
        <v>190</v>
      </c>
      <c r="F81" s="26" t="s">
        <v>17</v>
      </c>
      <c r="G81" s="26" t="s">
        <v>191</v>
      </c>
    </row>
    <row r="82" spans="1:7" ht="30" customHeight="1">
      <c r="A82" s="97"/>
      <c r="B82" s="97"/>
      <c r="C82" s="97"/>
      <c r="D82" s="97"/>
      <c r="E82" s="26" t="s">
        <v>192</v>
      </c>
      <c r="F82" s="26" t="s">
        <v>17</v>
      </c>
      <c r="G82" s="26" t="s">
        <v>193</v>
      </c>
    </row>
    <row r="83" spans="1:7" ht="30" customHeight="1">
      <c r="A83" s="97"/>
      <c r="B83" s="97"/>
      <c r="C83" s="98"/>
      <c r="D83" s="98"/>
      <c r="E83" s="26" t="s">
        <v>194</v>
      </c>
      <c r="F83" s="26"/>
      <c r="G83" s="26"/>
    </row>
    <row r="84" spans="1:7" ht="30" customHeight="1">
      <c r="A84" s="97"/>
      <c r="B84" s="97"/>
      <c r="C84" s="96" t="s">
        <v>195</v>
      </c>
      <c r="D84" s="100"/>
      <c r="E84" s="26" t="s">
        <v>196</v>
      </c>
      <c r="F84" s="26"/>
      <c r="G84" s="26"/>
    </row>
    <row r="85" spans="1:7" ht="30" customHeight="1">
      <c r="A85" s="97"/>
      <c r="B85" s="97"/>
      <c r="C85" s="97"/>
      <c r="D85" s="97"/>
      <c r="E85" s="26" t="s">
        <v>197</v>
      </c>
      <c r="F85" s="26"/>
      <c r="G85" s="26"/>
    </row>
    <row r="86" spans="1:7" ht="30" customHeight="1">
      <c r="A86" s="97"/>
      <c r="B86" s="97"/>
      <c r="C86" s="97"/>
      <c r="D86" s="97"/>
      <c r="E86" s="26" t="s">
        <v>198</v>
      </c>
      <c r="F86" s="26"/>
      <c r="G86" s="26"/>
    </row>
    <row r="87" spans="1:7" ht="30" customHeight="1">
      <c r="A87" s="97"/>
      <c r="B87" s="97"/>
      <c r="C87" s="97"/>
      <c r="D87" s="97"/>
      <c r="E87" s="26" t="s">
        <v>199</v>
      </c>
      <c r="F87" s="26"/>
      <c r="G87" s="26"/>
    </row>
    <row r="88" spans="1:7" ht="30" customHeight="1">
      <c r="A88" s="97"/>
      <c r="B88" s="97"/>
      <c r="C88" s="98"/>
      <c r="D88" s="98"/>
      <c r="E88" s="26" t="s">
        <v>200</v>
      </c>
      <c r="F88" s="26"/>
      <c r="G88" s="26"/>
    </row>
    <row r="89" spans="1:7" ht="30" customHeight="1">
      <c r="A89" s="97"/>
      <c r="B89" s="97"/>
      <c r="C89" s="96" t="s">
        <v>201</v>
      </c>
      <c r="D89" s="100"/>
      <c r="E89" s="26" t="s">
        <v>202</v>
      </c>
      <c r="F89" s="26"/>
      <c r="G89" s="26"/>
    </row>
    <row r="90" spans="1:7" ht="30" customHeight="1">
      <c r="A90" s="97"/>
      <c r="B90" s="97"/>
      <c r="C90" s="97"/>
      <c r="D90" s="97"/>
      <c r="E90" s="26" t="s">
        <v>203</v>
      </c>
      <c r="F90" s="26"/>
      <c r="G90" s="26"/>
    </row>
    <row r="91" spans="1:7" ht="30" customHeight="1">
      <c r="A91" s="97"/>
      <c r="B91" s="97"/>
      <c r="C91" s="97"/>
      <c r="D91" s="97"/>
      <c r="E91" s="26" t="s">
        <v>204</v>
      </c>
      <c r="F91" s="26"/>
      <c r="G91" s="26"/>
    </row>
    <row r="92" spans="1:7" ht="30" customHeight="1">
      <c r="A92" s="97"/>
      <c r="B92" s="97"/>
      <c r="C92" s="97"/>
      <c r="D92" s="97"/>
      <c r="E92" s="26" t="s">
        <v>205</v>
      </c>
      <c r="F92" s="26"/>
      <c r="G92" s="26"/>
    </row>
    <row r="93" spans="1:7" ht="30" customHeight="1">
      <c r="A93" s="97"/>
      <c r="B93" s="97"/>
      <c r="C93" s="98"/>
      <c r="D93" s="98"/>
      <c r="E93" s="26" t="s">
        <v>206</v>
      </c>
      <c r="F93" s="26"/>
      <c r="G93" s="26"/>
    </row>
    <row r="94" spans="1:7" ht="30" customHeight="1">
      <c r="A94" s="97"/>
      <c r="B94" s="97"/>
      <c r="C94" s="96" t="s">
        <v>207</v>
      </c>
      <c r="D94" s="100"/>
      <c r="E94" s="26" t="s">
        <v>208</v>
      </c>
      <c r="F94" s="26"/>
      <c r="G94" s="26"/>
    </row>
    <row r="95" spans="1:7" ht="30" customHeight="1">
      <c r="A95" s="97"/>
      <c r="B95" s="97"/>
      <c r="C95" s="97"/>
      <c r="D95" s="97"/>
      <c r="E95" s="26" t="s">
        <v>209</v>
      </c>
      <c r="F95" s="26"/>
      <c r="G95" s="26"/>
    </row>
    <row r="96" spans="1:7" ht="30" customHeight="1">
      <c r="A96" s="97"/>
      <c r="B96" s="97"/>
      <c r="C96" s="97"/>
      <c r="D96" s="97"/>
      <c r="E96" s="26" t="s">
        <v>210</v>
      </c>
      <c r="F96" s="26"/>
      <c r="G96" s="26"/>
    </row>
    <row r="97" spans="1:7" ht="30" customHeight="1">
      <c r="A97" s="97"/>
      <c r="B97" s="97"/>
      <c r="C97" s="97"/>
      <c r="D97" s="97"/>
      <c r="E97" s="26" t="s">
        <v>211</v>
      </c>
      <c r="F97" s="26"/>
      <c r="G97" s="26"/>
    </row>
    <row r="98" spans="1:7" ht="30" customHeight="1">
      <c r="A98" s="97"/>
      <c r="B98" s="97"/>
      <c r="C98" s="98"/>
      <c r="D98" s="98"/>
      <c r="E98" s="26" t="s">
        <v>212</v>
      </c>
      <c r="F98" s="26"/>
      <c r="G98" s="26"/>
    </row>
    <row r="99" spans="1:7" ht="30" customHeight="1">
      <c r="A99" s="97"/>
      <c r="B99" s="97"/>
      <c r="C99" s="96" t="s">
        <v>213</v>
      </c>
      <c r="D99" s="100"/>
      <c r="E99" s="26" t="s">
        <v>214</v>
      </c>
      <c r="F99" s="26"/>
      <c r="G99" s="26"/>
    </row>
    <row r="100" spans="1:7" ht="30" customHeight="1">
      <c r="A100" s="97"/>
      <c r="B100" s="97"/>
      <c r="C100" s="97"/>
      <c r="D100" s="97"/>
      <c r="E100" s="26" t="s">
        <v>215</v>
      </c>
      <c r="F100" s="26"/>
      <c r="G100" s="26"/>
    </row>
    <row r="101" spans="1:7" ht="30" customHeight="1">
      <c r="A101" s="97"/>
      <c r="B101" s="97"/>
      <c r="C101" s="97"/>
      <c r="D101" s="97"/>
      <c r="E101" s="26" t="s">
        <v>216</v>
      </c>
      <c r="F101" s="26"/>
      <c r="G101" s="26"/>
    </row>
    <row r="102" spans="1:7" ht="30" customHeight="1">
      <c r="A102" s="97"/>
      <c r="B102" s="97"/>
      <c r="C102" s="97"/>
      <c r="D102" s="97"/>
      <c r="E102" s="26" t="s">
        <v>217</v>
      </c>
      <c r="F102" s="26"/>
      <c r="G102" s="26"/>
    </row>
    <row r="103" spans="1:7" ht="30" customHeight="1">
      <c r="A103" s="98"/>
      <c r="B103" s="98"/>
      <c r="C103" s="98"/>
      <c r="D103" s="98"/>
      <c r="E103" s="26" t="s">
        <v>218</v>
      </c>
      <c r="F103" s="26"/>
      <c r="G103" s="26"/>
    </row>
    <row r="104" spans="1:7" ht="30" customHeight="1">
      <c r="A104" s="99" t="s">
        <v>219</v>
      </c>
      <c r="B104" s="101" t="s">
        <v>220</v>
      </c>
      <c r="C104" s="99" t="s">
        <v>221</v>
      </c>
      <c r="D104" s="101" t="s">
        <v>222</v>
      </c>
      <c r="E104" s="24" t="s">
        <v>223</v>
      </c>
      <c r="F104" s="24" t="s">
        <v>35</v>
      </c>
      <c r="G104" s="24" t="s">
        <v>224</v>
      </c>
    </row>
    <row r="105" spans="1:7" ht="30" customHeight="1">
      <c r="A105" s="97"/>
      <c r="B105" s="97"/>
      <c r="C105" s="97"/>
      <c r="D105" s="97"/>
      <c r="E105" s="24" t="s">
        <v>225</v>
      </c>
      <c r="F105" s="24" t="s">
        <v>38</v>
      </c>
      <c r="G105" s="24" t="s">
        <v>226</v>
      </c>
    </row>
    <row r="106" spans="1:7" ht="30" customHeight="1">
      <c r="A106" s="97"/>
      <c r="B106" s="97"/>
      <c r="C106" s="97"/>
      <c r="D106" s="97"/>
      <c r="E106" s="24" t="s">
        <v>227</v>
      </c>
      <c r="F106" s="24" t="s">
        <v>27</v>
      </c>
      <c r="G106" s="24" t="s">
        <v>228</v>
      </c>
    </row>
    <row r="107" spans="1:7" ht="30" customHeight="1">
      <c r="A107" s="97"/>
      <c r="B107" s="97"/>
      <c r="C107" s="97"/>
      <c r="D107" s="97"/>
      <c r="E107" s="24" t="s">
        <v>229</v>
      </c>
      <c r="F107" s="24" t="s">
        <v>28</v>
      </c>
      <c r="G107" s="24" t="s">
        <v>230</v>
      </c>
    </row>
    <row r="108" spans="1:7" ht="30" customHeight="1">
      <c r="A108" s="97"/>
      <c r="B108" s="97"/>
      <c r="C108" s="98"/>
      <c r="D108" s="98"/>
      <c r="E108" s="24" t="s">
        <v>231</v>
      </c>
      <c r="F108" s="24" t="s">
        <v>48</v>
      </c>
      <c r="G108" s="24" t="s">
        <v>232</v>
      </c>
    </row>
    <row r="109" spans="1:7" ht="30" customHeight="1">
      <c r="A109" s="97"/>
      <c r="B109" s="97"/>
      <c r="C109" s="99" t="s">
        <v>233</v>
      </c>
      <c r="D109" s="101" t="s">
        <v>234</v>
      </c>
      <c r="E109" s="24" t="s">
        <v>235</v>
      </c>
      <c r="F109" s="24"/>
      <c r="G109" s="24"/>
    </row>
    <row r="110" spans="1:7" ht="30" customHeight="1">
      <c r="A110" s="97"/>
      <c r="B110" s="97"/>
      <c r="C110" s="97"/>
      <c r="D110" s="97"/>
      <c r="E110" s="24" t="s">
        <v>236</v>
      </c>
      <c r="F110" s="24"/>
      <c r="G110" s="24"/>
    </row>
    <row r="111" spans="1:7" ht="30" customHeight="1">
      <c r="A111" s="97"/>
      <c r="B111" s="97"/>
      <c r="C111" s="97"/>
      <c r="D111" s="97"/>
      <c r="E111" s="24" t="s">
        <v>237</v>
      </c>
      <c r="F111" s="24" t="s">
        <v>25</v>
      </c>
      <c r="G111" s="24" t="s">
        <v>238</v>
      </c>
    </row>
    <row r="112" spans="1:7" ht="30" customHeight="1">
      <c r="A112" s="97"/>
      <c r="B112" s="97"/>
      <c r="C112" s="97"/>
      <c r="D112" s="97"/>
      <c r="E112" s="24" t="s">
        <v>239</v>
      </c>
      <c r="F112" s="24" t="s">
        <v>41</v>
      </c>
      <c r="G112" s="24" t="s">
        <v>240</v>
      </c>
    </row>
    <row r="113" spans="1:7" ht="30" customHeight="1">
      <c r="A113" s="97"/>
      <c r="B113" s="97"/>
      <c r="C113" s="98"/>
      <c r="D113" s="98"/>
      <c r="E113" s="24" t="s">
        <v>241</v>
      </c>
      <c r="F113" s="24" t="s">
        <v>27</v>
      </c>
      <c r="G113" s="24" t="s">
        <v>242</v>
      </c>
    </row>
    <row r="114" spans="1:7" ht="30" customHeight="1">
      <c r="A114" s="97"/>
      <c r="B114" s="97"/>
      <c r="C114" s="99" t="s">
        <v>243</v>
      </c>
      <c r="D114" s="101" t="s">
        <v>244</v>
      </c>
      <c r="E114" s="24" t="s">
        <v>245</v>
      </c>
      <c r="F114" s="24" t="s">
        <v>35</v>
      </c>
      <c r="G114" s="24" t="s">
        <v>246</v>
      </c>
    </row>
    <row r="115" spans="1:7" ht="30" customHeight="1">
      <c r="A115" s="97"/>
      <c r="B115" s="97"/>
      <c r="C115" s="97"/>
      <c r="D115" s="97"/>
      <c r="E115" s="24" t="s">
        <v>247</v>
      </c>
      <c r="F115" s="24" t="s">
        <v>38</v>
      </c>
      <c r="G115" s="24" t="s">
        <v>248</v>
      </c>
    </row>
    <row r="116" spans="1:7" ht="30" customHeight="1">
      <c r="A116" s="97"/>
      <c r="B116" s="97"/>
      <c r="C116" s="97"/>
      <c r="D116" s="97"/>
      <c r="E116" s="24" t="s">
        <v>249</v>
      </c>
      <c r="F116" s="24" t="s">
        <v>43</v>
      </c>
      <c r="G116" s="24" t="s">
        <v>250</v>
      </c>
    </row>
    <row r="117" spans="1:7" ht="30" customHeight="1">
      <c r="A117" s="97"/>
      <c r="B117" s="97"/>
      <c r="C117" s="97"/>
      <c r="D117" s="97"/>
      <c r="E117" s="24" t="s">
        <v>251</v>
      </c>
      <c r="F117" s="24" t="s">
        <v>50</v>
      </c>
      <c r="G117" s="24" t="s">
        <v>252</v>
      </c>
    </row>
    <row r="118" spans="1:7" ht="30" customHeight="1">
      <c r="A118" s="97"/>
      <c r="B118" s="97"/>
      <c r="C118" s="98"/>
      <c r="D118" s="98"/>
      <c r="E118" s="24" t="s">
        <v>253</v>
      </c>
      <c r="F118" s="24" t="s">
        <v>27</v>
      </c>
      <c r="G118" s="24" t="s">
        <v>254</v>
      </c>
    </row>
    <row r="119" spans="1:7" ht="30" customHeight="1">
      <c r="A119" s="97"/>
      <c r="B119" s="97"/>
      <c r="C119" s="99" t="s">
        <v>255</v>
      </c>
      <c r="D119" s="101" t="s">
        <v>256</v>
      </c>
      <c r="E119" s="24" t="s">
        <v>257</v>
      </c>
      <c r="F119" s="24" t="s">
        <v>41</v>
      </c>
      <c r="G119" s="24" t="s">
        <v>258</v>
      </c>
    </row>
    <row r="120" spans="1:7" ht="30" customHeight="1">
      <c r="A120" s="97"/>
      <c r="B120" s="97"/>
      <c r="C120" s="97"/>
      <c r="D120" s="97"/>
      <c r="E120" s="24" t="s">
        <v>259</v>
      </c>
      <c r="F120" s="24" t="s">
        <v>25</v>
      </c>
      <c r="G120" s="24" t="s">
        <v>260</v>
      </c>
    </row>
    <row r="121" spans="1:7" ht="30" customHeight="1">
      <c r="A121" s="97"/>
      <c r="B121" s="97"/>
      <c r="C121" s="97"/>
      <c r="D121" s="97"/>
      <c r="E121" s="24" t="s">
        <v>261</v>
      </c>
      <c r="F121" s="24" t="s">
        <v>28</v>
      </c>
      <c r="G121" s="24" t="s">
        <v>262</v>
      </c>
    </row>
    <row r="122" spans="1:7" ht="30" customHeight="1">
      <c r="A122" s="97"/>
      <c r="B122" s="97"/>
      <c r="C122" s="97"/>
      <c r="D122" s="97"/>
      <c r="E122" s="24" t="s">
        <v>263</v>
      </c>
      <c r="F122" s="24" t="s">
        <v>41</v>
      </c>
      <c r="G122" s="24" t="s">
        <v>264</v>
      </c>
    </row>
    <row r="123" spans="1:7" ht="30" customHeight="1">
      <c r="A123" s="97"/>
      <c r="B123" s="97"/>
      <c r="C123" s="98"/>
      <c r="D123" s="98"/>
      <c r="E123" s="24" t="s">
        <v>265</v>
      </c>
      <c r="F123" s="24" t="s">
        <v>32</v>
      </c>
      <c r="G123" s="24" t="s">
        <v>266</v>
      </c>
    </row>
    <row r="124" spans="1:7" ht="30" customHeight="1">
      <c r="A124" s="97"/>
      <c r="B124" s="97"/>
      <c r="C124" s="99" t="s">
        <v>267</v>
      </c>
      <c r="D124" s="101" t="s">
        <v>268</v>
      </c>
      <c r="E124" s="24" t="s">
        <v>269</v>
      </c>
      <c r="F124" s="24" t="s">
        <v>27</v>
      </c>
      <c r="G124" s="24" t="s">
        <v>270</v>
      </c>
    </row>
    <row r="125" spans="1:7" ht="30" customHeight="1">
      <c r="A125" s="97"/>
      <c r="B125" s="97"/>
      <c r="C125" s="97"/>
      <c r="D125" s="97"/>
      <c r="E125" s="24" t="s">
        <v>271</v>
      </c>
      <c r="F125" s="24" t="s">
        <v>58</v>
      </c>
      <c r="G125" s="24" t="s">
        <v>272</v>
      </c>
    </row>
    <row r="126" spans="1:7" ht="30" customHeight="1">
      <c r="A126" s="97"/>
      <c r="B126" s="97"/>
      <c r="C126" s="97"/>
      <c r="D126" s="97"/>
      <c r="E126" s="24" t="s">
        <v>273</v>
      </c>
      <c r="F126" s="24" t="s">
        <v>38</v>
      </c>
      <c r="G126" s="24" t="s">
        <v>274</v>
      </c>
    </row>
    <row r="127" spans="1:7" ht="30" customHeight="1">
      <c r="A127" s="97"/>
      <c r="B127" s="97"/>
      <c r="C127" s="97"/>
      <c r="D127" s="97"/>
      <c r="E127" s="24" t="s">
        <v>275</v>
      </c>
      <c r="F127" s="24" t="s">
        <v>48</v>
      </c>
      <c r="G127" s="24" t="s">
        <v>276</v>
      </c>
    </row>
    <row r="128" spans="1:7" ht="30" customHeight="1">
      <c r="A128" s="98"/>
      <c r="B128" s="98"/>
      <c r="C128" s="98"/>
      <c r="D128" s="98"/>
      <c r="E128" s="24" t="s">
        <v>277</v>
      </c>
      <c r="F128" s="24" t="s">
        <v>58</v>
      </c>
      <c r="G128" s="24" t="s">
        <v>278</v>
      </c>
    </row>
    <row r="129" spans="1:7" ht="30" customHeight="1">
      <c r="A129" s="96" t="s">
        <v>279</v>
      </c>
      <c r="B129" s="100" t="s">
        <v>280</v>
      </c>
      <c r="C129" s="96" t="s">
        <v>281</v>
      </c>
      <c r="D129" s="100" t="s">
        <v>282</v>
      </c>
      <c r="E129" s="26" t="s">
        <v>283</v>
      </c>
      <c r="F129" s="26" t="s">
        <v>70</v>
      </c>
      <c r="G129" s="26" t="s">
        <v>284</v>
      </c>
    </row>
    <row r="130" spans="1:7" ht="30" customHeight="1">
      <c r="A130" s="97"/>
      <c r="B130" s="97"/>
      <c r="C130" s="97"/>
      <c r="D130" s="97"/>
      <c r="E130" s="26" t="s">
        <v>285</v>
      </c>
      <c r="F130" s="26"/>
      <c r="G130" s="26"/>
    </row>
    <row r="131" spans="1:7" ht="30" customHeight="1">
      <c r="A131" s="97"/>
      <c r="B131" s="97"/>
      <c r="C131" s="97"/>
      <c r="D131" s="97"/>
      <c r="E131" s="26" t="s">
        <v>286</v>
      </c>
      <c r="F131" s="26" t="s">
        <v>25</v>
      </c>
      <c r="G131" s="26" t="s">
        <v>287</v>
      </c>
    </row>
    <row r="132" spans="1:7" ht="30" customHeight="1">
      <c r="A132" s="97"/>
      <c r="B132" s="97"/>
      <c r="C132" s="97"/>
      <c r="D132" s="97"/>
      <c r="E132" s="26" t="s">
        <v>288</v>
      </c>
      <c r="F132" s="26" t="s">
        <v>28</v>
      </c>
      <c r="G132" s="26" t="s">
        <v>289</v>
      </c>
    </row>
    <row r="133" spans="1:7" ht="30" customHeight="1">
      <c r="A133" s="97"/>
      <c r="B133" s="97"/>
      <c r="C133" s="98"/>
      <c r="D133" s="98"/>
      <c r="E133" s="26" t="s">
        <v>290</v>
      </c>
      <c r="F133" s="26" t="s">
        <v>48</v>
      </c>
      <c r="G133" s="26" t="s">
        <v>291</v>
      </c>
    </row>
    <row r="134" spans="1:7" ht="30" customHeight="1">
      <c r="A134" s="97"/>
      <c r="B134" s="97"/>
      <c r="C134" s="96" t="s">
        <v>292</v>
      </c>
      <c r="D134" s="100" t="s">
        <v>293</v>
      </c>
      <c r="E134" s="26" t="s">
        <v>294</v>
      </c>
      <c r="F134" s="26" t="s">
        <v>58</v>
      </c>
      <c r="G134" s="26" t="s">
        <v>295</v>
      </c>
    </row>
    <row r="135" spans="1:7" ht="30" customHeight="1">
      <c r="A135" s="97"/>
      <c r="B135" s="97"/>
      <c r="C135" s="97"/>
      <c r="D135" s="97"/>
      <c r="E135" s="26" t="s">
        <v>296</v>
      </c>
      <c r="F135" s="26" t="s">
        <v>38</v>
      </c>
      <c r="G135" s="26" t="s">
        <v>297</v>
      </c>
    </row>
    <row r="136" spans="1:7" ht="30" customHeight="1">
      <c r="A136" s="97"/>
      <c r="B136" s="97"/>
      <c r="C136" s="97"/>
      <c r="D136" s="97"/>
      <c r="E136" s="26" t="s">
        <v>298</v>
      </c>
      <c r="F136" s="26" t="s">
        <v>41</v>
      </c>
      <c r="G136" s="26" t="s">
        <v>299</v>
      </c>
    </row>
    <row r="137" spans="1:7" ht="30" customHeight="1">
      <c r="A137" s="97"/>
      <c r="B137" s="97"/>
      <c r="C137" s="97"/>
      <c r="D137" s="97"/>
      <c r="E137" s="26" t="s">
        <v>300</v>
      </c>
      <c r="F137" s="26" t="s">
        <v>50</v>
      </c>
      <c r="G137" s="26" t="s">
        <v>301</v>
      </c>
    </row>
    <row r="138" spans="1:7" ht="30" customHeight="1">
      <c r="A138" s="97"/>
      <c r="B138" s="97"/>
      <c r="C138" s="98"/>
      <c r="D138" s="98"/>
      <c r="E138" s="26" t="s">
        <v>302</v>
      </c>
      <c r="F138" s="26" t="s">
        <v>27</v>
      </c>
      <c r="G138" s="26" t="s">
        <v>303</v>
      </c>
    </row>
    <row r="139" spans="1:7" ht="30" customHeight="1">
      <c r="A139" s="97"/>
      <c r="B139" s="97"/>
      <c r="C139" s="96" t="s">
        <v>304</v>
      </c>
      <c r="D139" s="100" t="s">
        <v>305</v>
      </c>
      <c r="E139" s="26" t="s">
        <v>306</v>
      </c>
      <c r="F139" s="26" t="s">
        <v>35</v>
      </c>
      <c r="G139" s="26" t="s">
        <v>307</v>
      </c>
    </row>
    <row r="140" spans="1:7" ht="30" customHeight="1">
      <c r="A140" s="97"/>
      <c r="B140" s="97"/>
      <c r="C140" s="97"/>
      <c r="D140" s="97"/>
      <c r="E140" s="26" t="s">
        <v>308</v>
      </c>
      <c r="F140" s="26" t="s">
        <v>25</v>
      </c>
      <c r="G140" s="26" t="s">
        <v>309</v>
      </c>
    </row>
    <row r="141" spans="1:7" ht="30" customHeight="1">
      <c r="A141" s="97"/>
      <c r="B141" s="97"/>
      <c r="C141" s="97"/>
      <c r="D141" s="97"/>
      <c r="E141" s="26" t="s">
        <v>310</v>
      </c>
      <c r="F141" s="26" t="s">
        <v>28</v>
      </c>
      <c r="G141" s="26" t="s">
        <v>311</v>
      </c>
    </row>
    <row r="142" spans="1:7" ht="30" customHeight="1">
      <c r="A142" s="97"/>
      <c r="B142" s="97"/>
      <c r="C142" s="97"/>
      <c r="D142" s="97"/>
      <c r="E142" s="26" t="s">
        <v>312</v>
      </c>
      <c r="F142" s="26" t="s">
        <v>50</v>
      </c>
      <c r="G142" s="26" t="s">
        <v>313</v>
      </c>
    </row>
    <row r="143" spans="1:7" ht="30" customHeight="1">
      <c r="A143" s="97"/>
      <c r="B143" s="97"/>
      <c r="C143" s="98"/>
      <c r="D143" s="98"/>
      <c r="E143" s="26" t="s">
        <v>314</v>
      </c>
      <c r="F143" s="26" t="s">
        <v>27</v>
      </c>
      <c r="G143" s="26" t="s">
        <v>315</v>
      </c>
    </row>
    <row r="144" spans="1:7" ht="30" customHeight="1">
      <c r="A144" s="97"/>
      <c r="B144" s="97"/>
      <c r="C144" s="96" t="s">
        <v>316</v>
      </c>
      <c r="D144" s="100" t="s">
        <v>317</v>
      </c>
      <c r="E144" s="26" t="s">
        <v>318</v>
      </c>
      <c r="F144" s="26" t="s">
        <v>27</v>
      </c>
      <c r="G144" s="26" t="s">
        <v>319</v>
      </c>
    </row>
    <row r="145" spans="1:7" ht="30" customHeight="1">
      <c r="A145" s="97"/>
      <c r="B145" s="97"/>
      <c r="C145" s="97"/>
      <c r="D145" s="97"/>
      <c r="E145" s="26" t="s">
        <v>320</v>
      </c>
      <c r="F145" s="26" t="s">
        <v>38</v>
      </c>
      <c r="G145" s="26" t="s">
        <v>321</v>
      </c>
    </row>
    <row r="146" spans="1:7" ht="30" customHeight="1">
      <c r="A146" s="97"/>
      <c r="B146" s="97"/>
      <c r="C146" s="97"/>
      <c r="D146" s="97"/>
      <c r="E146" s="26" t="s">
        <v>322</v>
      </c>
      <c r="F146" s="26" t="s">
        <v>32</v>
      </c>
      <c r="G146" s="26" t="s">
        <v>323</v>
      </c>
    </row>
    <row r="147" spans="1:7" ht="30" customHeight="1">
      <c r="A147" s="97"/>
      <c r="B147" s="97"/>
      <c r="C147" s="97"/>
      <c r="D147" s="97"/>
      <c r="E147" s="26" t="s">
        <v>324</v>
      </c>
      <c r="F147" s="26" t="s">
        <v>41</v>
      </c>
      <c r="G147" s="26" t="s">
        <v>325</v>
      </c>
    </row>
    <row r="148" spans="1:7" ht="30" customHeight="1">
      <c r="A148" s="97"/>
      <c r="B148" s="97"/>
      <c r="C148" s="98"/>
      <c r="D148" s="98"/>
      <c r="E148" s="26" t="s">
        <v>326</v>
      </c>
      <c r="F148" s="26" t="s">
        <v>58</v>
      </c>
      <c r="G148" s="26" t="s">
        <v>327</v>
      </c>
    </row>
    <row r="149" spans="1:7" ht="30" customHeight="1">
      <c r="A149" s="97"/>
      <c r="B149" s="97"/>
      <c r="C149" s="96" t="s">
        <v>328</v>
      </c>
      <c r="D149" s="100" t="s">
        <v>329</v>
      </c>
      <c r="E149" s="26" t="s">
        <v>330</v>
      </c>
      <c r="F149" s="26" t="s">
        <v>35</v>
      </c>
      <c r="G149" s="26" t="s">
        <v>331</v>
      </c>
    </row>
    <row r="150" spans="1:7" ht="30" customHeight="1">
      <c r="A150" s="97"/>
      <c r="B150" s="97"/>
      <c r="C150" s="97"/>
      <c r="D150" s="97"/>
      <c r="E150" s="26" t="s">
        <v>332</v>
      </c>
      <c r="F150" s="26" t="s">
        <v>25</v>
      </c>
      <c r="G150" s="26" t="s">
        <v>333</v>
      </c>
    </row>
    <row r="151" spans="1:7" ht="30" customHeight="1">
      <c r="A151" s="97"/>
      <c r="B151" s="97"/>
      <c r="C151" s="97"/>
      <c r="D151" s="97"/>
      <c r="E151" s="26" t="s">
        <v>334</v>
      </c>
      <c r="F151" s="26" t="s">
        <v>28</v>
      </c>
      <c r="G151" s="26" t="s">
        <v>335</v>
      </c>
    </row>
    <row r="152" spans="1:7" ht="30" customHeight="1">
      <c r="A152" s="97"/>
      <c r="B152" s="97"/>
      <c r="C152" s="97"/>
      <c r="D152" s="97"/>
      <c r="E152" s="26" t="s">
        <v>336</v>
      </c>
      <c r="F152" s="26" t="s">
        <v>48</v>
      </c>
      <c r="G152" s="26" t="s">
        <v>337</v>
      </c>
    </row>
    <row r="153" spans="1:7" ht="30" customHeight="1">
      <c r="A153" s="98"/>
      <c r="B153" s="98"/>
      <c r="C153" s="98"/>
      <c r="D153" s="98"/>
      <c r="E153" s="26" t="s">
        <v>338</v>
      </c>
      <c r="F153" s="26" t="s">
        <v>27</v>
      </c>
      <c r="G153" s="26" t="s">
        <v>339</v>
      </c>
    </row>
    <row r="154" spans="1:7" ht="30" customHeight="1">
      <c r="A154" s="99" t="s">
        <v>340</v>
      </c>
      <c r="B154" s="101" t="s">
        <v>341</v>
      </c>
      <c r="C154" s="99" t="s">
        <v>342</v>
      </c>
      <c r="D154" s="101" t="s">
        <v>343</v>
      </c>
      <c r="E154" s="24" t="s">
        <v>344</v>
      </c>
      <c r="F154" s="24" t="s">
        <v>35</v>
      </c>
      <c r="G154" s="24" t="s">
        <v>345</v>
      </c>
    </row>
    <row r="155" spans="1:7" ht="30" customHeight="1">
      <c r="A155" s="97"/>
      <c r="B155" s="97"/>
      <c r="C155" s="97"/>
      <c r="D155" s="97"/>
      <c r="E155" s="24" t="s">
        <v>346</v>
      </c>
      <c r="F155" s="24" t="s">
        <v>38</v>
      </c>
      <c r="G155" s="24" t="s">
        <v>347</v>
      </c>
    </row>
    <row r="156" spans="1:7" ht="30" customHeight="1">
      <c r="A156" s="97"/>
      <c r="B156" s="97"/>
      <c r="C156" s="97"/>
      <c r="D156" s="97"/>
      <c r="E156" s="24" t="s">
        <v>348</v>
      </c>
      <c r="F156" s="24" t="s">
        <v>25</v>
      </c>
      <c r="G156" s="24" t="s">
        <v>349</v>
      </c>
    </row>
    <row r="157" spans="1:7" ht="30" customHeight="1">
      <c r="A157" s="97"/>
      <c r="B157" s="97"/>
      <c r="C157" s="97"/>
      <c r="D157" s="97"/>
      <c r="E157" s="24" t="s">
        <v>350</v>
      </c>
      <c r="F157" s="24" t="s">
        <v>48</v>
      </c>
      <c r="G157" s="24" t="s">
        <v>351</v>
      </c>
    </row>
    <row r="158" spans="1:7" ht="30" customHeight="1">
      <c r="A158" s="97"/>
      <c r="B158" s="97"/>
      <c r="C158" s="98"/>
      <c r="D158" s="98"/>
      <c r="E158" s="24" t="s">
        <v>352</v>
      </c>
      <c r="F158" s="24" t="s">
        <v>48</v>
      </c>
      <c r="G158" s="24" t="s">
        <v>353</v>
      </c>
    </row>
    <row r="159" spans="1:7" ht="30" customHeight="1">
      <c r="A159" s="97"/>
      <c r="B159" s="97"/>
      <c r="C159" s="99" t="s">
        <v>354</v>
      </c>
      <c r="D159" s="101" t="s">
        <v>355</v>
      </c>
      <c r="E159" s="24" t="s">
        <v>356</v>
      </c>
      <c r="F159" s="24" t="s">
        <v>70</v>
      </c>
      <c r="G159" s="24" t="s">
        <v>357</v>
      </c>
    </row>
    <row r="160" spans="1:7" ht="30" customHeight="1">
      <c r="A160" s="97"/>
      <c r="B160" s="97"/>
      <c r="C160" s="97"/>
      <c r="D160" s="97"/>
      <c r="E160" s="24" t="s">
        <v>358</v>
      </c>
      <c r="F160" s="24" t="s">
        <v>38</v>
      </c>
      <c r="G160" s="24" t="s">
        <v>359</v>
      </c>
    </row>
    <row r="161" spans="1:7" ht="30" customHeight="1">
      <c r="A161" s="97"/>
      <c r="B161" s="97"/>
      <c r="C161" s="97"/>
      <c r="D161" s="97"/>
      <c r="E161" s="24" t="s">
        <v>360</v>
      </c>
      <c r="F161" s="24" t="s">
        <v>41</v>
      </c>
      <c r="G161" s="24" t="s">
        <v>361</v>
      </c>
    </row>
    <row r="162" spans="1:7" ht="30" customHeight="1">
      <c r="A162" s="97"/>
      <c r="B162" s="97"/>
      <c r="C162" s="97"/>
      <c r="D162" s="97"/>
      <c r="E162" s="24" t="s">
        <v>362</v>
      </c>
      <c r="F162" s="24" t="s">
        <v>27</v>
      </c>
      <c r="G162" s="24" t="s">
        <v>363</v>
      </c>
    </row>
    <row r="163" spans="1:7" ht="30" customHeight="1">
      <c r="A163" s="97"/>
      <c r="B163" s="97"/>
      <c r="C163" s="98"/>
      <c r="D163" s="98"/>
      <c r="E163" s="24" t="s">
        <v>364</v>
      </c>
      <c r="F163" s="24" t="s">
        <v>50</v>
      </c>
      <c r="G163" s="24" t="s">
        <v>365</v>
      </c>
    </row>
    <row r="164" spans="1:7" ht="30" customHeight="1">
      <c r="A164" s="97"/>
      <c r="B164" s="97"/>
      <c r="C164" s="99" t="s">
        <v>366</v>
      </c>
      <c r="D164" s="101" t="s">
        <v>367</v>
      </c>
      <c r="E164" s="24" t="s">
        <v>368</v>
      </c>
      <c r="F164" s="24" t="s">
        <v>35</v>
      </c>
      <c r="G164" s="24" t="s">
        <v>369</v>
      </c>
    </row>
    <row r="165" spans="1:7" ht="30" customHeight="1">
      <c r="A165" s="97"/>
      <c r="B165" s="97"/>
      <c r="C165" s="97"/>
      <c r="D165" s="97"/>
      <c r="E165" s="24" t="s">
        <v>370</v>
      </c>
      <c r="F165" s="24" t="s">
        <v>25</v>
      </c>
      <c r="G165" s="24" t="s">
        <v>371</v>
      </c>
    </row>
    <row r="166" spans="1:7" ht="30" customHeight="1">
      <c r="A166" s="97"/>
      <c r="B166" s="97"/>
      <c r="C166" s="97"/>
      <c r="D166" s="97"/>
      <c r="E166" s="24" t="s">
        <v>372</v>
      </c>
      <c r="F166" s="24" t="s">
        <v>28</v>
      </c>
      <c r="G166" s="24" t="s">
        <v>373</v>
      </c>
    </row>
    <row r="167" spans="1:7" ht="30" customHeight="1">
      <c r="A167" s="97"/>
      <c r="B167" s="97"/>
      <c r="C167" s="97"/>
      <c r="D167" s="97"/>
      <c r="E167" s="24" t="s">
        <v>374</v>
      </c>
      <c r="F167" s="24" t="s">
        <v>38</v>
      </c>
      <c r="G167" s="24" t="s">
        <v>375</v>
      </c>
    </row>
    <row r="168" spans="1:7" ht="30" customHeight="1">
      <c r="A168" s="97"/>
      <c r="B168" s="97"/>
      <c r="C168" s="98"/>
      <c r="D168" s="98"/>
      <c r="E168" s="24" t="s">
        <v>376</v>
      </c>
      <c r="F168" s="24" t="s">
        <v>27</v>
      </c>
      <c r="G168" s="24" t="s">
        <v>377</v>
      </c>
    </row>
    <row r="169" spans="1:7" ht="30" customHeight="1">
      <c r="A169" s="97"/>
      <c r="B169" s="97"/>
      <c r="C169" s="99" t="s">
        <v>378</v>
      </c>
      <c r="D169" s="101" t="s">
        <v>379</v>
      </c>
      <c r="E169" s="24" t="s">
        <v>380</v>
      </c>
      <c r="F169" s="24" t="s">
        <v>43</v>
      </c>
      <c r="G169" s="24" t="s">
        <v>381</v>
      </c>
    </row>
    <row r="170" spans="1:7" ht="30" customHeight="1">
      <c r="A170" s="97"/>
      <c r="B170" s="97"/>
      <c r="C170" s="97"/>
      <c r="D170" s="97"/>
      <c r="E170" s="24" t="s">
        <v>382</v>
      </c>
      <c r="F170" s="24" t="s">
        <v>38</v>
      </c>
      <c r="G170" s="24" t="s">
        <v>383</v>
      </c>
    </row>
    <row r="171" spans="1:7" ht="30" customHeight="1">
      <c r="A171" s="97"/>
      <c r="B171" s="97"/>
      <c r="C171" s="97"/>
      <c r="D171" s="97"/>
      <c r="E171" s="24" t="s">
        <v>384</v>
      </c>
      <c r="F171" s="24" t="s">
        <v>50</v>
      </c>
      <c r="G171" s="24" t="s">
        <v>385</v>
      </c>
    </row>
    <row r="172" spans="1:7" ht="30" customHeight="1">
      <c r="A172" s="97"/>
      <c r="B172" s="97"/>
      <c r="C172" s="97"/>
      <c r="D172" s="97"/>
      <c r="E172" s="24" t="s">
        <v>386</v>
      </c>
      <c r="F172" s="24" t="s">
        <v>27</v>
      </c>
      <c r="G172" s="24" t="s">
        <v>387</v>
      </c>
    </row>
    <row r="173" spans="1:7" ht="30" customHeight="1">
      <c r="A173" s="97"/>
      <c r="B173" s="97"/>
      <c r="C173" s="98"/>
      <c r="D173" s="98"/>
      <c r="E173" s="24" t="s">
        <v>388</v>
      </c>
      <c r="F173" s="24" t="s">
        <v>58</v>
      </c>
      <c r="G173" s="24" t="s">
        <v>389</v>
      </c>
    </row>
    <row r="174" spans="1:7" ht="30" customHeight="1">
      <c r="A174" s="97"/>
      <c r="B174" s="97"/>
      <c r="C174" s="99" t="s">
        <v>390</v>
      </c>
      <c r="D174" s="101" t="s">
        <v>391</v>
      </c>
      <c r="E174" s="24" t="s">
        <v>392</v>
      </c>
      <c r="F174" s="24" t="s">
        <v>35</v>
      </c>
      <c r="G174" s="24" t="s">
        <v>393</v>
      </c>
    </row>
    <row r="175" spans="1:7" ht="30" customHeight="1">
      <c r="A175" s="97"/>
      <c r="B175" s="97"/>
      <c r="C175" s="97"/>
      <c r="D175" s="97"/>
      <c r="E175" s="24" t="s">
        <v>394</v>
      </c>
      <c r="F175" s="24" t="s">
        <v>28</v>
      </c>
      <c r="G175" s="24" t="s">
        <v>395</v>
      </c>
    </row>
    <row r="176" spans="1:7" ht="30" customHeight="1">
      <c r="A176" s="97"/>
      <c r="B176" s="97"/>
      <c r="C176" s="97"/>
      <c r="D176" s="97"/>
      <c r="E176" s="24" t="s">
        <v>396</v>
      </c>
      <c r="F176" s="24" t="s">
        <v>41</v>
      </c>
      <c r="G176" s="24" t="s">
        <v>397</v>
      </c>
    </row>
    <row r="177" spans="1:7" ht="30" customHeight="1">
      <c r="A177" s="97"/>
      <c r="B177" s="97"/>
      <c r="C177" s="97"/>
      <c r="D177" s="97"/>
      <c r="E177" s="24" t="s">
        <v>398</v>
      </c>
      <c r="F177" s="24" t="s">
        <v>50</v>
      </c>
      <c r="G177" s="24" t="s">
        <v>399</v>
      </c>
    </row>
    <row r="178" spans="1:7" ht="30" customHeight="1">
      <c r="A178" s="98"/>
      <c r="B178" s="98"/>
      <c r="C178" s="98"/>
      <c r="D178" s="98"/>
      <c r="E178" s="24" t="s">
        <v>400</v>
      </c>
      <c r="F178" s="24" t="s">
        <v>32</v>
      </c>
      <c r="G178" s="24" t="s">
        <v>401</v>
      </c>
    </row>
    <row r="179" spans="1:7" ht="30" customHeight="1">
      <c r="A179" s="96" t="s">
        <v>402</v>
      </c>
      <c r="B179" s="100" t="s">
        <v>403</v>
      </c>
      <c r="C179" s="96" t="s">
        <v>404</v>
      </c>
      <c r="D179" s="100" t="s">
        <v>405</v>
      </c>
      <c r="E179" s="26" t="s">
        <v>406</v>
      </c>
      <c r="F179" s="26" t="s">
        <v>48</v>
      </c>
      <c r="G179" s="26" t="s">
        <v>407</v>
      </c>
    </row>
    <row r="180" spans="1:7" ht="30" customHeight="1">
      <c r="A180" s="97"/>
      <c r="B180" s="97"/>
      <c r="C180" s="97"/>
      <c r="D180" s="97"/>
      <c r="E180" s="26" t="s">
        <v>408</v>
      </c>
      <c r="F180" s="26" t="s">
        <v>41</v>
      </c>
      <c r="G180" s="26" t="s">
        <v>409</v>
      </c>
    </row>
    <row r="181" spans="1:7" ht="30" customHeight="1">
      <c r="A181" s="97"/>
      <c r="B181" s="97"/>
      <c r="C181" s="97"/>
      <c r="D181" s="97"/>
      <c r="E181" s="26" t="s">
        <v>410</v>
      </c>
      <c r="F181" s="26" t="s">
        <v>41</v>
      </c>
      <c r="G181" s="26" t="s">
        <v>411</v>
      </c>
    </row>
    <row r="182" spans="1:7" ht="30" customHeight="1">
      <c r="A182" s="97"/>
      <c r="B182" s="97"/>
      <c r="C182" s="97"/>
      <c r="D182" s="97"/>
      <c r="E182" s="26" t="s">
        <v>412</v>
      </c>
      <c r="F182" s="26" t="s">
        <v>48</v>
      </c>
      <c r="G182" s="26" t="s">
        <v>413</v>
      </c>
    </row>
    <row r="183" spans="1:7" ht="30" customHeight="1">
      <c r="A183" s="97"/>
      <c r="B183" s="97"/>
      <c r="C183" s="98"/>
      <c r="D183" s="98"/>
      <c r="E183" s="26" t="s">
        <v>414</v>
      </c>
      <c r="F183" s="26" t="s">
        <v>27</v>
      </c>
      <c r="G183" s="26" t="s">
        <v>415</v>
      </c>
    </row>
    <row r="184" spans="1:7" ht="30" customHeight="1">
      <c r="A184" s="97"/>
      <c r="B184" s="97"/>
      <c r="C184" s="96" t="s">
        <v>416</v>
      </c>
      <c r="D184" s="100" t="s">
        <v>417</v>
      </c>
      <c r="E184" s="26" t="s">
        <v>418</v>
      </c>
      <c r="F184" s="26" t="s">
        <v>65</v>
      </c>
      <c r="G184" s="26" t="s">
        <v>419</v>
      </c>
    </row>
    <row r="185" spans="1:7" ht="30" customHeight="1">
      <c r="A185" s="97"/>
      <c r="B185" s="97"/>
      <c r="C185" s="97"/>
      <c r="D185" s="97"/>
      <c r="E185" s="26" t="s">
        <v>420</v>
      </c>
      <c r="F185" s="26" t="s">
        <v>38</v>
      </c>
      <c r="G185" s="26" t="s">
        <v>421</v>
      </c>
    </row>
    <row r="186" spans="1:7" ht="30" customHeight="1">
      <c r="A186" s="97"/>
      <c r="B186" s="97"/>
      <c r="C186" s="97"/>
      <c r="D186" s="97"/>
      <c r="E186" s="26" t="s">
        <v>422</v>
      </c>
      <c r="F186" s="26" t="s">
        <v>32</v>
      </c>
      <c r="G186" s="26" t="s">
        <v>423</v>
      </c>
    </row>
    <row r="187" spans="1:7" ht="30" customHeight="1">
      <c r="A187" s="97"/>
      <c r="B187" s="97"/>
      <c r="C187" s="97"/>
      <c r="D187" s="97"/>
      <c r="E187" s="26" t="s">
        <v>424</v>
      </c>
      <c r="F187" s="26" t="s">
        <v>41</v>
      </c>
      <c r="G187" s="26" t="s">
        <v>425</v>
      </c>
    </row>
    <row r="188" spans="1:7" ht="30" customHeight="1">
      <c r="A188" s="97"/>
      <c r="B188" s="97"/>
      <c r="C188" s="98"/>
      <c r="D188" s="98"/>
      <c r="E188" s="26" t="s">
        <v>426</v>
      </c>
      <c r="F188" s="26" t="s">
        <v>27</v>
      </c>
      <c r="G188" s="26" t="s">
        <v>427</v>
      </c>
    </row>
    <row r="189" spans="1:7" ht="30" customHeight="1">
      <c r="A189" s="97"/>
      <c r="B189" s="97"/>
      <c r="C189" s="96" t="s">
        <v>428</v>
      </c>
      <c r="D189" s="100" t="s">
        <v>429</v>
      </c>
      <c r="E189" s="26" t="s">
        <v>430</v>
      </c>
      <c r="F189" s="26" t="s">
        <v>72</v>
      </c>
      <c r="G189" s="26" t="s">
        <v>431</v>
      </c>
    </row>
    <row r="190" spans="1:7" ht="30" customHeight="1">
      <c r="A190" s="97"/>
      <c r="B190" s="97"/>
      <c r="C190" s="97"/>
      <c r="D190" s="97"/>
      <c r="E190" s="26" t="s">
        <v>432</v>
      </c>
      <c r="F190" s="26" t="s">
        <v>38</v>
      </c>
      <c r="G190" s="26" t="s">
        <v>433</v>
      </c>
    </row>
    <row r="191" spans="1:7" ht="30" customHeight="1">
      <c r="A191" s="97"/>
      <c r="B191" s="97"/>
      <c r="C191" s="97"/>
      <c r="D191" s="97"/>
      <c r="E191" s="26" t="s">
        <v>434</v>
      </c>
      <c r="F191" s="26" t="s">
        <v>48</v>
      </c>
      <c r="G191" s="26" t="s">
        <v>435</v>
      </c>
    </row>
    <row r="192" spans="1:7" ht="30" customHeight="1">
      <c r="A192" s="97"/>
      <c r="B192" s="97"/>
      <c r="C192" s="97"/>
      <c r="D192" s="97"/>
      <c r="E192" s="26" t="s">
        <v>436</v>
      </c>
      <c r="F192" s="26" t="s">
        <v>27</v>
      </c>
      <c r="G192" s="26" t="s">
        <v>437</v>
      </c>
    </row>
    <row r="193" spans="1:7" ht="30" customHeight="1">
      <c r="A193" s="97"/>
      <c r="B193" s="97"/>
      <c r="C193" s="98"/>
      <c r="D193" s="98"/>
      <c r="E193" s="26" t="s">
        <v>438</v>
      </c>
      <c r="F193" s="26" t="s">
        <v>58</v>
      </c>
      <c r="G193" s="26" t="s">
        <v>439</v>
      </c>
    </row>
    <row r="194" spans="1:7" ht="30" customHeight="1">
      <c r="A194" s="97"/>
      <c r="B194" s="97"/>
      <c r="C194" s="96" t="s">
        <v>440</v>
      </c>
      <c r="D194" s="100" t="s">
        <v>441</v>
      </c>
      <c r="E194" s="26" t="s">
        <v>442</v>
      </c>
      <c r="F194" s="26" t="s">
        <v>35</v>
      </c>
      <c r="G194" s="26" t="s">
        <v>443</v>
      </c>
    </row>
    <row r="195" spans="1:7" ht="30" customHeight="1">
      <c r="A195" s="97"/>
      <c r="B195" s="97"/>
      <c r="C195" s="97"/>
      <c r="D195" s="97"/>
      <c r="E195" s="26" t="s">
        <v>444</v>
      </c>
      <c r="F195" s="26" t="s">
        <v>38</v>
      </c>
      <c r="G195" s="26" t="s">
        <v>445</v>
      </c>
    </row>
    <row r="196" spans="1:7" ht="30" customHeight="1">
      <c r="A196" s="97"/>
      <c r="B196" s="97"/>
      <c r="C196" s="97"/>
      <c r="D196" s="97"/>
      <c r="E196" s="26" t="s">
        <v>446</v>
      </c>
      <c r="F196" s="26" t="s">
        <v>41</v>
      </c>
      <c r="G196" s="26" t="s">
        <v>447</v>
      </c>
    </row>
    <row r="197" spans="1:7" ht="30" customHeight="1">
      <c r="A197" s="97"/>
      <c r="B197" s="97"/>
      <c r="C197" s="97"/>
      <c r="D197" s="97"/>
      <c r="E197" s="26" t="s">
        <v>448</v>
      </c>
      <c r="F197" s="26" t="s">
        <v>50</v>
      </c>
      <c r="G197" s="26" t="s">
        <v>449</v>
      </c>
    </row>
    <row r="198" spans="1:7" ht="30" customHeight="1">
      <c r="A198" s="97"/>
      <c r="B198" s="97"/>
      <c r="C198" s="98"/>
      <c r="D198" s="98"/>
      <c r="E198" s="26" t="s">
        <v>450</v>
      </c>
      <c r="F198" s="26" t="s">
        <v>27</v>
      </c>
      <c r="G198" s="26" t="s">
        <v>451</v>
      </c>
    </row>
    <row r="199" spans="1:7" ht="30" customHeight="1">
      <c r="A199" s="97"/>
      <c r="B199" s="97"/>
      <c r="C199" s="96" t="s">
        <v>452</v>
      </c>
      <c r="D199" s="100" t="s">
        <v>453</v>
      </c>
      <c r="E199" s="26" t="s">
        <v>454</v>
      </c>
      <c r="F199" s="26" t="s">
        <v>35</v>
      </c>
      <c r="G199" s="26" t="s">
        <v>455</v>
      </c>
    </row>
    <row r="200" spans="1:7" ht="30" customHeight="1">
      <c r="A200" s="97"/>
      <c r="B200" s="97"/>
      <c r="C200" s="97"/>
      <c r="D200" s="97"/>
      <c r="E200" s="26" t="s">
        <v>456</v>
      </c>
      <c r="F200" s="26" t="s">
        <v>38</v>
      </c>
      <c r="G200" s="26" t="s">
        <v>457</v>
      </c>
    </row>
    <row r="201" spans="1:7" ht="30" customHeight="1">
      <c r="A201" s="97"/>
      <c r="B201" s="97"/>
      <c r="C201" s="97"/>
      <c r="D201" s="97"/>
      <c r="E201" s="26" t="s">
        <v>458</v>
      </c>
      <c r="F201" s="26" t="s">
        <v>48</v>
      </c>
      <c r="G201" s="26" t="s">
        <v>459</v>
      </c>
    </row>
    <row r="202" spans="1:7" ht="30" customHeight="1">
      <c r="A202" s="97"/>
      <c r="B202" s="97"/>
      <c r="C202" s="97"/>
      <c r="D202" s="97"/>
      <c r="E202" s="26" t="s">
        <v>460</v>
      </c>
      <c r="F202" s="26" t="s">
        <v>27</v>
      </c>
      <c r="G202" s="26" t="s">
        <v>461</v>
      </c>
    </row>
    <row r="203" spans="1:7" ht="30" customHeight="1">
      <c r="A203" s="98"/>
      <c r="B203" s="98"/>
      <c r="C203" s="98"/>
      <c r="D203" s="98"/>
      <c r="E203" s="26" t="s">
        <v>462</v>
      </c>
      <c r="F203" s="26" t="s">
        <v>58</v>
      </c>
      <c r="G203" s="26" t="s">
        <v>463</v>
      </c>
    </row>
    <row r="204" spans="1:7" ht="30" customHeight="1">
      <c r="A204" s="99" t="s">
        <v>464</v>
      </c>
      <c r="B204" s="101" t="s">
        <v>465</v>
      </c>
      <c r="C204" s="99" t="s">
        <v>466</v>
      </c>
      <c r="D204" s="101" t="s">
        <v>467</v>
      </c>
      <c r="E204" s="24" t="s">
        <v>468</v>
      </c>
      <c r="F204" s="24" t="s">
        <v>65</v>
      </c>
      <c r="G204" s="24" t="s">
        <v>469</v>
      </c>
    </row>
    <row r="205" spans="1:7" ht="30" customHeight="1">
      <c r="A205" s="97"/>
      <c r="B205" s="97"/>
      <c r="C205" s="97"/>
      <c r="D205" s="97"/>
      <c r="E205" s="24" t="s">
        <v>470</v>
      </c>
      <c r="F205" s="24" t="s">
        <v>38</v>
      </c>
      <c r="G205" s="24" t="s">
        <v>471</v>
      </c>
    </row>
    <row r="206" spans="1:7" ht="30" customHeight="1">
      <c r="A206" s="97"/>
      <c r="B206" s="97"/>
      <c r="C206" s="97"/>
      <c r="D206" s="97"/>
      <c r="E206" s="24" t="s">
        <v>472</v>
      </c>
      <c r="F206" s="24" t="s">
        <v>41</v>
      </c>
      <c r="G206" s="24" t="s">
        <v>473</v>
      </c>
    </row>
    <row r="207" spans="1:7" ht="30" customHeight="1">
      <c r="A207" s="97"/>
      <c r="B207" s="97"/>
      <c r="C207" s="97"/>
      <c r="D207" s="97"/>
      <c r="E207" s="24" t="s">
        <v>474</v>
      </c>
      <c r="F207" s="24" t="s">
        <v>32</v>
      </c>
      <c r="G207" s="24" t="s">
        <v>475</v>
      </c>
    </row>
    <row r="208" spans="1:7" ht="30" customHeight="1">
      <c r="A208" s="97"/>
      <c r="B208" s="97"/>
      <c r="C208" s="98"/>
      <c r="D208" s="98"/>
      <c r="E208" s="24" t="s">
        <v>476</v>
      </c>
      <c r="F208" s="24" t="s">
        <v>27</v>
      </c>
      <c r="G208" s="24" t="s">
        <v>477</v>
      </c>
    </row>
    <row r="209" spans="1:7" ht="30" customHeight="1">
      <c r="A209" s="97"/>
      <c r="B209" s="97"/>
      <c r="C209" s="99" t="s">
        <v>478</v>
      </c>
      <c r="D209" s="101" t="s">
        <v>479</v>
      </c>
      <c r="E209" s="24" t="s">
        <v>480</v>
      </c>
      <c r="F209" s="24" t="s">
        <v>70</v>
      </c>
      <c r="G209" s="24" t="s">
        <v>481</v>
      </c>
    </row>
    <row r="210" spans="1:7" ht="30" customHeight="1">
      <c r="A210" s="97"/>
      <c r="B210" s="97"/>
      <c r="C210" s="97"/>
      <c r="D210" s="97"/>
      <c r="E210" s="24" t="s">
        <v>482</v>
      </c>
      <c r="F210" s="24" t="s">
        <v>38</v>
      </c>
      <c r="G210" s="24" t="s">
        <v>483</v>
      </c>
    </row>
    <row r="211" spans="1:7" ht="30" customHeight="1">
      <c r="A211" s="97"/>
      <c r="B211" s="97"/>
      <c r="C211" s="97"/>
      <c r="D211" s="97"/>
      <c r="E211" s="24" t="s">
        <v>484</v>
      </c>
      <c r="F211" s="24" t="s">
        <v>48</v>
      </c>
      <c r="G211" s="24" t="s">
        <v>485</v>
      </c>
    </row>
    <row r="212" spans="1:7" ht="30" customHeight="1">
      <c r="A212" s="97"/>
      <c r="B212" s="97"/>
      <c r="C212" s="97"/>
      <c r="D212" s="97"/>
      <c r="E212" s="24" t="s">
        <v>486</v>
      </c>
      <c r="F212" s="24" t="s">
        <v>27</v>
      </c>
      <c r="G212" s="24" t="s">
        <v>487</v>
      </c>
    </row>
    <row r="213" spans="1:7" ht="30" customHeight="1">
      <c r="A213" s="97"/>
      <c r="B213" s="97"/>
      <c r="C213" s="98"/>
      <c r="D213" s="98"/>
      <c r="E213" s="24" t="s">
        <v>488</v>
      </c>
      <c r="F213" s="24" t="s">
        <v>58</v>
      </c>
      <c r="G213" s="24" t="s">
        <v>489</v>
      </c>
    </row>
    <row r="214" spans="1:7" ht="30" customHeight="1">
      <c r="A214" s="97"/>
      <c r="B214" s="97"/>
      <c r="C214" s="99" t="s">
        <v>490</v>
      </c>
      <c r="D214" s="101" t="s">
        <v>491</v>
      </c>
      <c r="E214" s="24" t="s">
        <v>492</v>
      </c>
      <c r="F214" s="24" t="s">
        <v>35</v>
      </c>
      <c r="G214" s="24" t="s">
        <v>493</v>
      </c>
    </row>
    <row r="215" spans="1:7" ht="30" customHeight="1">
      <c r="A215" s="97"/>
      <c r="B215" s="97"/>
      <c r="C215" s="97"/>
      <c r="D215" s="97"/>
      <c r="E215" s="24" t="s">
        <v>494</v>
      </c>
      <c r="F215" s="24" t="s">
        <v>41</v>
      </c>
      <c r="G215" s="24" t="s">
        <v>495</v>
      </c>
    </row>
    <row r="216" spans="1:7" ht="30" customHeight="1">
      <c r="A216" s="97"/>
      <c r="B216" s="97"/>
      <c r="C216" s="97"/>
      <c r="D216" s="97"/>
      <c r="E216" s="24" t="s">
        <v>496</v>
      </c>
      <c r="F216" s="24" t="s">
        <v>38</v>
      </c>
      <c r="G216" s="24" t="s">
        <v>497</v>
      </c>
    </row>
    <row r="217" spans="1:7" ht="30" customHeight="1">
      <c r="A217" s="97"/>
      <c r="B217" s="97"/>
      <c r="C217" s="97"/>
      <c r="D217" s="97"/>
      <c r="E217" s="24" t="s">
        <v>498</v>
      </c>
      <c r="F217" s="24" t="s">
        <v>27</v>
      </c>
      <c r="G217" s="24" t="s">
        <v>499</v>
      </c>
    </row>
    <row r="218" spans="1:7" ht="30" customHeight="1">
      <c r="A218" s="97"/>
      <c r="B218" s="97"/>
      <c r="C218" s="98"/>
      <c r="D218" s="98"/>
      <c r="E218" s="24" t="s">
        <v>500</v>
      </c>
      <c r="F218" s="24" t="s">
        <v>50</v>
      </c>
      <c r="G218" s="24" t="s">
        <v>501</v>
      </c>
    </row>
    <row r="219" spans="1:7" ht="30" customHeight="1">
      <c r="A219" s="97"/>
      <c r="B219" s="97"/>
      <c r="C219" s="99" t="s">
        <v>502</v>
      </c>
      <c r="D219" s="101" t="s">
        <v>503</v>
      </c>
      <c r="E219" s="24" t="s">
        <v>504</v>
      </c>
      <c r="F219" s="24" t="s">
        <v>35</v>
      </c>
      <c r="G219" s="24" t="s">
        <v>505</v>
      </c>
    </row>
    <row r="220" spans="1:7" ht="30" customHeight="1">
      <c r="A220" s="97"/>
      <c r="B220" s="97"/>
      <c r="C220" s="97"/>
      <c r="D220" s="97"/>
      <c r="E220" s="24" t="s">
        <v>506</v>
      </c>
      <c r="F220" s="24" t="s">
        <v>25</v>
      </c>
      <c r="G220" s="24" t="s">
        <v>507</v>
      </c>
    </row>
    <row r="221" spans="1:7" ht="30" customHeight="1">
      <c r="A221" s="97"/>
      <c r="B221" s="97"/>
      <c r="C221" s="97"/>
      <c r="D221" s="97"/>
      <c r="E221" s="24" t="s">
        <v>508</v>
      </c>
      <c r="F221" s="24" t="s">
        <v>28</v>
      </c>
      <c r="G221" s="24" t="s">
        <v>509</v>
      </c>
    </row>
    <row r="222" spans="1:7" ht="30" customHeight="1">
      <c r="A222" s="97"/>
      <c r="B222" s="97"/>
      <c r="C222" s="97"/>
      <c r="D222" s="97"/>
      <c r="E222" s="24" t="s">
        <v>510</v>
      </c>
      <c r="F222" s="24" t="s">
        <v>41</v>
      </c>
      <c r="G222" s="24" t="s">
        <v>511</v>
      </c>
    </row>
    <row r="223" spans="1:7" ht="30" customHeight="1">
      <c r="A223" s="97"/>
      <c r="B223" s="97"/>
      <c r="C223" s="98"/>
      <c r="D223" s="98"/>
      <c r="E223" s="24" t="s">
        <v>512</v>
      </c>
      <c r="F223" s="24" t="s">
        <v>48</v>
      </c>
      <c r="G223" s="24" t="s">
        <v>513</v>
      </c>
    </row>
    <row r="224" spans="1:7" ht="30" customHeight="1">
      <c r="A224" s="97"/>
      <c r="B224" s="97"/>
      <c r="C224" s="99" t="s">
        <v>514</v>
      </c>
      <c r="D224" s="101" t="s">
        <v>515</v>
      </c>
      <c r="E224" s="24" t="s">
        <v>516</v>
      </c>
      <c r="F224" s="24" t="s">
        <v>70</v>
      </c>
      <c r="G224" s="24" t="s">
        <v>517</v>
      </c>
    </row>
    <row r="225" spans="1:7" ht="30" customHeight="1">
      <c r="A225" s="97"/>
      <c r="B225" s="97"/>
      <c r="C225" s="97"/>
      <c r="D225" s="97"/>
      <c r="E225" s="24" t="s">
        <v>518</v>
      </c>
      <c r="F225" s="24" t="s">
        <v>35</v>
      </c>
      <c r="G225" s="24" t="s">
        <v>519</v>
      </c>
    </row>
    <row r="226" spans="1:7" ht="30" customHeight="1">
      <c r="A226" s="97"/>
      <c r="B226" s="97"/>
      <c r="C226" s="97"/>
      <c r="D226" s="97"/>
      <c r="E226" s="24" t="s">
        <v>520</v>
      </c>
      <c r="F226" s="24" t="s">
        <v>38</v>
      </c>
      <c r="G226" s="24" t="s">
        <v>521</v>
      </c>
    </row>
    <row r="227" spans="1:7" ht="30" customHeight="1">
      <c r="A227" s="97"/>
      <c r="B227" s="97"/>
      <c r="C227" s="97"/>
      <c r="D227" s="97"/>
      <c r="E227" s="24" t="s">
        <v>522</v>
      </c>
      <c r="F227" s="24" t="s">
        <v>50</v>
      </c>
      <c r="G227" s="24" t="s">
        <v>523</v>
      </c>
    </row>
    <row r="228" spans="1:7" ht="30" customHeight="1">
      <c r="A228" s="98"/>
      <c r="B228" s="98"/>
      <c r="C228" s="98"/>
      <c r="D228" s="98"/>
      <c r="E228" s="24" t="s">
        <v>524</v>
      </c>
      <c r="F228" s="24" t="s">
        <v>27</v>
      </c>
      <c r="G228" s="24" t="s">
        <v>525</v>
      </c>
    </row>
    <row r="229" spans="1:7" ht="30" customHeight="1">
      <c r="A229" s="96" t="s">
        <v>526</v>
      </c>
      <c r="B229" s="100" t="s">
        <v>527</v>
      </c>
      <c r="C229" s="96" t="s">
        <v>528</v>
      </c>
      <c r="D229" s="100" t="s">
        <v>529</v>
      </c>
      <c r="E229" s="26" t="s">
        <v>530</v>
      </c>
      <c r="F229" s="26" t="s">
        <v>70</v>
      </c>
      <c r="G229" s="26" t="s">
        <v>531</v>
      </c>
    </row>
    <row r="230" spans="1:7" ht="30" customHeight="1">
      <c r="A230" s="97"/>
      <c r="B230" s="97"/>
      <c r="C230" s="97"/>
      <c r="D230" s="97"/>
      <c r="E230" s="26" t="s">
        <v>532</v>
      </c>
      <c r="F230" s="26" t="s">
        <v>38</v>
      </c>
      <c r="G230" s="26" t="s">
        <v>533</v>
      </c>
    </row>
    <row r="231" spans="1:7" ht="30" customHeight="1">
      <c r="A231" s="97"/>
      <c r="B231" s="97"/>
      <c r="C231" s="97"/>
      <c r="D231" s="97"/>
      <c r="E231" s="26" t="s">
        <v>534</v>
      </c>
      <c r="F231" s="26" t="s">
        <v>41</v>
      </c>
      <c r="G231" s="26" t="s">
        <v>535</v>
      </c>
    </row>
    <row r="232" spans="1:7" ht="30" customHeight="1">
      <c r="A232" s="97"/>
      <c r="B232" s="97"/>
      <c r="C232" s="97"/>
      <c r="D232" s="97"/>
      <c r="E232" s="26" t="s">
        <v>536</v>
      </c>
      <c r="F232" s="26" t="s">
        <v>32</v>
      </c>
      <c r="G232" s="26" t="s">
        <v>537</v>
      </c>
    </row>
    <row r="233" spans="1:7" ht="30" customHeight="1">
      <c r="A233" s="97"/>
      <c r="B233" s="97"/>
      <c r="C233" s="98"/>
      <c r="D233" s="98"/>
      <c r="E233" s="26" t="s">
        <v>538</v>
      </c>
      <c r="F233" s="26" t="s">
        <v>27</v>
      </c>
      <c r="G233" s="26" t="s">
        <v>539</v>
      </c>
    </row>
    <row r="234" spans="1:7" ht="30" customHeight="1">
      <c r="A234" s="97"/>
      <c r="B234" s="97"/>
      <c r="C234" s="96" t="s">
        <v>540</v>
      </c>
      <c r="D234" s="100" t="s">
        <v>541</v>
      </c>
      <c r="E234" s="26" t="s">
        <v>542</v>
      </c>
      <c r="F234" s="26" t="s">
        <v>35</v>
      </c>
      <c r="G234" s="26" t="s">
        <v>543</v>
      </c>
    </row>
    <row r="235" spans="1:7" ht="30" customHeight="1">
      <c r="A235" s="97"/>
      <c r="B235" s="97"/>
      <c r="C235" s="97"/>
      <c r="D235" s="97"/>
      <c r="E235" s="26" t="s">
        <v>544</v>
      </c>
      <c r="F235" s="26" t="s">
        <v>25</v>
      </c>
      <c r="G235" s="26" t="s">
        <v>545</v>
      </c>
    </row>
    <row r="236" spans="1:7" ht="30" customHeight="1">
      <c r="A236" s="97"/>
      <c r="B236" s="97"/>
      <c r="C236" s="97"/>
      <c r="D236" s="97"/>
      <c r="E236" s="26" t="s">
        <v>546</v>
      </c>
      <c r="F236" s="26" t="s">
        <v>28</v>
      </c>
      <c r="G236" s="26" t="s">
        <v>547</v>
      </c>
    </row>
    <row r="237" spans="1:7" ht="30" customHeight="1">
      <c r="A237" s="97"/>
      <c r="B237" s="97"/>
      <c r="C237" s="97"/>
      <c r="D237" s="97"/>
      <c r="E237" s="26" t="s">
        <v>548</v>
      </c>
      <c r="F237" s="26" t="s">
        <v>50</v>
      </c>
      <c r="G237" s="26" t="s">
        <v>549</v>
      </c>
    </row>
    <row r="238" spans="1:7" ht="30" customHeight="1">
      <c r="A238" s="97"/>
      <c r="B238" s="97"/>
      <c r="C238" s="98"/>
      <c r="D238" s="98"/>
      <c r="E238" s="26" t="s">
        <v>550</v>
      </c>
      <c r="F238" s="26" t="s">
        <v>27</v>
      </c>
      <c r="G238" s="26" t="s">
        <v>551</v>
      </c>
    </row>
    <row r="239" spans="1:7" ht="30" customHeight="1">
      <c r="A239" s="97"/>
      <c r="B239" s="97"/>
      <c r="C239" s="96" t="s">
        <v>552</v>
      </c>
      <c r="D239" s="100" t="s">
        <v>553</v>
      </c>
      <c r="E239" s="26" t="s">
        <v>554</v>
      </c>
      <c r="F239" s="26" t="s">
        <v>35</v>
      </c>
      <c r="G239" s="26" t="s">
        <v>555</v>
      </c>
    </row>
    <row r="240" spans="1:7" ht="30" customHeight="1">
      <c r="A240" s="97"/>
      <c r="B240" s="97"/>
      <c r="C240" s="97"/>
      <c r="D240" s="97"/>
      <c r="E240" s="26" t="s">
        <v>556</v>
      </c>
      <c r="F240" s="26" t="s">
        <v>38</v>
      </c>
      <c r="G240" s="26" t="s">
        <v>557</v>
      </c>
    </row>
    <row r="241" spans="1:7" ht="30" customHeight="1">
      <c r="A241" s="97"/>
      <c r="B241" s="97"/>
      <c r="C241" s="97"/>
      <c r="D241" s="97"/>
      <c r="E241" s="26" t="s">
        <v>558</v>
      </c>
      <c r="F241" s="26" t="s">
        <v>41</v>
      </c>
      <c r="G241" s="26" t="s">
        <v>559</v>
      </c>
    </row>
    <row r="242" spans="1:7" ht="30" customHeight="1">
      <c r="A242" s="97"/>
      <c r="B242" s="97"/>
      <c r="C242" s="97"/>
      <c r="D242" s="97"/>
      <c r="E242" s="26" t="s">
        <v>560</v>
      </c>
      <c r="F242" s="26" t="s">
        <v>48</v>
      </c>
      <c r="G242" s="26" t="s">
        <v>561</v>
      </c>
    </row>
    <row r="243" spans="1:7" ht="30" customHeight="1">
      <c r="A243" s="97"/>
      <c r="B243" s="97"/>
      <c r="C243" s="98"/>
      <c r="D243" s="98"/>
      <c r="E243" s="26" t="s">
        <v>562</v>
      </c>
      <c r="F243" s="26" t="s">
        <v>58</v>
      </c>
      <c r="G243" s="26" t="s">
        <v>563</v>
      </c>
    </row>
    <row r="244" spans="1:7" ht="30" customHeight="1">
      <c r="A244" s="97"/>
      <c r="B244" s="97"/>
      <c r="C244" s="96" t="s">
        <v>564</v>
      </c>
      <c r="D244" s="100" t="s">
        <v>565</v>
      </c>
      <c r="E244" s="26" t="s">
        <v>566</v>
      </c>
      <c r="F244" s="26" t="s">
        <v>35</v>
      </c>
      <c r="G244" s="26" t="s">
        <v>567</v>
      </c>
    </row>
    <row r="245" spans="1:7" ht="30" customHeight="1">
      <c r="A245" s="97"/>
      <c r="B245" s="97"/>
      <c r="C245" s="97"/>
      <c r="D245" s="97"/>
      <c r="E245" s="26" t="s">
        <v>568</v>
      </c>
      <c r="F245" s="26" t="s">
        <v>25</v>
      </c>
      <c r="G245" s="26" t="s">
        <v>569</v>
      </c>
    </row>
    <row r="246" spans="1:7" ht="30" customHeight="1">
      <c r="A246" s="97"/>
      <c r="B246" s="97"/>
      <c r="C246" s="97"/>
      <c r="D246" s="97"/>
      <c r="E246" s="26" t="s">
        <v>570</v>
      </c>
      <c r="F246" s="26" t="s">
        <v>28</v>
      </c>
      <c r="G246" s="26" t="s">
        <v>571</v>
      </c>
    </row>
    <row r="247" spans="1:7" ht="30" customHeight="1">
      <c r="A247" s="97"/>
      <c r="B247" s="97"/>
      <c r="C247" s="97"/>
      <c r="D247" s="97"/>
      <c r="E247" s="26" t="s">
        <v>572</v>
      </c>
      <c r="F247" s="26" t="s">
        <v>50</v>
      </c>
      <c r="G247" s="26" t="s">
        <v>573</v>
      </c>
    </row>
    <row r="248" spans="1:7" ht="30" customHeight="1">
      <c r="A248" s="97"/>
      <c r="B248" s="97"/>
      <c r="C248" s="98"/>
      <c r="D248" s="98"/>
      <c r="E248" s="26" t="s">
        <v>574</v>
      </c>
      <c r="F248" s="26" t="s">
        <v>27</v>
      </c>
      <c r="G248" s="26" t="s">
        <v>575</v>
      </c>
    </row>
    <row r="249" spans="1:7" ht="30" customHeight="1">
      <c r="A249" s="97"/>
      <c r="B249" s="97"/>
      <c r="C249" s="96" t="s">
        <v>576</v>
      </c>
      <c r="D249" s="100" t="s">
        <v>577</v>
      </c>
      <c r="E249" s="26" t="s">
        <v>578</v>
      </c>
      <c r="F249" s="26" t="s">
        <v>27</v>
      </c>
      <c r="G249" s="26" t="s">
        <v>579</v>
      </c>
    </row>
    <row r="250" spans="1:7" ht="30" customHeight="1">
      <c r="A250" s="97"/>
      <c r="B250" s="97"/>
      <c r="C250" s="97"/>
      <c r="D250" s="97"/>
      <c r="E250" s="26" t="s">
        <v>580</v>
      </c>
      <c r="F250" s="26" t="s">
        <v>38</v>
      </c>
      <c r="G250" s="26" t="s">
        <v>581</v>
      </c>
    </row>
    <row r="251" spans="1:7" ht="30" customHeight="1">
      <c r="A251" s="97"/>
      <c r="B251" s="97"/>
      <c r="C251" s="97"/>
      <c r="D251" s="97"/>
      <c r="E251" s="26" t="s">
        <v>582</v>
      </c>
      <c r="F251" s="26" t="s">
        <v>41</v>
      </c>
      <c r="G251" s="26" t="s">
        <v>583</v>
      </c>
    </row>
    <row r="252" spans="1:7" ht="30" customHeight="1">
      <c r="A252" s="97"/>
      <c r="B252" s="97"/>
      <c r="C252" s="97"/>
      <c r="D252" s="97"/>
      <c r="E252" s="26" t="s">
        <v>584</v>
      </c>
      <c r="F252" s="26" t="s">
        <v>48</v>
      </c>
      <c r="G252" s="26" t="s">
        <v>585</v>
      </c>
    </row>
    <row r="253" spans="1:7" ht="30" customHeight="1">
      <c r="A253" s="98"/>
      <c r="B253" s="98"/>
      <c r="C253" s="98"/>
      <c r="D253" s="98"/>
      <c r="E253" s="26" t="s">
        <v>586</v>
      </c>
      <c r="F253" s="26" t="s">
        <v>58</v>
      </c>
      <c r="G253" s="26" t="s">
        <v>587</v>
      </c>
    </row>
    <row r="254" spans="1:7" ht="30" customHeight="1">
      <c r="A254" s="99" t="s">
        <v>588</v>
      </c>
      <c r="B254" s="101" t="s">
        <v>589</v>
      </c>
      <c r="C254" s="99" t="s">
        <v>590</v>
      </c>
      <c r="D254" s="101" t="s">
        <v>591</v>
      </c>
      <c r="E254" s="24" t="s">
        <v>592</v>
      </c>
      <c r="F254" s="24" t="s">
        <v>35</v>
      </c>
      <c r="G254" s="24" t="s">
        <v>593</v>
      </c>
    </row>
    <row r="255" spans="1:7" ht="30" customHeight="1">
      <c r="A255" s="97"/>
      <c r="B255" s="97"/>
      <c r="C255" s="97"/>
      <c r="D255" s="97"/>
      <c r="E255" s="24" t="s">
        <v>594</v>
      </c>
      <c r="F255" s="24" t="s">
        <v>38</v>
      </c>
      <c r="G255" s="24" t="s">
        <v>595</v>
      </c>
    </row>
    <row r="256" spans="1:7" ht="30" customHeight="1">
      <c r="A256" s="97"/>
      <c r="B256" s="97"/>
      <c r="C256" s="97"/>
      <c r="D256" s="97"/>
      <c r="E256" s="24" t="s">
        <v>596</v>
      </c>
      <c r="F256" s="24" t="s">
        <v>41</v>
      </c>
      <c r="G256" s="24" t="s">
        <v>597</v>
      </c>
    </row>
    <row r="257" spans="1:7" ht="30" customHeight="1">
      <c r="A257" s="97"/>
      <c r="B257" s="97"/>
      <c r="C257" s="97"/>
      <c r="D257" s="97"/>
      <c r="E257" s="24" t="s">
        <v>598</v>
      </c>
      <c r="F257" s="24" t="s">
        <v>41</v>
      </c>
      <c r="G257" s="24" t="s">
        <v>599</v>
      </c>
    </row>
    <row r="258" spans="1:7" ht="30" customHeight="1">
      <c r="A258" s="97"/>
      <c r="B258" s="97"/>
      <c r="C258" s="98"/>
      <c r="D258" s="98"/>
      <c r="E258" s="24" t="s">
        <v>600</v>
      </c>
      <c r="F258" s="24" t="s">
        <v>48</v>
      </c>
      <c r="G258" s="24" t="s">
        <v>601</v>
      </c>
    </row>
    <row r="259" spans="1:7" ht="30" customHeight="1">
      <c r="A259" s="97"/>
      <c r="B259" s="97"/>
      <c r="C259" s="99" t="s">
        <v>602</v>
      </c>
      <c r="D259" s="101" t="s">
        <v>603</v>
      </c>
      <c r="E259" s="24" t="s">
        <v>604</v>
      </c>
      <c r="F259" s="24" t="s">
        <v>27</v>
      </c>
      <c r="G259" s="24" t="s">
        <v>605</v>
      </c>
    </row>
    <row r="260" spans="1:7" ht="30" customHeight="1">
      <c r="A260" s="97"/>
      <c r="B260" s="97"/>
      <c r="C260" s="97"/>
      <c r="D260" s="97"/>
      <c r="E260" s="24" t="s">
        <v>606</v>
      </c>
      <c r="F260" s="24" t="s">
        <v>58</v>
      </c>
      <c r="G260" s="24" t="s">
        <v>607</v>
      </c>
    </row>
    <row r="261" spans="1:7" ht="30" customHeight="1">
      <c r="A261" s="97"/>
      <c r="B261" s="97"/>
      <c r="C261" s="97"/>
      <c r="D261" s="97"/>
      <c r="E261" s="24" t="s">
        <v>608</v>
      </c>
      <c r="F261" s="24" t="s">
        <v>38</v>
      </c>
      <c r="G261" s="24" t="s">
        <v>609</v>
      </c>
    </row>
    <row r="262" spans="1:7" ht="30" customHeight="1">
      <c r="A262" s="97"/>
      <c r="B262" s="97"/>
      <c r="C262" s="97"/>
      <c r="D262" s="97"/>
      <c r="E262" s="24" t="s">
        <v>610</v>
      </c>
      <c r="F262" s="24" t="s">
        <v>50</v>
      </c>
      <c r="G262" s="24" t="s">
        <v>611</v>
      </c>
    </row>
    <row r="263" spans="1:7" ht="30" customHeight="1">
      <c r="A263" s="97"/>
      <c r="B263" s="97"/>
      <c r="C263" s="98"/>
      <c r="D263" s="98"/>
      <c r="E263" s="24" t="s">
        <v>612</v>
      </c>
      <c r="F263" s="24" t="s">
        <v>41</v>
      </c>
      <c r="G263" s="24" t="s">
        <v>613</v>
      </c>
    </row>
    <row r="264" spans="1:7" ht="30" customHeight="1">
      <c r="A264" s="97"/>
      <c r="B264" s="97"/>
      <c r="C264" s="99" t="s">
        <v>614</v>
      </c>
      <c r="D264" s="101" t="s">
        <v>615</v>
      </c>
      <c r="E264" s="24" t="s">
        <v>616</v>
      </c>
      <c r="F264" s="24" t="s">
        <v>35</v>
      </c>
      <c r="G264" s="24" t="s">
        <v>617</v>
      </c>
    </row>
    <row r="265" spans="1:7" ht="30" customHeight="1">
      <c r="A265" s="97"/>
      <c r="B265" s="97"/>
      <c r="C265" s="97"/>
      <c r="D265" s="97"/>
      <c r="E265" s="24" t="s">
        <v>618</v>
      </c>
      <c r="F265" s="24" t="s">
        <v>25</v>
      </c>
      <c r="G265" s="24" t="s">
        <v>619</v>
      </c>
    </row>
    <row r="266" spans="1:7" ht="30" customHeight="1">
      <c r="A266" s="97"/>
      <c r="B266" s="97"/>
      <c r="C266" s="97"/>
      <c r="D266" s="97"/>
      <c r="E266" s="24" t="s">
        <v>620</v>
      </c>
      <c r="F266" s="24" t="s">
        <v>28</v>
      </c>
      <c r="G266" s="24" t="s">
        <v>621</v>
      </c>
    </row>
    <row r="267" spans="1:7" ht="30" customHeight="1">
      <c r="A267" s="97"/>
      <c r="B267" s="97"/>
      <c r="C267" s="97"/>
      <c r="D267" s="97"/>
      <c r="E267" s="24" t="s">
        <v>622</v>
      </c>
      <c r="F267" s="24" t="s">
        <v>50</v>
      </c>
      <c r="G267" s="24" t="s">
        <v>623</v>
      </c>
    </row>
    <row r="268" spans="1:7" ht="30" customHeight="1">
      <c r="A268" s="97"/>
      <c r="B268" s="97"/>
      <c r="C268" s="98"/>
      <c r="D268" s="98"/>
      <c r="E268" s="24" t="s">
        <v>624</v>
      </c>
      <c r="F268" s="24" t="s">
        <v>27</v>
      </c>
      <c r="G268" s="24" t="s">
        <v>625</v>
      </c>
    </row>
    <row r="269" spans="1:7" ht="30" customHeight="1">
      <c r="A269" s="97"/>
      <c r="B269" s="97"/>
      <c r="C269" s="99" t="s">
        <v>626</v>
      </c>
      <c r="D269" s="101" t="s">
        <v>627</v>
      </c>
      <c r="E269" s="24" t="s">
        <v>628</v>
      </c>
      <c r="F269" s="24" t="s">
        <v>35</v>
      </c>
      <c r="G269" s="24" t="s">
        <v>629</v>
      </c>
    </row>
    <row r="270" spans="1:7" ht="30" customHeight="1">
      <c r="A270" s="97"/>
      <c r="B270" s="97"/>
      <c r="C270" s="97"/>
      <c r="D270" s="97"/>
      <c r="E270" s="24" t="s">
        <v>630</v>
      </c>
      <c r="F270" s="24" t="s">
        <v>38</v>
      </c>
      <c r="G270" s="24" t="s">
        <v>631</v>
      </c>
    </row>
    <row r="271" spans="1:7" ht="30" customHeight="1">
      <c r="A271" s="97"/>
      <c r="B271" s="97"/>
      <c r="C271" s="97"/>
      <c r="D271" s="97"/>
      <c r="E271" s="24" t="s">
        <v>632</v>
      </c>
      <c r="F271" s="24" t="s">
        <v>41</v>
      </c>
      <c r="G271" s="24" t="s">
        <v>633</v>
      </c>
    </row>
    <row r="272" spans="1:7" ht="30" customHeight="1">
      <c r="A272" s="97"/>
      <c r="B272" s="97"/>
      <c r="C272" s="97"/>
      <c r="D272" s="97"/>
      <c r="E272" s="24" t="s">
        <v>634</v>
      </c>
      <c r="F272" s="24" t="s">
        <v>32</v>
      </c>
      <c r="G272" s="24" t="s">
        <v>635</v>
      </c>
    </row>
    <row r="273" spans="1:7" ht="30" customHeight="1">
      <c r="A273" s="97"/>
      <c r="B273" s="97"/>
      <c r="C273" s="98"/>
      <c r="D273" s="98"/>
      <c r="E273" s="24" t="s">
        <v>636</v>
      </c>
      <c r="F273" s="24" t="s">
        <v>27</v>
      </c>
      <c r="G273" s="24" t="s">
        <v>637</v>
      </c>
    </row>
    <row r="274" spans="1:7" ht="30" customHeight="1">
      <c r="A274" s="97"/>
      <c r="B274" s="97"/>
      <c r="C274" s="99" t="s">
        <v>638</v>
      </c>
      <c r="D274" s="101" t="s">
        <v>639</v>
      </c>
      <c r="E274" s="24" t="s">
        <v>640</v>
      </c>
      <c r="F274" s="24" t="s">
        <v>62</v>
      </c>
      <c r="G274" s="24" t="s">
        <v>641</v>
      </c>
    </row>
    <row r="275" spans="1:7" ht="30" customHeight="1">
      <c r="A275" s="97"/>
      <c r="B275" s="97"/>
      <c r="C275" s="97"/>
      <c r="D275" s="97"/>
      <c r="E275" s="24" t="s">
        <v>642</v>
      </c>
      <c r="F275" s="24" t="s">
        <v>38</v>
      </c>
      <c r="G275" s="24" t="s">
        <v>643</v>
      </c>
    </row>
    <row r="276" spans="1:7" ht="30" customHeight="1">
      <c r="A276" s="97"/>
      <c r="B276" s="97"/>
      <c r="C276" s="97"/>
      <c r="D276" s="97"/>
      <c r="E276" s="24" t="s">
        <v>644</v>
      </c>
      <c r="F276" s="24" t="s">
        <v>48</v>
      </c>
      <c r="G276" s="24" t="s">
        <v>645</v>
      </c>
    </row>
    <row r="277" spans="1:7" ht="30" customHeight="1">
      <c r="A277" s="97"/>
      <c r="B277" s="97"/>
      <c r="C277" s="97"/>
      <c r="D277" s="97"/>
      <c r="E277" s="24" t="s">
        <v>646</v>
      </c>
      <c r="F277" s="24" t="s">
        <v>27</v>
      </c>
      <c r="G277" s="24" t="s">
        <v>647</v>
      </c>
    </row>
    <row r="278" spans="1:7" ht="30" customHeight="1">
      <c r="A278" s="98"/>
      <c r="B278" s="98"/>
      <c r="C278" s="98"/>
      <c r="D278" s="98"/>
      <c r="E278" s="24" t="s">
        <v>648</v>
      </c>
      <c r="F278" s="24" t="s">
        <v>58</v>
      </c>
      <c r="G278" s="24" t="s">
        <v>649</v>
      </c>
    </row>
    <row r="279" spans="1:7" ht="30" customHeight="1">
      <c r="A279" s="96" t="s">
        <v>650</v>
      </c>
      <c r="B279" s="100" t="s">
        <v>651</v>
      </c>
      <c r="C279" s="96" t="s">
        <v>652</v>
      </c>
      <c r="D279" s="100" t="s">
        <v>653</v>
      </c>
      <c r="E279" s="26" t="s">
        <v>654</v>
      </c>
      <c r="F279" s="26" t="s">
        <v>35</v>
      </c>
      <c r="G279" s="26" t="s">
        <v>655</v>
      </c>
    </row>
    <row r="280" spans="1:7" ht="30" customHeight="1">
      <c r="A280" s="97"/>
      <c r="B280" s="97"/>
      <c r="C280" s="97"/>
      <c r="D280" s="97"/>
      <c r="E280" s="26" t="s">
        <v>656</v>
      </c>
      <c r="F280" s="26" t="s">
        <v>38</v>
      </c>
      <c r="G280" s="26" t="s">
        <v>657</v>
      </c>
    </row>
    <row r="281" spans="1:7" ht="30" customHeight="1">
      <c r="A281" s="97"/>
      <c r="B281" s="97"/>
      <c r="C281" s="97"/>
      <c r="D281" s="97"/>
      <c r="E281" s="26" t="s">
        <v>658</v>
      </c>
      <c r="F281" s="26" t="s">
        <v>28</v>
      </c>
      <c r="G281" s="26" t="s">
        <v>659</v>
      </c>
    </row>
    <row r="282" spans="1:7" ht="30" customHeight="1">
      <c r="A282" s="97"/>
      <c r="B282" s="97"/>
      <c r="C282" s="97"/>
      <c r="D282" s="97"/>
      <c r="E282" s="26" t="s">
        <v>660</v>
      </c>
      <c r="F282" s="26" t="s">
        <v>41</v>
      </c>
      <c r="G282" s="26" t="s">
        <v>661</v>
      </c>
    </row>
    <row r="283" spans="1:7" ht="30" customHeight="1">
      <c r="A283" s="97"/>
      <c r="B283" s="97"/>
      <c r="C283" s="98"/>
      <c r="D283" s="98"/>
      <c r="E283" s="26" t="s">
        <v>662</v>
      </c>
      <c r="F283" s="26" t="s">
        <v>48</v>
      </c>
      <c r="G283" s="26" t="s">
        <v>663</v>
      </c>
    </row>
    <row r="284" spans="1:7" ht="30" customHeight="1">
      <c r="A284" s="97"/>
      <c r="B284" s="97"/>
      <c r="C284" s="96" t="s">
        <v>664</v>
      </c>
      <c r="D284" s="100" t="s">
        <v>665</v>
      </c>
      <c r="E284" s="26" t="s">
        <v>666</v>
      </c>
      <c r="F284" s="26" t="s">
        <v>65</v>
      </c>
      <c r="G284" s="26" t="s">
        <v>667</v>
      </c>
    </row>
    <row r="285" spans="1:7" ht="30" customHeight="1">
      <c r="A285" s="97"/>
      <c r="B285" s="97"/>
      <c r="C285" s="97"/>
      <c r="D285" s="97"/>
      <c r="E285" s="26" t="s">
        <v>668</v>
      </c>
      <c r="F285" s="26" t="s">
        <v>38</v>
      </c>
      <c r="G285" s="26" t="s">
        <v>669</v>
      </c>
    </row>
    <row r="286" spans="1:7" ht="30" customHeight="1">
      <c r="A286" s="97"/>
      <c r="B286" s="97"/>
      <c r="C286" s="97"/>
      <c r="D286" s="97"/>
      <c r="E286" s="26" t="s">
        <v>670</v>
      </c>
      <c r="F286" s="26" t="s">
        <v>27</v>
      </c>
      <c r="G286" s="26" t="s">
        <v>671</v>
      </c>
    </row>
    <row r="287" spans="1:7" ht="30" customHeight="1">
      <c r="A287" s="97"/>
      <c r="B287" s="97"/>
      <c r="C287" s="97"/>
      <c r="D287" s="97"/>
      <c r="E287" s="26" t="s">
        <v>672</v>
      </c>
      <c r="F287" s="26" t="s">
        <v>50</v>
      </c>
      <c r="G287" s="26" t="s">
        <v>673</v>
      </c>
    </row>
    <row r="288" spans="1:7" ht="30" customHeight="1">
      <c r="A288" s="97"/>
      <c r="B288" s="97"/>
      <c r="C288" s="98"/>
      <c r="D288" s="98"/>
      <c r="E288" s="26" t="s">
        <v>674</v>
      </c>
      <c r="F288" s="26" t="s">
        <v>58</v>
      </c>
      <c r="G288" s="26" t="s">
        <v>675</v>
      </c>
    </row>
    <row r="289" spans="1:7" ht="30" customHeight="1">
      <c r="A289" s="97"/>
      <c r="B289" s="97"/>
      <c r="C289" s="96" t="s">
        <v>676</v>
      </c>
      <c r="D289" s="100" t="s">
        <v>677</v>
      </c>
      <c r="E289" s="26" t="s">
        <v>678</v>
      </c>
      <c r="F289" s="26" t="s">
        <v>35</v>
      </c>
      <c r="G289" s="26" t="s">
        <v>679</v>
      </c>
    </row>
    <row r="290" spans="1:7" ht="30" customHeight="1">
      <c r="A290" s="97"/>
      <c r="B290" s="97"/>
      <c r="C290" s="97"/>
      <c r="D290" s="97"/>
      <c r="E290" s="26" t="s">
        <v>680</v>
      </c>
      <c r="F290" s="26" t="s">
        <v>38</v>
      </c>
      <c r="G290" s="26" t="s">
        <v>681</v>
      </c>
    </row>
    <row r="291" spans="1:7" ht="30" customHeight="1">
      <c r="A291" s="97"/>
      <c r="B291" s="97"/>
      <c r="C291" s="97"/>
      <c r="D291" s="97"/>
      <c r="E291" s="26" t="s">
        <v>682</v>
      </c>
      <c r="F291" s="26" t="s">
        <v>41</v>
      </c>
      <c r="G291" s="26" t="s">
        <v>683</v>
      </c>
    </row>
    <row r="292" spans="1:7" ht="30" customHeight="1">
      <c r="A292" s="97"/>
      <c r="B292" s="97"/>
      <c r="C292" s="97"/>
      <c r="D292" s="97"/>
      <c r="E292" s="26" t="s">
        <v>684</v>
      </c>
      <c r="F292" s="26" t="s">
        <v>50</v>
      </c>
      <c r="G292" s="26" t="s">
        <v>685</v>
      </c>
    </row>
    <row r="293" spans="1:7" ht="30" customHeight="1">
      <c r="A293" s="97"/>
      <c r="B293" s="97"/>
      <c r="C293" s="98"/>
      <c r="D293" s="98"/>
      <c r="E293" s="26" t="s">
        <v>686</v>
      </c>
      <c r="F293" s="26" t="s">
        <v>27</v>
      </c>
      <c r="G293" s="26" t="s">
        <v>687</v>
      </c>
    </row>
    <row r="294" spans="1:7" ht="30" customHeight="1">
      <c r="A294" s="97"/>
      <c r="B294" s="97"/>
      <c r="C294" s="96" t="s">
        <v>688</v>
      </c>
      <c r="D294" s="100" t="s">
        <v>689</v>
      </c>
      <c r="E294" s="26" t="s">
        <v>690</v>
      </c>
      <c r="F294" s="26" t="s">
        <v>35</v>
      </c>
      <c r="G294" s="26" t="s">
        <v>691</v>
      </c>
    </row>
    <row r="295" spans="1:7" ht="30" customHeight="1">
      <c r="A295" s="97"/>
      <c r="B295" s="97"/>
      <c r="C295" s="97"/>
      <c r="D295" s="97"/>
      <c r="E295" s="26" t="s">
        <v>692</v>
      </c>
      <c r="F295" s="26" t="s">
        <v>25</v>
      </c>
      <c r="G295" s="26" t="s">
        <v>693</v>
      </c>
    </row>
    <row r="296" spans="1:7" ht="30" customHeight="1">
      <c r="A296" s="97"/>
      <c r="B296" s="97"/>
      <c r="C296" s="97"/>
      <c r="D296" s="97"/>
      <c r="E296" s="26" t="s">
        <v>694</v>
      </c>
      <c r="F296" s="26" t="s">
        <v>28</v>
      </c>
      <c r="G296" s="26" t="s">
        <v>695</v>
      </c>
    </row>
    <row r="297" spans="1:7" ht="30" customHeight="1">
      <c r="A297" s="97"/>
      <c r="B297" s="97"/>
      <c r="C297" s="97"/>
      <c r="D297" s="97"/>
      <c r="E297" s="26" t="s">
        <v>696</v>
      </c>
      <c r="F297" s="26" t="s">
        <v>41</v>
      </c>
      <c r="G297" s="26" t="s">
        <v>697</v>
      </c>
    </row>
    <row r="298" spans="1:7" ht="30" customHeight="1">
      <c r="A298" s="97"/>
      <c r="B298" s="97"/>
      <c r="C298" s="98"/>
      <c r="D298" s="98"/>
      <c r="E298" s="26" t="s">
        <v>698</v>
      </c>
      <c r="F298" s="26" t="s">
        <v>32</v>
      </c>
      <c r="G298" s="26" t="s">
        <v>699</v>
      </c>
    </row>
    <row r="299" spans="1:7" ht="30" customHeight="1">
      <c r="A299" s="97"/>
      <c r="B299" s="97"/>
      <c r="C299" s="96" t="s">
        <v>700</v>
      </c>
      <c r="D299" s="100" t="s">
        <v>701</v>
      </c>
      <c r="E299" s="26" t="s">
        <v>702</v>
      </c>
      <c r="F299" s="26" t="s">
        <v>27</v>
      </c>
      <c r="G299" s="26" t="s">
        <v>703</v>
      </c>
    </row>
    <row r="300" spans="1:7" ht="30" customHeight="1">
      <c r="A300" s="97"/>
      <c r="B300" s="97"/>
      <c r="C300" s="97"/>
      <c r="D300" s="97"/>
      <c r="E300" s="26" t="s">
        <v>704</v>
      </c>
      <c r="F300" s="26" t="s">
        <v>38</v>
      </c>
      <c r="G300" s="26" t="s">
        <v>705</v>
      </c>
    </row>
    <row r="301" spans="1:7" ht="30" customHeight="1">
      <c r="A301" s="97"/>
      <c r="B301" s="97"/>
      <c r="C301" s="97"/>
      <c r="D301" s="97"/>
      <c r="E301" s="26" t="s">
        <v>706</v>
      </c>
      <c r="F301" s="26" t="s">
        <v>41</v>
      </c>
      <c r="G301" s="26" t="s">
        <v>707</v>
      </c>
    </row>
    <row r="302" spans="1:7" ht="30" customHeight="1">
      <c r="A302" s="97"/>
      <c r="B302" s="97"/>
      <c r="C302" s="97"/>
      <c r="D302" s="97"/>
      <c r="E302" s="26" t="s">
        <v>708</v>
      </c>
      <c r="F302" s="26" t="s">
        <v>48</v>
      </c>
      <c r="G302" s="26" t="s">
        <v>709</v>
      </c>
    </row>
    <row r="303" spans="1:7" ht="30" customHeight="1">
      <c r="A303" s="98"/>
      <c r="B303" s="98"/>
      <c r="C303" s="98"/>
      <c r="D303" s="98"/>
      <c r="E303" s="26" t="s">
        <v>710</v>
      </c>
      <c r="F303" s="26" t="s">
        <v>58</v>
      </c>
      <c r="G303" s="26" t="s">
        <v>711</v>
      </c>
    </row>
    <row r="304" spans="1:7" ht="30" customHeight="1">
      <c r="A304" s="99" t="s">
        <v>712</v>
      </c>
      <c r="B304" s="101" t="s">
        <v>713</v>
      </c>
      <c r="C304" s="99" t="s">
        <v>714</v>
      </c>
      <c r="D304" s="101" t="s">
        <v>715</v>
      </c>
      <c r="E304" s="24" t="s">
        <v>716</v>
      </c>
      <c r="F304" s="24" t="s">
        <v>35</v>
      </c>
      <c r="G304" s="24" t="s">
        <v>717</v>
      </c>
    </row>
    <row r="305" spans="1:7" ht="30" customHeight="1">
      <c r="A305" s="97"/>
      <c r="B305" s="97"/>
      <c r="C305" s="97"/>
      <c r="D305" s="97"/>
      <c r="E305" s="24" t="s">
        <v>718</v>
      </c>
      <c r="F305" s="24" t="s">
        <v>38</v>
      </c>
      <c r="G305" s="24" t="s">
        <v>719</v>
      </c>
    </row>
    <row r="306" spans="1:7" ht="30" customHeight="1">
      <c r="A306" s="97"/>
      <c r="B306" s="97"/>
      <c r="C306" s="97"/>
      <c r="D306" s="97"/>
      <c r="E306" s="24" t="s">
        <v>720</v>
      </c>
      <c r="F306" s="24" t="s">
        <v>25</v>
      </c>
      <c r="G306" s="24" t="s">
        <v>721</v>
      </c>
    </row>
    <row r="307" spans="1:7" ht="30" customHeight="1">
      <c r="A307" s="97"/>
      <c r="B307" s="97"/>
      <c r="C307" s="97"/>
      <c r="D307" s="97"/>
      <c r="E307" s="24" t="s">
        <v>722</v>
      </c>
      <c r="F307" s="24" t="s">
        <v>48</v>
      </c>
      <c r="G307" s="24" t="s">
        <v>723</v>
      </c>
    </row>
    <row r="308" spans="1:7" ht="30" customHeight="1">
      <c r="A308" s="97"/>
      <c r="B308" s="97"/>
      <c r="C308" s="98"/>
      <c r="D308" s="98"/>
      <c r="E308" s="24" t="s">
        <v>724</v>
      </c>
      <c r="F308" s="24" t="s">
        <v>27</v>
      </c>
      <c r="G308" s="24" t="s">
        <v>725</v>
      </c>
    </row>
    <row r="309" spans="1:7" ht="30" customHeight="1">
      <c r="A309" s="97"/>
      <c r="B309" s="97"/>
      <c r="C309" s="99" t="s">
        <v>726</v>
      </c>
      <c r="D309" s="101" t="s">
        <v>727</v>
      </c>
      <c r="E309" s="24" t="s">
        <v>728</v>
      </c>
      <c r="F309" s="24" t="s">
        <v>38</v>
      </c>
      <c r="G309" s="24" t="s">
        <v>729</v>
      </c>
    </row>
    <row r="310" spans="1:7" ht="30" customHeight="1">
      <c r="A310" s="97"/>
      <c r="B310" s="97"/>
      <c r="C310" s="97"/>
      <c r="D310" s="97"/>
      <c r="E310" s="24" t="s">
        <v>730</v>
      </c>
      <c r="F310" s="24" t="s">
        <v>41</v>
      </c>
      <c r="G310" s="24" t="s">
        <v>731</v>
      </c>
    </row>
    <row r="311" spans="1:7" ht="30" customHeight="1">
      <c r="A311" s="97"/>
      <c r="B311" s="97"/>
      <c r="C311" s="97"/>
      <c r="D311" s="97"/>
      <c r="E311" s="24" t="s">
        <v>732</v>
      </c>
      <c r="F311" s="24" t="s">
        <v>32</v>
      </c>
      <c r="G311" s="24" t="s">
        <v>733</v>
      </c>
    </row>
    <row r="312" spans="1:7" ht="30" customHeight="1">
      <c r="A312" s="97"/>
      <c r="B312" s="97"/>
      <c r="C312" s="97"/>
      <c r="D312" s="97"/>
      <c r="E312" s="24" t="s">
        <v>734</v>
      </c>
      <c r="F312" s="24" t="s">
        <v>27</v>
      </c>
      <c r="G312" s="24" t="s">
        <v>735</v>
      </c>
    </row>
    <row r="313" spans="1:7" ht="30" customHeight="1">
      <c r="A313" s="97"/>
      <c r="B313" s="97"/>
      <c r="C313" s="98"/>
      <c r="D313" s="98"/>
      <c r="E313" s="24" t="s">
        <v>736</v>
      </c>
      <c r="F313" s="24" t="s">
        <v>58</v>
      </c>
      <c r="G313" s="24" t="s">
        <v>737</v>
      </c>
    </row>
    <row r="314" spans="1:7" ht="30" customHeight="1">
      <c r="A314" s="97"/>
      <c r="B314" s="97"/>
      <c r="C314" s="99" t="s">
        <v>738</v>
      </c>
      <c r="D314" s="101" t="s">
        <v>739</v>
      </c>
      <c r="E314" s="24" t="s">
        <v>740</v>
      </c>
      <c r="F314" s="24" t="s">
        <v>27</v>
      </c>
      <c r="G314" s="24" t="s">
        <v>741</v>
      </c>
    </row>
    <row r="315" spans="1:7" ht="30" customHeight="1">
      <c r="A315" s="97"/>
      <c r="B315" s="97"/>
      <c r="C315" s="97"/>
      <c r="D315" s="97"/>
      <c r="E315" s="24" t="s">
        <v>742</v>
      </c>
      <c r="F315" s="24" t="s">
        <v>38</v>
      </c>
      <c r="G315" s="24" t="s">
        <v>743</v>
      </c>
    </row>
    <row r="316" spans="1:7" ht="30" customHeight="1">
      <c r="A316" s="97"/>
      <c r="B316" s="97"/>
      <c r="C316" s="97"/>
      <c r="D316" s="97"/>
      <c r="E316" s="24" t="s">
        <v>744</v>
      </c>
      <c r="F316" s="24" t="s">
        <v>41</v>
      </c>
      <c r="G316" s="24" t="s">
        <v>745</v>
      </c>
    </row>
    <row r="317" spans="1:7" ht="30" customHeight="1">
      <c r="A317" s="97"/>
      <c r="B317" s="97"/>
      <c r="C317" s="97"/>
      <c r="D317" s="97"/>
      <c r="E317" s="24" t="s">
        <v>746</v>
      </c>
      <c r="F317" s="24" t="s">
        <v>48</v>
      </c>
      <c r="G317" s="24" t="s">
        <v>747</v>
      </c>
    </row>
    <row r="318" spans="1:7" ht="30" customHeight="1">
      <c r="A318" s="97"/>
      <c r="B318" s="97"/>
      <c r="C318" s="98"/>
      <c r="D318" s="98"/>
      <c r="E318" s="24" t="s">
        <v>748</v>
      </c>
      <c r="F318" s="24" t="s">
        <v>58</v>
      </c>
      <c r="G318" s="24" t="s">
        <v>749</v>
      </c>
    </row>
    <row r="319" spans="1:7" ht="30" customHeight="1">
      <c r="A319" s="97"/>
      <c r="B319" s="97"/>
      <c r="C319" s="99" t="s">
        <v>750</v>
      </c>
      <c r="D319" s="101" t="s">
        <v>751</v>
      </c>
      <c r="E319" s="24" t="s">
        <v>752</v>
      </c>
      <c r="F319" s="24" t="s">
        <v>25</v>
      </c>
      <c r="G319" s="24" t="s">
        <v>753</v>
      </c>
    </row>
    <row r="320" spans="1:7" ht="30" customHeight="1">
      <c r="A320" s="97"/>
      <c r="B320" s="97"/>
      <c r="C320" s="97"/>
      <c r="D320" s="97"/>
      <c r="E320" s="24" t="s">
        <v>754</v>
      </c>
      <c r="F320" s="24" t="s">
        <v>28</v>
      </c>
      <c r="G320" s="24" t="s">
        <v>755</v>
      </c>
    </row>
    <row r="321" spans="1:7" ht="30" customHeight="1">
      <c r="A321" s="97"/>
      <c r="B321" s="97"/>
      <c r="C321" s="97"/>
      <c r="D321" s="97"/>
      <c r="E321" s="24" t="s">
        <v>756</v>
      </c>
      <c r="F321" s="24" t="s">
        <v>38</v>
      </c>
      <c r="G321" s="24" t="s">
        <v>757</v>
      </c>
    </row>
    <row r="322" spans="1:7" ht="30" customHeight="1">
      <c r="A322" s="97"/>
      <c r="B322" s="97"/>
      <c r="C322" s="97"/>
      <c r="D322" s="97"/>
      <c r="E322" s="24" t="s">
        <v>758</v>
      </c>
      <c r="F322" s="24" t="s">
        <v>50</v>
      </c>
      <c r="G322" s="24" t="s">
        <v>759</v>
      </c>
    </row>
    <row r="323" spans="1:7" ht="30" customHeight="1">
      <c r="A323" s="97"/>
      <c r="B323" s="97"/>
      <c r="C323" s="98"/>
      <c r="D323" s="98"/>
      <c r="E323" s="24" t="s">
        <v>760</v>
      </c>
      <c r="F323" s="24" t="s">
        <v>27</v>
      </c>
      <c r="G323" s="24" t="s">
        <v>761</v>
      </c>
    </row>
    <row r="324" spans="1:7" ht="30" customHeight="1">
      <c r="A324" s="97"/>
      <c r="B324" s="97"/>
      <c r="C324" s="99" t="s">
        <v>762</v>
      </c>
      <c r="D324" s="101" t="s">
        <v>763</v>
      </c>
      <c r="E324" s="24" t="s">
        <v>764</v>
      </c>
      <c r="F324" s="24" t="s">
        <v>35</v>
      </c>
      <c r="G324" s="24" t="s">
        <v>765</v>
      </c>
    </row>
    <row r="325" spans="1:7" ht="30" customHeight="1">
      <c r="A325" s="97"/>
      <c r="B325" s="97"/>
      <c r="C325" s="97"/>
      <c r="D325" s="97"/>
      <c r="E325" s="24" t="s">
        <v>766</v>
      </c>
      <c r="F325" s="24" t="s">
        <v>35</v>
      </c>
      <c r="G325" s="24" t="s">
        <v>767</v>
      </c>
    </row>
    <row r="326" spans="1:7" ht="30" customHeight="1">
      <c r="A326" s="97"/>
      <c r="B326" s="97"/>
      <c r="C326" s="97"/>
      <c r="D326" s="97"/>
      <c r="E326" s="24" t="s">
        <v>768</v>
      </c>
      <c r="F326" s="24" t="s">
        <v>50</v>
      </c>
      <c r="G326" s="24" t="s">
        <v>769</v>
      </c>
    </row>
    <row r="327" spans="1:7" ht="30" customHeight="1">
      <c r="A327" s="97"/>
      <c r="B327" s="97"/>
      <c r="C327" s="97"/>
      <c r="D327" s="97"/>
      <c r="E327" s="24" t="s">
        <v>770</v>
      </c>
      <c r="F327" s="24" t="s">
        <v>50</v>
      </c>
      <c r="G327" s="24" t="s">
        <v>771</v>
      </c>
    </row>
    <row r="328" spans="1:7" ht="30" customHeight="1">
      <c r="A328" s="98"/>
      <c r="B328" s="98"/>
      <c r="C328" s="98"/>
      <c r="D328" s="98"/>
      <c r="E328" s="24" t="s">
        <v>772</v>
      </c>
      <c r="F328" s="24" t="s">
        <v>27</v>
      </c>
      <c r="G328" s="24" t="s">
        <v>773</v>
      </c>
    </row>
    <row r="329" spans="1:7" ht="30" customHeight="1">
      <c r="A329" s="96" t="s">
        <v>774</v>
      </c>
      <c r="B329" s="100" t="s">
        <v>775</v>
      </c>
      <c r="C329" s="96" t="s">
        <v>776</v>
      </c>
      <c r="D329" s="100" t="s">
        <v>777</v>
      </c>
      <c r="E329" s="26" t="s">
        <v>778</v>
      </c>
      <c r="F329" s="26" t="s">
        <v>27</v>
      </c>
      <c r="G329" s="26" t="s">
        <v>779</v>
      </c>
    </row>
    <row r="330" spans="1:7" ht="30" customHeight="1">
      <c r="A330" s="97"/>
      <c r="B330" s="97"/>
      <c r="C330" s="97"/>
      <c r="D330" s="97"/>
      <c r="E330" s="26" t="s">
        <v>780</v>
      </c>
      <c r="F330" s="26" t="s">
        <v>38</v>
      </c>
      <c r="G330" s="26" t="s">
        <v>781</v>
      </c>
    </row>
    <row r="331" spans="1:7" ht="30" customHeight="1">
      <c r="A331" s="97"/>
      <c r="B331" s="97"/>
      <c r="C331" s="97"/>
      <c r="D331" s="97"/>
      <c r="E331" s="26" t="s">
        <v>782</v>
      </c>
      <c r="F331" s="26" t="s">
        <v>41</v>
      </c>
      <c r="G331" s="26" t="s">
        <v>783</v>
      </c>
    </row>
    <row r="332" spans="1:7" ht="30" customHeight="1">
      <c r="A332" s="97"/>
      <c r="B332" s="97"/>
      <c r="C332" s="97"/>
      <c r="D332" s="97"/>
      <c r="E332" s="26" t="s">
        <v>784</v>
      </c>
      <c r="F332" s="26" t="s">
        <v>48</v>
      </c>
      <c r="G332" s="26" t="s">
        <v>785</v>
      </c>
    </row>
    <row r="333" spans="1:7" ht="30" customHeight="1">
      <c r="A333" s="97"/>
      <c r="B333" s="97"/>
      <c r="C333" s="98"/>
      <c r="D333" s="98"/>
      <c r="E333" s="26" t="s">
        <v>786</v>
      </c>
      <c r="F333" s="26" t="s">
        <v>58</v>
      </c>
      <c r="G333" s="26" t="s">
        <v>787</v>
      </c>
    </row>
    <row r="334" spans="1:7" ht="30" customHeight="1">
      <c r="A334" s="97"/>
      <c r="B334" s="97"/>
      <c r="C334" s="96" t="s">
        <v>788</v>
      </c>
      <c r="D334" s="100" t="s">
        <v>789</v>
      </c>
      <c r="E334" s="26" t="s">
        <v>790</v>
      </c>
      <c r="F334" s="26" t="s">
        <v>41</v>
      </c>
      <c r="G334" s="26" t="s">
        <v>791</v>
      </c>
    </row>
    <row r="335" spans="1:7" ht="30" customHeight="1">
      <c r="A335" s="97"/>
      <c r="B335" s="97"/>
      <c r="C335" s="97"/>
      <c r="D335" s="97"/>
      <c r="E335" s="26" t="s">
        <v>792</v>
      </c>
      <c r="F335" s="26" t="s">
        <v>48</v>
      </c>
      <c r="G335" s="26" t="s">
        <v>793</v>
      </c>
    </row>
    <row r="336" spans="1:7" ht="30" customHeight="1">
      <c r="A336" s="97"/>
      <c r="B336" s="97"/>
      <c r="C336" s="97"/>
      <c r="D336" s="97"/>
      <c r="E336" s="26" t="s">
        <v>794</v>
      </c>
      <c r="F336" s="26" t="s">
        <v>32</v>
      </c>
      <c r="G336" s="26" t="s">
        <v>795</v>
      </c>
    </row>
    <row r="337" spans="1:7" ht="30" customHeight="1">
      <c r="A337" s="97"/>
      <c r="B337" s="97"/>
      <c r="C337" s="97"/>
      <c r="D337" s="97"/>
      <c r="E337" s="26" t="s">
        <v>796</v>
      </c>
      <c r="F337" s="26" t="s">
        <v>41</v>
      </c>
      <c r="G337" s="26" t="s">
        <v>797</v>
      </c>
    </row>
    <row r="338" spans="1:7" ht="30" customHeight="1">
      <c r="A338" s="97"/>
      <c r="B338" s="97"/>
      <c r="C338" s="98"/>
      <c r="D338" s="98"/>
      <c r="E338" s="26" t="s">
        <v>798</v>
      </c>
      <c r="F338" s="26" t="s">
        <v>48</v>
      </c>
      <c r="G338" s="26" t="s">
        <v>799</v>
      </c>
    </row>
    <row r="339" spans="1:7" ht="30" customHeight="1">
      <c r="A339" s="97"/>
      <c r="B339" s="97"/>
      <c r="C339" s="96" t="s">
        <v>800</v>
      </c>
      <c r="D339" s="100" t="s">
        <v>801</v>
      </c>
      <c r="E339" s="26" t="s">
        <v>802</v>
      </c>
      <c r="F339" s="26" t="s">
        <v>38</v>
      </c>
      <c r="G339" s="26" t="s">
        <v>803</v>
      </c>
    </row>
    <row r="340" spans="1:7" ht="30" customHeight="1">
      <c r="A340" s="97"/>
      <c r="B340" s="97"/>
      <c r="C340" s="97"/>
      <c r="D340" s="97"/>
      <c r="E340" s="26" t="s">
        <v>804</v>
      </c>
      <c r="F340" s="26" t="s">
        <v>41</v>
      </c>
      <c r="G340" s="26" t="s">
        <v>805</v>
      </c>
    </row>
    <row r="341" spans="1:7" ht="30" customHeight="1">
      <c r="A341" s="97"/>
      <c r="B341" s="97"/>
      <c r="C341" s="97"/>
      <c r="D341" s="97"/>
      <c r="E341" s="26" t="s">
        <v>806</v>
      </c>
      <c r="F341" s="26" t="s">
        <v>27</v>
      </c>
      <c r="G341" s="26" t="s">
        <v>807</v>
      </c>
    </row>
    <row r="342" spans="1:7" ht="30" customHeight="1">
      <c r="A342" s="97"/>
      <c r="B342" s="97"/>
      <c r="C342" s="97"/>
      <c r="D342" s="97"/>
      <c r="E342" s="26" t="s">
        <v>808</v>
      </c>
      <c r="F342" s="26" t="s">
        <v>50</v>
      </c>
      <c r="G342" s="26" t="s">
        <v>809</v>
      </c>
    </row>
    <row r="343" spans="1:7" ht="30" customHeight="1">
      <c r="A343" s="97"/>
      <c r="B343" s="97"/>
      <c r="C343" s="98"/>
      <c r="D343" s="98"/>
      <c r="E343" s="26" t="s">
        <v>810</v>
      </c>
      <c r="F343" s="26" t="s">
        <v>32</v>
      </c>
      <c r="G343" s="26" t="s">
        <v>811</v>
      </c>
    </row>
    <row r="344" spans="1:7" ht="30" customHeight="1">
      <c r="A344" s="97"/>
      <c r="B344" s="97"/>
      <c r="C344" s="96" t="s">
        <v>812</v>
      </c>
      <c r="D344" s="100" t="s">
        <v>813</v>
      </c>
      <c r="E344" s="26" t="s">
        <v>814</v>
      </c>
      <c r="F344" s="26" t="s">
        <v>65</v>
      </c>
      <c r="G344" s="26" t="s">
        <v>815</v>
      </c>
    </row>
    <row r="345" spans="1:7" ht="30" customHeight="1">
      <c r="A345" s="97"/>
      <c r="B345" s="97"/>
      <c r="C345" s="97"/>
      <c r="D345" s="97"/>
      <c r="E345" s="26" t="s">
        <v>816</v>
      </c>
      <c r="F345" s="26" t="s">
        <v>38</v>
      </c>
      <c r="G345" s="26" t="s">
        <v>817</v>
      </c>
    </row>
    <row r="346" spans="1:7" ht="30" customHeight="1">
      <c r="A346" s="97"/>
      <c r="B346" s="97"/>
      <c r="C346" s="97"/>
      <c r="D346" s="97"/>
      <c r="E346" s="26" t="s">
        <v>818</v>
      </c>
      <c r="F346" s="26" t="s">
        <v>41</v>
      </c>
      <c r="G346" s="26" t="s">
        <v>819</v>
      </c>
    </row>
    <row r="347" spans="1:7" ht="30" customHeight="1">
      <c r="A347" s="97"/>
      <c r="B347" s="97"/>
      <c r="C347" s="97"/>
      <c r="D347" s="97"/>
      <c r="E347" s="26" t="s">
        <v>820</v>
      </c>
      <c r="F347" s="26" t="s">
        <v>27</v>
      </c>
      <c r="G347" s="26" t="s">
        <v>821</v>
      </c>
    </row>
    <row r="348" spans="1:7" ht="30" customHeight="1">
      <c r="A348" s="97"/>
      <c r="B348" s="97"/>
      <c r="C348" s="98"/>
      <c r="D348" s="98"/>
      <c r="E348" s="26" t="s">
        <v>822</v>
      </c>
      <c r="F348" s="26" t="s">
        <v>50</v>
      </c>
      <c r="G348" s="26" t="s">
        <v>823</v>
      </c>
    </row>
    <row r="349" spans="1:7" ht="30" customHeight="1">
      <c r="A349" s="97"/>
      <c r="B349" s="97"/>
      <c r="C349" s="96" t="s">
        <v>824</v>
      </c>
      <c r="D349" s="100" t="s">
        <v>825</v>
      </c>
      <c r="E349" s="26" t="s">
        <v>826</v>
      </c>
      <c r="F349" s="26" t="s">
        <v>35</v>
      </c>
      <c r="G349" s="26" t="s">
        <v>827</v>
      </c>
    </row>
    <row r="350" spans="1:7" ht="30" customHeight="1">
      <c r="A350" s="97"/>
      <c r="B350" s="97"/>
      <c r="C350" s="97"/>
      <c r="D350" s="97"/>
      <c r="E350" s="26" t="s">
        <v>828</v>
      </c>
      <c r="F350" s="26" t="s">
        <v>38</v>
      </c>
      <c r="G350" s="26" t="s">
        <v>829</v>
      </c>
    </row>
    <row r="351" spans="1:7" ht="30" customHeight="1">
      <c r="A351" s="97"/>
      <c r="B351" s="97"/>
      <c r="C351" s="97"/>
      <c r="D351" s="97"/>
      <c r="E351" s="26" t="s">
        <v>830</v>
      </c>
      <c r="F351" s="26" t="s">
        <v>41</v>
      </c>
      <c r="G351" s="26" t="s">
        <v>831</v>
      </c>
    </row>
    <row r="352" spans="1:7" ht="30" customHeight="1">
      <c r="A352" s="97"/>
      <c r="B352" s="97"/>
      <c r="C352" s="97"/>
      <c r="D352" s="97"/>
      <c r="E352" s="26" t="s">
        <v>832</v>
      </c>
      <c r="F352" s="26" t="s">
        <v>27</v>
      </c>
      <c r="G352" s="26" t="s">
        <v>833</v>
      </c>
    </row>
    <row r="353" spans="1:7" ht="30" customHeight="1">
      <c r="A353" s="98"/>
      <c r="B353" s="98"/>
      <c r="C353" s="98"/>
      <c r="D353" s="98"/>
      <c r="E353" s="26" t="s">
        <v>834</v>
      </c>
      <c r="F353" s="26" t="s">
        <v>48</v>
      </c>
      <c r="G353" s="26" t="s">
        <v>835</v>
      </c>
    </row>
    <row r="354" spans="1:7" ht="30" customHeight="1">
      <c r="A354" s="99" t="s">
        <v>836</v>
      </c>
      <c r="B354" s="101" t="s">
        <v>837</v>
      </c>
      <c r="C354" s="99" t="s">
        <v>838</v>
      </c>
      <c r="D354" s="101" t="s">
        <v>839</v>
      </c>
      <c r="E354" s="24" t="s">
        <v>840</v>
      </c>
      <c r="F354" s="24" t="s">
        <v>65</v>
      </c>
      <c r="G354" s="24" t="s">
        <v>841</v>
      </c>
    </row>
    <row r="355" spans="1:7" ht="30" customHeight="1">
      <c r="A355" s="97"/>
      <c r="B355" s="97"/>
      <c r="C355" s="97"/>
      <c r="D355" s="97"/>
      <c r="E355" s="24" t="s">
        <v>842</v>
      </c>
      <c r="F355" s="24" t="s">
        <v>38</v>
      </c>
      <c r="G355" s="24" t="s">
        <v>843</v>
      </c>
    </row>
    <row r="356" spans="1:7" ht="30" customHeight="1">
      <c r="A356" s="97"/>
      <c r="B356" s="97"/>
      <c r="C356" s="97"/>
      <c r="D356" s="97"/>
      <c r="E356" s="24" t="s">
        <v>844</v>
      </c>
      <c r="F356" s="24" t="s">
        <v>32</v>
      </c>
      <c r="G356" s="24" t="s">
        <v>845</v>
      </c>
    </row>
    <row r="357" spans="1:7" ht="30" customHeight="1">
      <c r="A357" s="97"/>
      <c r="B357" s="97"/>
      <c r="C357" s="97"/>
      <c r="D357" s="97"/>
      <c r="E357" s="24" t="s">
        <v>846</v>
      </c>
      <c r="F357" s="24" t="s">
        <v>27</v>
      </c>
      <c r="G357" s="24" t="s">
        <v>847</v>
      </c>
    </row>
    <row r="358" spans="1:7" ht="30" customHeight="1">
      <c r="A358" s="97"/>
      <c r="B358" s="97"/>
      <c r="C358" s="98"/>
      <c r="D358" s="98"/>
      <c r="E358" s="24" t="s">
        <v>848</v>
      </c>
      <c r="F358" s="24" t="s">
        <v>58</v>
      </c>
      <c r="G358" s="24" t="s">
        <v>849</v>
      </c>
    </row>
    <row r="359" spans="1:7" ht="30" customHeight="1">
      <c r="A359" s="97"/>
      <c r="B359" s="97"/>
      <c r="C359" s="99" t="s">
        <v>850</v>
      </c>
      <c r="D359" s="101" t="s">
        <v>851</v>
      </c>
      <c r="E359" s="24" t="s">
        <v>852</v>
      </c>
      <c r="F359" s="24" t="s">
        <v>68</v>
      </c>
      <c r="G359" s="24" t="s">
        <v>853</v>
      </c>
    </row>
    <row r="360" spans="1:7" ht="30" customHeight="1">
      <c r="A360" s="97"/>
      <c r="B360" s="97"/>
      <c r="C360" s="97"/>
      <c r="D360" s="97"/>
      <c r="E360" s="24" t="s">
        <v>854</v>
      </c>
      <c r="F360" s="24" t="s">
        <v>38</v>
      </c>
      <c r="G360" s="24" t="s">
        <v>855</v>
      </c>
    </row>
    <row r="361" spans="1:7" ht="30" customHeight="1">
      <c r="A361" s="97"/>
      <c r="B361" s="97"/>
      <c r="C361" s="97"/>
      <c r="D361" s="97"/>
      <c r="E361" s="24" t="s">
        <v>856</v>
      </c>
      <c r="F361" s="24" t="s">
        <v>41</v>
      </c>
      <c r="G361" s="24" t="s">
        <v>857</v>
      </c>
    </row>
    <row r="362" spans="1:7" ht="30" customHeight="1">
      <c r="A362" s="97"/>
      <c r="B362" s="97"/>
      <c r="C362" s="97"/>
      <c r="D362" s="97"/>
      <c r="E362" s="24" t="s">
        <v>858</v>
      </c>
      <c r="F362" s="24" t="s">
        <v>48</v>
      </c>
      <c r="G362" s="24" t="s">
        <v>1288</v>
      </c>
    </row>
    <row r="363" spans="1:7" ht="30" customHeight="1">
      <c r="A363" s="97"/>
      <c r="B363" s="97"/>
      <c r="C363" s="98"/>
      <c r="D363" s="98"/>
      <c r="E363" s="24" t="s">
        <v>859</v>
      </c>
      <c r="F363" s="24" t="s">
        <v>27</v>
      </c>
      <c r="G363" s="24" t="s">
        <v>860</v>
      </c>
    </row>
    <row r="364" spans="1:7" ht="30" customHeight="1">
      <c r="A364" s="97"/>
      <c r="B364" s="97"/>
      <c r="C364" s="99" t="s">
        <v>861</v>
      </c>
      <c r="D364" s="101" t="s">
        <v>1289</v>
      </c>
      <c r="E364" s="24" t="s">
        <v>862</v>
      </c>
      <c r="F364" s="24" t="s">
        <v>76</v>
      </c>
      <c r="G364" s="24" t="s">
        <v>1290</v>
      </c>
    </row>
    <row r="365" spans="1:7" ht="30" customHeight="1">
      <c r="A365" s="97"/>
      <c r="B365" s="97"/>
      <c r="C365" s="97"/>
      <c r="D365" s="97"/>
      <c r="E365" s="24" t="s">
        <v>863</v>
      </c>
      <c r="F365" s="24" t="s">
        <v>76</v>
      </c>
      <c r="G365" s="24" t="s">
        <v>1291</v>
      </c>
    </row>
    <row r="366" spans="1:7" ht="30" customHeight="1">
      <c r="A366" s="97"/>
      <c r="B366" s="97"/>
      <c r="C366" s="97"/>
      <c r="D366" s="97"/>
      <c r="E366" s="24" t="s">
        <v>864</v>
      </c>
      <c r="F366" s="24" t="s">
        <v>76</v>
      </c>
      <c r="G366" s="24" t="s">
        <v>1292</v>
      </c>
    </row>
    <row r="367" spans="1:7" ht="30" customHeight="1">
      <c r="A367" s="97"/>
      <c r="B367" s="97"/>
      <c r="C367" s="97"/>
      <c r="D367" s="97"/>
      <c r="E367" s="24" t="s">
        <v>865</v>
      </c>
      <c r="F367" s="24" t="s">
        <v>76</v>
      </c>
      <c r="G367" s="24" t="s">
        <v>1293</v>
      </c>
    </row>
    <row r="368" spans="1:7" ht="30" customHeight="1">
      <c r="A368" s="97"/>
      <c r="B368" s="97"/>
      <c r="C368" s="98"/>
      <c r="D368" s="98"/>
      <c r="E368" s="24" t="s">
        <v>866</v>
      </c>
      <c r="F368" s="24" t="s">
        <v>76</v>
      </c>
      <c r="G368" s="24" t="s">
        <v>1294</v>
      </c>
    </row>
    <row r="369" spans="1:7" ht="30" customHeight="1">
      <c r="A369" s="97"/>
      <c r="B369" s="97"/>
      <c r="C369" s="99" t="s">
        <v>867</v>
      </c>
      <c r="D369" s="101" t="s">
        <v>868</v>
      </c>
      <c r="E369" s="24" t="s">
        <v>869</v>
      </c>
      <c r="F369" s="24" t="s">
        <v>35</v>
      </c>
      <c r="G369" s="24" t="s">
        <v>870</v>
      </c>
    </row>
    <row r="370" spans="1:7" ht="30" customHeight="1">
      <c r="A370" s="97"/>
      <c r="B370" s="97"/>
      <c r="C370" s="97"/>
      <c r="D370" s="97"/>
      <c r="E370" s="24" t="s">
        <v>871</v>
      </c>
      <c r="F370" s="24" t="s">
        <v>38</v>
      </c>
      <c r="G370" s="24" t="s">
        <v>872</v>
      </c>
    </row>
    <row r="371" spans="1:7" ht="30" customHeight="1">
      <c r="A371" s="97"/>
      <c r="B371" s="97"/>
      <c r="C371" s="97"/>
      <c r="D371" s="97"/>
      <c r="E371" s="24" t="s">
        <v>873</v>
      </c>
      <c r="F371" s="24" t="s">
        <v>41</v>
      </c>
      <c r="G371" s="24" t="s">
        <v>874</v>
      </c>
    </row>
    <row r="372" spans="1:7" ht="30" customHeight="1">
      <c r="A372" s="97"/>
      <c r="B372" s="97"/>
      <c r="C372" s="97"/>
      <c r="D372" s="97"/>
      <c r="E372" s="24" t="s">
        <v>875</v>
      </c>
      <c r="F372" s="24" t="s">
        <v>48</v>
      </c>
      <c r="G372" s="24" t="s">
        <v>876</v>
      </c>
    </row>
    <row r="373" spans="1:7" ht="30" customHeight="1">
      <c r="A373" s="97"/>
      <c r="B373" s="97"/>
      <c r="C373" s="98"/>
      <c r="D373" s="98"/>
      <c r="E373" s="24" t="s">
        <v>877</v>
      </c>
      <c r="F373" s="24" t="s">
        <v>58</v>
      </c>
      <c r="G373" s="24" t="s">
        <v>878</v>
      </c>
    </row>
    <row r="374" spans="1:7" ht="30" customHeight="1">
      <c r="A374" s="97"/>
      <c r="B374" s="97"/>
      <c r="C374" s="99" t="s">
        <v>879</v>
      </c>
      <c r="D374" s="101" t="s">
        <v>880</v>
      </c>
      <c r="E374" s="24" t="s">
        <v>881</v>
      </c>
      <c r="F374" s="24" t="s">
        <v>38</v>
      </c>
      <c r="G374" s="24" t="s">
        <v>882</v>
      </c>
    </row>
    <row r="375" spans="1:7" ht="30" customHeight="1">
      <c r="A375" s="97"/>
      <c r="B375" s="97"/>
      <c r="C375" s="97"/>
      <c r="D375" s="97"/>
      <c r="E375" s="24" t="s">
        <v>883</v>
      </c>
      <c r="F375" s="24" t="s">
        <v>48</v>
      </c>
      <c r="G375" s="24" t="s">
        <v>884</v>
      </c>
    </row>
    <row r="376" spans="1:7" ht="30" customHeight="1">
      <c r="A376" s="97"/>
      <c r="B376" s="97"/>
      <c r="C376" s="97"/>
      <c r="D376" s="97"/>
      <c r="E376" s="24" t="s">
        <v>885</v>
      </c>
      <c r="F376" s="24" t="s">
        <v>50</v>
      </c>
      <c r="G376" s="24" t="s">
        <v>886</v>
      </c>
    </row>
    <row r="377" spans="1:7" ht="30" customHeight="1">
      <c r="A377" s="97"/>
      <c r="B377" s="97"/>
      <c r="C377" s="97"/>
      <c r="D377" s="97"/>
      <c r="E377" s="24" t="s">
        <v>887</v>
      </c>
      <c r="F377" s="24" t="s">
        <v>27</v>
      </c>
      <c r="G377" s="24" t="s">
        <v>888</v>
      </c>
    </row>
    <row r="378" spans="1:7" ht="30" customHeight="1">
      <c r="A378" s="98"/>
      <c r="B378" s="98"/>
      <c r="C378" s="98"/>
      <c r="D378" s="98"/>
      <c r="E378" s="24" t="s">
        <v>889</v>
      </c>
      <c r="F378" s="24" t="s">
        <v>58</v>
      </c>
      <c r="G378" s="24" t="s">
        <v>890</v>
      </c>
    </row>
  </sheetData>
  <mergeCells count="182">
    <mergeCell ref="D299:D303"/>
    <mergeCell ref="A279:A303"/>
    <mergeCell ref="C339:C343"/>
    <mergeCell ref="A229:A253"/>
    <mergeCell ref="D59:D63"/>
    <mergeCell ref="D119:D123"/>
    <mergeCell ref="C154:C158"/>
    <mergeCell ref="C74:C78"/>
    <mergeCell ref="C259:C263"/>
    <mergeCell ref="D109:D113"/>
    <mergeCell ref="D174:D178"/>
    <mergeCell ref="C274:C278"/>
    <mergeCell ref="C179:C183"/>
    <mergeCell ref="C239:C243"/>
    <mergeCell ref="A304:A328"/>
    <mergeCell ref="D94:D98"/>
    <mergeCell ref="D234:D238"/>
    <mergeCell ref="D264:D268"/>
    <mergeCell ref="C114:C118"/>
    <mergeCell ref="D209:D213"/>
    <mergeCell ref="B329:B353"/>
    <mergeCell ref="B304:B328"/>
    <mergeCell ref="C169:C173"/>
    <mergeCell ref="D259:D263"/>
    <mergeCell ref="D319:D323"/>
    <mergeCell ref="A354:A378"/>
    <mergeCell ref="C89:C93"/>
    <mergeCell ref="C309:C313"/>
    <mergeCell ref="C79:C83"/>
    <mergeCell ref="D329:D333"/>
    <mergeCell ref="C324:C328"/>
    <mergeCell ref="D104:D108"/>
    <mergeCell ref="A104:A128"/>
    <mergeCell ref="C59:C63"/>
    <mergeCell ref="D219:D223"/>
    <mergeCell ref="D339:D343"/>
    <mergeCell ref="D374:D378"/>
    <mergeCell ref="C369:C373"/>
    <mergeCell ref="C334:C338"/>
    <mergeCell ref="D369:D373"/>
    <mergeCell ref="D139:D143"/>
    <mergeCell ref="D179:D183"/>
    <mergeCell ref="C94:C98"/>
    <mergeCell ref="C109:C113"/>
    <mergeCell ref="D359:D363"/>
    <mergeCell ref="C144:C148"/>
    <mergeCell ref="C159:C163"/>
    <mergeCell ref="B79:B103"/>
    <mergeCell ref="C224:C228"/>
    <mergeCell ref="C359:C363"/>
    <mergeCell ref="B354:B378"/>
    <mergeCell ref="D274:D278"/>
    <mergeCell ref="D74:D78"/>
    <mergeCell ref="D214:D218"/>
    <mergeCell ref="C149:C153"/>
    <mergeCell ref="D294:D298"/>
    <mergeCell ref="B4:B28"/>
    <mergeCell ref="D334:D338"/>
    <mergeCell ref="C249:C253"/>
    <mergeCell ref="D164:D168"/>
    <mergeCell ref="D349:D353"/>
    <mergeCell ref="C264:C268"/>
    <mergeCell ref="C304:C308"/>
    <mergeCell ref="C364:C368"/>
    <mergeCell ref="C139:C143"/>
    <mergeCell ref="D184:D188"/>
    <mergeCell ref="C24:C28"/>
    <mergeCell ref="D354:D358"/>
    <mergeCell ref="C54:C58"/>
    <mergeCell ref="C29:C33"/>
    <mergeCell ref="C39:C43"/>
    <mergeCell ref="D344:D348"/>
    <mergeCell ref="B54:B78"/>
    <mergeCell ref="C124:C128"/>
    <mergeCell ref="C164:C168"/>
    <mergeCell ref="A254:A278"/>
    <mergeCell ref="C9:C13"/>
    <mergeCell ref="A154:A178"/>
    <mergeCell ref="C214:C218"/>
    <mergeCell ref="D224:D228"/>
    <mergeCell ref="B254:B278"/>
    <mergeCell ref="D134:D138"/>
    <mergeCell ref="A29:A53"/>
    <mergeCell ref="D69:D73"/>
    <mergeCell ref="D54:D58"/>
    <mergeCell ref="C209:C213"/>
    <mergeCell ref="C319:C323"/>
    <mergeCell ref="C4:C8"/>
    <mergeCell ref="D124:D128"/>
    <mergeCell ref="A1:G1"/>
    <mergeCell ref="D44:D48"/>
    <mergeCell ref="D84:D88"/>
    <mergeCell ref="C314:C318"/>
    <mergeCell ref="C354:C358"/>
    <mergeCell ref="D19:D23"/>
    <mergeCell ref="D34:D38"/>
    <mergeCell ref="C184:C188"/>
    <mergeCell ref="D99:D103"/>
    <mergeCell ref="C14:C18"/>
    <mergeCell ref="D239:D243"/>
    <mergeCell ref="C234:C238"/>
    <mergeCell ref="D149:D153"/>
    <mergeCell ref="C64:C68"/>
    <mergeCell ref="D254:D258"/>
    <mergeCell ref="C104:C108"/>
    <mergeCell ref="D229:D233"/>
    <mergeCell ref="C349:C353"/>
    <mergeCell ref="D204:D208"/>
    <mergeCell ref="D269:D273"/>
    <mergeCell ref="C134:C138"/>
    <mergeCell ref="D279:D283"/>
    <mergeCell ref="D14:D18"/>
    <mergeCell ref="D29:D33"/>
    <mergeCell ref="D4:D8"/>
    <mergeCell ref="A4:A28"/>
    <mergeCell ref="C119:C123"/>
    <mergeCell ref="C199:C203"/>
    <mergeCell ref="D114:D118"/>
    <mergeCell ref="A329:A353"/>
    <mergeCell ref="C174:C178"/>
    <mergeCell ref="B204:B228"/>
    <mergeCell ref="C69:C73"/>
    <mergeCell ref="D24:D28"/>
    <mergeCell ref="C254:C258"/>
    <mergeCell ref="D89:D93"/>
    <mergeCell ref="D129:D133"/>
    <mergeCell ref="C19:C23"/>
    <mergeCell ref="D309:D313"/>
    <mergeCell ref="C189:C193"/>
    <mergeCell ref="C289:C293"/>
    <mergeCell ref="C34:C38"/>
    <mergeCell ref="D324:D328"/>
    <mergeCell ref="C279:C283"/>
    <mergeCell ref="C344:C348"/>
    <mergeCell ref="D199:D203"/>
    <mergeCell ref="D49:D53"/>
    <mergeCell ref="B179:B203"/>
    <mergeCell ref="A2:G2"/>
    <mergeCell ref="C84:C88"/>
    <mergeCell ref="D189:D193"/>
    <mergeCell ref="A204:A228"/>
    <mergeCell ref="C329:C333"/>
    <mergeCell ref="C129:C133"/>
    <mergeCell ref="A179:A203"/>
    <mergeCell ref="C194:C198"/>
    <mergeCell ref="D284:D288"/>
    <mergeCell ref="D289:D293"/>
    <mergeCell ref="C244:C248"/>
    <mergeCell ref="B104:B128"/>
    <mergeCell ref="D304:D308"/>
    <mergeCell ref="C219:C223"/>
    <mergeCell ref="C299:C303"/>
    <mergeCell ref="D9:D13"/>
    <mergeCell ref="B154:B178"/>
    <mergeCell ref="D39:D43"/>
    <mergeCell ref="D64:D68"/>
    <mergeCell ref="D79:D83"/>
    <mergeCell ref="B129:B153"/>
    <mergeCell ref="C44:C48"/>
    <mergeCell ref="C374:C378"/>
    <mergeCell ref="B229:B253"/>
    <mergeCell ref="B29:B53"/>
    <mergeCell ref="C99:C103"/>
    <mergeCell ref="D244:D248"/>
    <mergeCell ref="A129:A153"/>
    <mergeCell ref="D154:D158"/>
    <mergeCell ref="B279:B303"/>
    <mergeCell ref="D194:D198"/>
    <mergeCell ref="C49:C53"/>
    <mergeCell ref="D364:D368"/>
    <mergeCell ref="C229:C233"/>
    <mergeCell ref="A79:A103"/>
    <mergeCell ref="C294:C298"/>
    <mergeCell ref="D169:D173"/>
    <mergeCell ref="D144:D148"/>
    <mergeCell ref="D314:D318"/>
    <mergeCell ref="C204:C208"/>
    <mergeCell ref="D249:D253"/>
    <mergeCell ref="C269:C273"/>
    <mergeCell ref="C284:C288"/>
    <mergeCell ref="D159:D163"/>
    <mergeCell ref="A54:A78"/>
  </mergeCells>
  <dataValidations count="1">
    <dataValidation type="list" allowBlank="1" sqref="F4:F378" xr:uid="{00000000-0002-0000-0300-000000000000}">
      <formula1>$R$4:$R$24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4"/>
  <sheetViews>
    <sheetView zoomScale="70" zoomScaleNormal="70" workbookViewId="0">
      <selection activeCell="K5" sqref="K5:M20"/>
    </sheetView>
  </sheetViews>
  <sheetFormatPr defaultColWidth="8.6328125" defaultRowHeight="14.5"/>
  <cols>
    <col min="1" max="1" width="8" customWidth="1"/>
    <col min="2" max="2" width="45" customWidth="1"/>
    <col min="3" max="3" width="9" customWidth="1"/>
    <col min="4" max="4" width="3" customWidth="1"/>
    <col min="5" max="6" width="8" customWidth="1"/>
    <col min="7" max="7" width="10" customWidth="1"/>
    <col min="8" max="8" width="45" customWidth="1"/>
    <col min="9" max="9" width="9" customWidth="1"/>
    <col min="10" max="10" width="3" customWidth="1"/>
    <col min="11" max="13" width="8" customWidth="1"/>
    <col min="14" max="14" width="10" customWidth="1"/>
    <col min="15" max="15" width="45" customWidth="1"/>
    <col min="16" max="16" width="9" customWidth="1"/>
    <col min="18" max="33" width="40" customWidth="1"/>
    <col min="34" max="35" width="13" customWidth="1"/>
  </cols>
  <sheetData>
    <row r="1" spans="1:35" ht="24" customHeight="1">
      <c r="A1" s="120" t="s">
        <v>1269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</row>
    <row r="2" spans="1:35" ht="18" customHeight="1">
      <c r="A2" s="117" t="s">
        <v>1270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7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</row>
    <row r="3" spans="1:35" ht="19.5" customHeight="1">
      <c r="A3" s="121" t="s">
        <v>17</v>
      </c>
      <c r="B3" s="106"/>
      <c r="C3" s="107"/>
      <c r="D3" s="29"/>
      <c r="E3" s="119" t="s">
        <v>15</v>
      </c>
      <c r="F3" s="106"/>
      <c r="G3" s="106"/>
      <c r="H3" s="106"/>
      <c r="I3" s="107"/>
      <c r="J3" s="29"/>
      <c r="K3" s="122" t="s">
        <v>19</v>
      </c>
      <c r="L3" s="106"/>
      <c r="M3" s="106"/>
      <c r="N3" s="106"/>
      <c r="O3" s="106"/>
      <c r="P3" s="107"/>
      <c r="Q3" s="30"/>
      <c r="R3" s="31" t="s">
        <v>25</v>
      </c>
      <c r="S3" s="31" t="s">
        <v>28</v>
      </c>
      <c r="T3" s="31" t="s">
        <v>27</v>
      </c>
      <c r="U3" s="31" t="s">
        <v>35</v>
      </c>
      <c r="V3" s="31" t="s">
        <v>38</v>
      </c>
      <c r="W3" s="31" t="s">
        <v>41</v>
      </c>
      <c r="X3" s="31" t="s">
        <v>43</v>
      </c>
      <c r="Y3" s="31" t="s">
        <v>48</v>
      </c>
      <c r="Z3" s="31" t="s">
        <v>50</v>
      </c>
      <c r="AA3" s="31" t="s">
        <v>53</v>
      </c>
      <c r="AB3" s="31" t="s">
        <v>32</v>
      </c>
      <c r="AC3" s="31" t="s">
        <v>58</v>
      </c>
      <c r="AD3" s="31" t="s">
        <v>62</v>
      </c>
      <c r="AE3" s="31" t="s">
        <v>65</v>
      </c>
      <c r="AF3" s="31" t="s">
        <v>68</v>
      </c>
      <c r="AG3" s="31" t="s">
        <v>70</v>
      </c>
      <c r="AH3" s="31" t="s">
        <v>72</v>
      </c>
      <c r="AI3" s="90" t="s">
        <v>76</v>
      </c>
    </row>
    <row r="4" spans="1:35" ht="30" customHeight="1">
      <c r="A4" s="32" t="s">
        <v>1271</v>
      </c>
      <c r="B4" s="32" t="s">
        <v>1272</v>
      </c>
      <c r="C4" s="32" t="s">
        <v>1273</v>
      </c>
      <c r="D4" s="33"/>
      <c r="E4" s="34" t="s">
        <v>1274</v>
      </c>
      <c r="F4" s="34" t="s">
        <v>1275</v>
      </c>
      <c r="G4" s="34" t="s">
        <v>1276</v>
      </c>
      <c r="H4" s="34" t="s">
        <v>1277</v>
      </c>
      <c r="I4" s="34" t="s">
        <v>1273</v>
      </c>
      <c r="J4" s="33"/>
      <c r="K4" s="35" t="s">
        <v>1274</v>
      </c>
      <c r="L4" s="35" t="s">
        <v>1278</v>
      </c>
      <c r="M4" s="35" t="s">
        <v>1279</v>
      </c>
      <c r="N4" s="35" t="s">
        <v>1280</v>
      </c>
      <c r="O4" s="35" t="s">
        <v>1281</v>
      </c>
      <c r="P4" s="35" t="s">
        <v>1273</v>
      </c>
      <c r="Q4" s="36"/>
      <c r="R4" s="37" t="s">
        <v>8</v>
      </c>
      <c r="S4" s="37" t="s">
        <v>8</v>
      </c>
      <c r="T4" s="37" t="s">
        <v>8</v>
      </c>
      <c r="U4" s="37" t="s">
        <v>8</v>
      </c>
      <c r="V4" s="37" t="s">
        <v>8</v>
      </c>
      <c r="W4" s="37" t="s">
        <v>8</v>
      </c>
      <c r="X4" s="37" t="s">
        <v>8</v>
      </c>
      <c r="Y4" s="37" t="s">
        <v>8</v>
      </c>
      <c r="Z4" s="37" t="s">
        <v>8</v>
      </c>
      <c r="AA4" s="37" t="s">
        <v>8</v>
      </c>
      <c r="AB4" s="37" t="s">
        <v>8</v>
      </c>
      <c r="AC4" s="37" t="s">
        <v>8</v>
      </c>
      <c r="AD4" s="37" t="s">
        <v>8</v>
      </c>
      <c r="AE4" s="37" t="s">
        <v>8</v>
      </c>
      <c r="AF4" s="37" t="s">
        <v>8</v>
      </c>
      <c r="AG4" s="37" t="s">
        <v>8</v>
      </c>
      <c r="AH4" s="37" t="s">
        <v>8</v>
      </c>
      <c r="AI4" s="91" t="s">
        <v>8</v>
      </c>
    </row>
    <row r="5" spans="1:35" ht="39.75" customHeight="1">
      <c r="A5" s="38">
        <v>1</v>
      </c>
      <c r="B5" s="39" t="str">
        <f t="array" ref="B5">IFERROR(INDEX('Factor Analysis'!$G$4:$G$378,_xlfn.AGGREGATE(15,6,(ROW('Factor Analysis'!$F$4:$F$378)-ROW('Factor Analysis'!$F$4)+1)/('Factor Analysis'!$F$4:$F$378="MSO"),1)),"")</f>
        <v>DISRUPT IRS maritime coercion</v>
      </c>
      <c r="C5" s="40" t="str">
        <f t="array" ref="C5">IFERROR(INDEX('Factor Analysis'!$A$4:$A$378,_xlfn.AGGREGATE(15,6,(ROW('Factor Analysis'!$F$4:$F$378)-ROW('Factor Analysis'!$F$4)+1)/('Factor Analysis'!$F$4:$F$378="MSO"),1)),"")</f>
        <v>4</v>
      </c>
      <c r="D5" s="41"/>
      <c r="E5" s="42">
        <v>1</v>
      </c>
      <c r="F5" s="42">
        <v>2</v>
      </c>
      <c r="G5" s="42" t="str">
        <f t="shared" ref="G5:G36" si="0">IFERROR(IF(E5="","",TEXT(E5,"0")&amp;"."&amp;TEXT(F5,"0")),"")</f>
        <v>1.2</v>
      </c>
      <c r="H5" s="43" t="str">
        <f t="array" ref="H5">IFERROR(INDEX('Factor Analysis'!$G$4:$G$378,_xlfn.AGGREGATE(15,6,(ROW('Factor Analysis'!$F$4:$F$378)-ROW('Factor Analysis'!$F$4)+1)/('Factor Analysis'!$F$4:$F$378="OO"),1)),"")</f>
        <v>XLOCs SECURED</v>
      </c>
      <c r="I5" s="44" t="str">
        <f t="array" ref="I5">IFERROR(INDEX('Factor Analysis'!$A$4:$A$378,_xlfn.AGGREGATE(15,6,(ROW('Factor Analysis'!$F$4:$F$378)-ROW('Factor Analysis'!$F$4)+1)/('Factor Analysis'!$F$4:$F$378="OO"),1)),"")</f>
        <v>1</v>
      </c>
      <c r="J5" s="41"/>
      <c r="K5" s="88">
        <v>1</v>
      </c>
      <c r="L5" s="88">
        <v>1</v>
      </c>
      <c r="M5" s="88">
        <v>1</v>
      </c>
      <c r="N5" s="88" t="str">
        <f t="shared" ref="N5:N36" si="1">IFERROR(IF(K5="","",TEXT(K5,"0")&amp;"."&amp;TEXT(L5,"0")&amp;"."&amp;TEXT(M5,"0")),"")</f>
        <v>1.1.1</v>
      </c>
      <c r="O5" s="89" t="str">
        <f t="array" ref="O5">IFERROR(INDEX('Factor Analysis'!$G$4:$G$378,_xlfn.AGGREGATE(15,6,(ROW('Factor Analysis'!$F$4:$F$378)-ROW('Factor Analysis'!$F$4)+1)/('Factor Analysis'!$F$4:$F$378="DC"),1)),"")</f>
        <v>IRS integrated A2/AD system INTERDICTED</v>
      </c>
      <c r="P5" s="47">
        <f>IFERROR(INDEX('Factor Analysis'!$A$4:$A$378,_xlfn.AGGREGATE(15,6,(ROW('Factor Analysis'!$F$4:$F$378)-ROW('Factor Analysis'!$F$4)+1)/('Factor Analysis'!$F$4:$F$378="DC"),1)),"")</f>
        <v>0</v>
      </c>
      <c r="Q5" s="48"/>
      <c r="R5" s="49" t="str">
        <f t="array" ref="R5">IFERROR(INDEX('Factor Analysis'!$G$4:$G$378,_xlfn.AGGREGATE(15,6,(ROW('Factor Analysis'!$F$4:$F$378)-ROW('Factor Analysis'!$F$4)+1)/('Factor Analysis'!$F$4:$F$378="OE"),1)),"")</f>
        <v>IRS DENIED</v>
      </c>
      <c r="S5" s="49" t="str">
        <f t="array" ref="S5">IFERROR(INDEX('Factor Analysis'!$G$4:$G$378,_xlfn.AGGREGATE(15,6,(ROW('Factor Analysis'!$F$4:$F$378)-ROW('Factor Analysis'!$F$4)+1)/('Factor Analysis'!$F$4:$F$378="OA"),1)),"")</f>
        <v>ESCORT police, civil administration, port and energy authorities</v>
      </c>
      <c r="T5" s="49" t="str">
        <f t="array" ref="T5">IFERROR(INDEX('Factor Analysis'!$G$4:$G$378,_xlfn.AGGREGATE(15,6,(ROW('Factor Analysis'!$F$4:$F$378)-ROW('Factor Analysis'!$F$4)+1)/('Factor Analysis'!$F$4:$F$378="RISK"),1)),"")</f>
        <v>Loss of naval assets is a strategic risk</v>
      </c>
      <c r="U5" s="49" t="str">
        <f t="array" ref="U5">IFERROR(INDEX('Factor Analysis'!$G$4:$G$378,_xlfn.AGGREGATE(15,6,(ROW('Factor Analysis'!$F$4:$F$378)-ROW('Factor Analysis'!$F$4)+1)/('Factor Analysis'!$F$4:$F$378="CV"),1)),"")</f>
        <v>IRS POL/LNG export dependence</v>
      </c>
      <c r="V5" s="49" t="str">
        <f t="array" ref="V5">IFERROR(INDEX('Factor Analysis'!$G$4:$G$378,_xlfn.AGGREGATE(15,6,(ROW('Factor Analysis'!$F$4:$F$378)-ROW('Factor Analysis'!$F$4)+1)/('Factor Analysis'!$F$4:$F$378="COR"),1)),"")</f>
        <v>MCM, SEAD, EW, ISR, SOF synchronised</v>
      </c>
      <c r="W5" s="49" t="str">
        <f t="array" ref="W5">IFERROR(INDEX('Factor Analysis'!$G$4:$G$378,_xlfn.AGGREGATE(15,6,(ROW('Factor Analysis'!$F$4:$F$378)-ROW('Factor Analysis'!$F$4)+1)/('Factor Analysis'!$F$4:$F$378="REQT"),1)),"")</f>
        <v>RSOI, SOFA and HNS technical agreements</v>
      </c>
      <c r="X5" s="49" t="str">
        <f t="array" ref="X5">IFERROR(INDEX('Factor Analysis'!$G$4:$G$378,_xlfn.AGGREGATE(15,6,(ROW('Factor Analysis'!$F$4:$F$378)-ROW('Factor Analysis'!$F$4)+1)/('Factor Analysis'!$F$4:$F$378="REST"),1)),"")</f>
        <v>NATO must not frame operations as a punitive blockade</v>
      </c>
      <c r="Y5" s="49" t="str">
        <f t="array" ref="Y5">IFERROR(INDEX('Factor Analysis'!$G$4:$G$378,_xlfn.AGGREGATE(15,6,(ROW('Factor Analysis'!$F$4:$F$378)-ROW('Factor Analysis'!$F$4)+1)/('Factor Analysis'!$F$4:$F$378="KCD-MUST"),1)),"")</f>
        <v>Deconflict with commercial shipping</v>
      </c>
      <c r="Z5" s="49" t="str">
        <f t="array" ref="Z5">IFERROR(INDEX('Factor Analysis'!$G$4:$G$378,_xlfn.AGGREGATE(15,6,(ROW('Factor Analysis'!$F$4:$F$378)-ROW('Factor Analysis'!$F$4)+1)/('Factor Analysis'!$F$4:$F$378="KCD-SHOULD"),1)),"")</f>
        <v>Provide commercial shipping with safety advisroy notices</v>
      </c>
      <c r="AA5" s="49" t="str">
        <f t="array" ref="AA5">IFERROR(INDEX('Factor Analysis'!$G$4:$G$378,_xlfn.AGGREGATE(15,6,(ROW('Factor Analysis'!$F$4:$F$378)-ROW('Factor Analysis'!$F$4)+1)/('Factor Analysis'!$F$4:$F$378="KCD-SHOULD NOT"),1)),"")</f>
        <v xml:space="preserve">Publicise extraction windows </v>
      </c>
      <c r="AB5" s="49" t="str">
        <f t="array" ref="AB5">IFERROR(INDEX('Factor Analysis'!$G$4:$G$378,_xlfn.AGGREGATE(15,6,(ROW('Factor Analysis'!$F$4:$F$378)-ROW('Factor Analysis'!$F$4)+1)/('Factor Analysis'!$F$4:$F$378="KCD-CANNOT"),1)),"")</f>
        <v>No entry until IRS A2/AD is INTERDICTED</v>
      </c>
      <c r="AC5" s="49" t="str">
        <f t="array" ref="AC5">IFERROR(INDEX('Factor Analysis'!$G$4:$G$378,_xlfn.AGGREGATE(15,6,(ROW('Factor Analysis'!$F$4:$F$378)-ROW('Factor Analysis'!$F$4)+1)/('Factor Analysis'!$F$4:$F$378="DECISION"),1)),"")</f>
        <v xml:space="preserve">Authority for NEO </v>
      </c>
      <c r="AD5" s="49" t="str">
        <f t="array" ref="AD5">IFERROR(INDEX('Factor Analysis'!$G$4:$G$378,_xlfn.AGGREGATE(15,6,(ROW('Factor Analysis'!$F$4:$F$378)-ROW('Factor Analysis'!$F$4)+1)/('Factor Analysis'!$F$4:$F$378="ASSUMPTION"),1)),"")</f>
        <v>HASAN removal fractures IRS</v>
      </c>
      <c r="AE5" s="49" t="str">
        <f t="array" ref="AE5">IFERROR(INDEX('Factor Analysis'!$G$4:$G$378,_xlfn.AGGREGATE(15,6,(ROW('Factor Analysis'!$F$4:$F$378)-ROW('Factor Analysis'!$F$4)+1)/('Factor Analysis'!$F$4:$F$378="CONSTRAINT"),1)),"")</f>
        <v>Major kinetic operations must occur after NATO nationals are PROTECTED</v>
      </c>
      <c r="AF5" s="49" t="str">
        <f t="array" ref="AF5">IFERROR(INDEX('Factor Analysis'!$G$4:$G$378,_xlfn.AGGREGATE(15,6,(ROW('Factor Analysis'!$F$4:$F$378)-ROW('Factor Analysis'!$F$4)+1)/('Factor Analysis'!$F$4:$F$378="LIMITATION"),1)),"")</f>
        <v>Use of force, cyber, EW and information actions require authority</v>
      </c>
      <c r="AG5" s="49" t="str">
        <f t="array" ref="AG5">IFERROR(INDEX('Factor Analysis'!$G$4:$G$378,_xlfn.AGGREGATE(15,6,(ROW('Factor Analysis'!$F$4:$F$378)-ROW('Factor Analysis'!$F$4)+1)/('Factor Analysis'!$F$4:$F$378="CC"),1)),"")</f>
        <v>Aceh attack strengthens IRS strategic depth and revenue</v>
      </c>
      <c r="AH5" s="49" t="str">
        <f t="array" ref="AH5">IFERROR(INDEX('Factor Analysis'!$G$4:$G$378,_xlfn.AGGREGATE(15,6,(ROW('Factor Analysis'!$F$4:$F$378)-ROW('Factor Analysis'!$F$4)+1)/('Factor Analysis'!$F$4:$F$378="CR"),1)),"")</f>
        <v>JLSG must integrate national sustainment, HNS and movement control</v>
      </c>
      <c r="AI5" s="92" t="str">
        <f t="array" ref="AI5">IFERROR(INDEX('Factor Analysis'!$G$4:$G$378,_xlfn.AGGREGATE(15,6,(ROW('Factor Analysis'!$F$4:$F$378)-ROW('Factor Analysis'!$F$4)+1)/('Factor Analysis'!$F$4:$F$378="PCS"),1)),"")</f>
        <v>GoIND SOFA, HNS, RSOI</v>
      </c>
    </row>
    <row r="6" spans="1:35" ht="39.75" customHeight="1">
      <c r="A6" s="38">
        <v>2</v>
      </c>
      <c r="B6" s="39" t="str">
        <f t="array" ref="B6">IFERROR(INDEX('Factor Analysis'!$G$4:$G$378,_xlfn.AGGREGATE(15,6,(ROW('Factor Analysis'!$F$4:$F$378)-ROW('Factor Analysis'!$F$4)+1)/('Factor Analysis'!$F$4:$F$378="MSO"),2)),"")</f>
        <v>PROTECT NATO citizens</v>
      </c>
      <c r="C6" s="40">
        <f>IFERROR(INDEX('Factor Analysis'!$A$4:$A$378,_xlfn.AGGREGATE(15,6,(ROW('Factor Analysis'!$F$4:$F$378)-ROW('Factor Analysis'!$F$4)+1)/('Factor Analysis'!$F$4:$F$378="MSO"),2)),"")</f>
        <v>0</v>
      </c>
      <c r="D6" s="41"/>
      <c r="E6" s="42">
        <v>1</v>
      </c>
      <c r="F6" s="42">
        <v>1</v>
      </c>
      <c r="G6" s="42" t="str">
        <f t="shared" si="0"/>
        <v>1.1</v>
      </c>
      <c r="H6" s="43" t="str">
        <f t="array" ref="H6">IFERROR(INDEX('Factor Analysis'!$G$4:$G$378,_xlfn.AGGREGATE(15,6,(ROW('Factor Analysis'!$F$4:$F$378)-ROW('Factor Analysis'!$F$4)+1)/('Factor Analysis'!$F$4:$F$378="OO"),2)),"")</f>
        <v>Rebel A2/AD PREVENTED</v>
      </c>
      <c r="I6" s="44">
        <f t="array" ref="I6">IFERROR(INDEX('Factor Analysis'!$A$4:$A$378,_xlfn.AGGREGATE(15,6,(ROW('Factor Analysis'!$F$4:$F$378)-ROW('Factor Analysis'!$F$4)+1)/('Factor Analysis'!$F$4:$F$378="OO"),2)),"")</f>
        <v>0</v>
      </c>
      <c r="J6" s="41"/>
      <c r="K6" s="88">
        <v>3</v>
      </c>
      <c r="L6" s="88">
        <v>2</v>
      </c>
      <c r="M6" s="88">
        <v>3</v>
      </c>
      <c r="N6" s="88" t="str">
        <f t="shared" si="1"/>
        <v>3.2.3</v>
      </c>
      <c r="O6" s="89" t="str">
        <f t="array" ref="O6">IFERROR(INDEX('Factor Analysis'!$G$4:$G$378,_xlfn.AGGREGATE(15,6,(ROW('Factor Analysis'!$F$4:$F$378)-ROW('Factor Analysis'!$F$4)+1)/('Factor Analysis'!$F$4:$F$378="DC"),2)),"")</f>
        <v>IRS expansion BLOCKED</v>
      </c>
      <c r="P6" s="47">
        <f>IFERROR(INDEX('Factor Analysis'!$A$4:$A$378,_xlfn.AGGREGATE(15,6,(ROW('Factor Analysis'!$F$4:$F$378)-ROW('Factor Analysis'!$F$4)+1)/('Factor Analysis'!$F$4:$F$378="DC"),2)),"")</f>
        <v>0</v>
      </c>
      <c r="Q6" s="48"/>
      <c r="R6" s="49" t="str">
        <f t="array" ref="R6">IFERROR(INDEX('Factor Analysis'!$G$4:$G$378,_xlfn.AGGREGATE(15,6,(ROW('Factor Analysis'!$F$4:$F$378)-ROW('Factor Analysis'!$F$4)+1)/('Factor Analysis'!$F$4:$F$378="OE"),2)),"")</f>
        <v>MANIPULATE IRS coalition</v>
      </c>
      <c r="S6" s="49" t="str">
        <f t="array" ref="S6">IFERROR(INDEX('Factor Analysis'!$G$4:$G$378,_xlfn.AGGREGATE(15,6,(ROW('Factor Analysis'!$F$4:$F$378)-ROW('Factor Analysis'!$F$4)+1)/('Factor Analysis'!$F$4:$F$378="OA"),2)),"")</f>
        <v>ENABLE Kostrad-led entry force through secured XPOD</v>
      </c>
      <c r="T6" s="49" t="str">
        <f t="array" ref="T6">IFERROR(INDEX('Factor Analysis'!$G$4:$G$378,_xlfn.AGGREGATE(15,6,(ROW('Factor Analysis'!$F$4:$F$378)-ROW('Factor Analysis'!$F$4)+1)/('Factor Analysis'!$F$4:$F$378="RISK"),2)),"")</f>
        <v>Casualties via adversary drones can constitute a strategic risk</v>
      </c>
      <c r="U6" s="49" t="str">
        <f t="array" ref="U6">IFERROR(INDEX('Factor Analysis'!$G$4:$G$378,_xlfn.AGGREGATE(15,6,(ROW('Factor Analysis'!$F$4:$F$378)-ROW('Factor Analysis'!$F$4)+1)/('Factor Analysis'!$F$4:$F$378="CV"),2)),"")</f>
        <v>HASAN-led cohesion is the central IRS  vulnerability</v>
      </c>
      <c r="V6" s="49" t="str">
        <f t="array" ref="V6">IFERROR(INDEX('Factor Analysis'!$G$4:$G$378,_xlfn.AGGREGATE(15,6,(ROW('Factor Analysis'!$F$4:$F$378)-ROW('Factor Analysis'!$F$4)+1)/('Factor Analysis'!$F$4:$F$378="COR"),2)),"")</f>
        <v>Effective STRATCOM and legal advice</v>
      </c>
      <c r="W6" s="49" t="str">
        <f t="array" ref="W6">IFERROR(INDEX('Factor Analysis'!$G$4:$G$378,_xlfn.AGGREGATE(15,6,(ROW('Factor Analysis'!$F$4:$F$378)-ROW('Factor Analysis'!$F$4)+1)/('Factor Analysis'!$F$4:$F$378="REQT"),2)),"")</f>
        <v>SOF, lift, ISR, medical, consular data, extraction sites and staging access required</v>
      </c>
      <c r="X6" s="49" t="str">
        <f t="array" ref="X6">IFERROR(INDEX('Factor Analysis'!$G$4:$G$378,_xlfn.AGGREGATE(15,6,(ROW('Factor Analysis'!$F$4:$F$378)-ROW('Factor Analysis'!$F$4)+1)/('Factor Analysis'!$F$4:$F$378="REST"),2)),"")</f>
        <v>NATO must not conflate grievance, terrorism and secession</v>
      </c>
      <c r="Y6" s="49" t="str">
        <f t="array" ref="Y6">IFERROR(INDEX('Factor Analysis'!$G$4:$G$378,_xlfn.AGGREGATE(15,6,(ROW('Factor Analysis'!$F$4:$F$378)-ROW('Factor Analysis'!$F$4)+1)/('Factor Analysis'!$F$4:$F$378="KCD-MUST"),2)),"")</f>
        <v>SECURE XLOCs before wider GoIND entry</v>
      </c>
      <c r="Z6" s="49" t="str">
        <f t="array" ref="Z6">IFERROR(INDEX('Factor Analysis'!$G$4:$G$378,_xlfn.AGGREGATE(15,6,(ROW('Factor Analysis'!$F$4:$F$378)-ROW('Factor Analysis'!$F$4)+1)/('Factor Analysis'!$F$4:$F$378="KCD-SHOULD"),2)),"")</f>
        <v>EXPLOIT Razil corruption before direct action</v>
      </c>
      <c r="AA6" s="49" t="str">
        <f t="array" ref="AA6">IFERROR(INDEX('Factor Analysis'!$G$4:$G$378,_xlfn.AGGREGATE(15,6,(ROW('Factor Analysis'!$F$4:$F$378)-ROW('Factor Analysis'!$F$4)+1)/('Factor Analysis'!$F$4:$F$378="KCD-SHOULD NOT"),2)),"")</f>
        <v/>
      </c>
      <c r="AB6" s="49" t="str">
        <f t="array" ref="AB6">IFERROR(INDEX('Factor Analysis'!$G$4:$G$378,_xlfn.AGGREGATE(15,6,(ROW('Factor Analysis'!$F$4:$F$378)-ROW('Factor Analysis'!$F$4)+1)/('Factor Analysis'!$F$4:$F$378="KCD-CANNOT"),2)),"")</f>
        <v>Assume all civilians will be extracted in the same manner</v>
      </c>
      <c r="AC6" s="49" t="str">
        <f t="array" ref="AC6">IFERROR(INDEX('Factor Analysis'!$G$4:$G$378,_xlfn.AGGREGATE(15,6,(ROW('Factor Analysis'!$F$4:$F$378)-ROW('Factor Analysis'!$F$4)+1)/('Factor Analysis'!$F$4:$F$378="DECISION"),2)),"")</f>
        <v>Risk tolerance for NATO CIVPOP collateral damage</v>
      </c>
      <c r="AD6" s="49" t="str">
        <f t="array" ref="AD6">IFERROR(INDEX('Factor Analysis'!$G$4:$G$378,_xlfn.AGGREGATE(15,6,(ROW('Factor Analysis'!$F$4:$F$378)-ROW('Factor Analysis'!$F$4)+1)/('Factor Analysis'!$F$4:$F$378="ASSUMPTION"),2)),"")</f>
        <v>IRS pressure increases reliance on deniable terror</v>
      </c>
      <c r="AE6" s="49" t="str">
        <f t="array" ref="AE6">IFERROR(INDEX('Factor Analysis'!$G$4:$G$378,_xlfn.AGGREGATE(15,6,(ROW('Factor Analysis'!$F$4:$F$378)-ROW('Factor Analysis'!$F$4)+1)/('Factor Analysis'!$F$4:$F$378="CONSTRAINT"),2)),"")</f>
        <v>NRF immediate force available 5-45 days; main force 45+ days</v>
      </c>
      <c r="AF6" s="49" t="str">
        <f t="array" ref="AF6">IFERROR(INDEX('Factor Analysis'!$G$4:$G$378,_xlfn.AGGREGATE(15,6,(ROW('Factor Analysis'!$F$4:$F$378)-ROW('Factor Analysis'!$F$4)+1)/('Factor Analysis'!$F$4:$F$378="LIMITATION"),2)),"")</f>
        <v/>
      </c>
      <c r="AG6" s="49" t="str">
        <f t="array" ref="AG6">IFERROR(INDEX('Factor Analysis'!$G$4:$G$378,_xlfn.AGGREGATE(15,6,(ROW('Factor Analysis'!$F$4:$F$378)-ROW('Factor Analysis'!$F$4)+1)/('Factor Analysis'!$F$4:$F$378="CC"),2)),"")</f>
        <v>Ports and energy nodes are military, economic and political</v>
      </c>
      <c r="AH6" s="49" t="str">
        <f t="array" ref="AH6">IFERROR(INDEX('Factor Analysis'!$G$4:$G$378,_xlfn.AGGREGATE(15,6,(ROW('Factor Analysis'!$F$4:$F$378)-ROW('Factor Analysis'!$F$4)+1)/('Factor Analysis'!$F$4:$F$378="CR"),2)),"")</f>
        <v/>
      </c>
      <c r="AI6" s="92" t="str">
        <f t="array" ref="AI6">IFERROR(INDEX('Factor Analysis'!$G$4:$G$378,_xlfn.AGGREGATE(15,6,(ROW('Factor Analysis'!$F$4:$F$378)-ROW('Factor Analysis'!$F$4)+1)/('Factor Analysis'!$F$4:$F$378="PCS"),2)),"")</f>
        <v>GoIND does not collapse</v>
      </c>
    </row>
    <row r="7" spans="1:35" ht="39.75" customHeight="1">
      <c r="A7" s="38">
        <v>3</v>
      </c>
      <c r="B7" s="39" t="str">
        <f t="array" ref="B7">IFERROR(INDEX('Factor Analysis'!$G$4:$G$378,_xlfn.AGGREGATE(15,6,(ROW('Factor Analysis'!$F$4:$F$378)-ROW('Factor Analysis'!$F$4)+1)/('Factor Analysis'!$F$4:$F$378="MSO"),3)),"")</f>
        <v>RESTORE GoIND territorial integrity in SUMATRA</v>
      </c>
      <c r="C7" s="40">
        <f>IFERROR(INDEX('Factor Analysis'!$A$4:$A$378,_xlfn.AGGREGATE(15,6,(ROW('Factor Analysis'!$F$4:$F$378)-ROW('Factor Analysis'!$F$4)+1)/('Factor Analysis'!$F$4:$F$378="MSO"),3)),"")</f>
        <v>0</v>
      </c>
      <c r="D7" s="41"/>
      <c r="E7" s="42">
        <v>3</v>
      </c>
      <c r="F7" s="42">
        <v>1</v>
      </c>
      <c r="G7" s="42" t="str">
        <f t="shared" si="0"/>
        <v>3.1</v>
      </c>
      <c r="H7" s="43" t="str">
        <f t="array" ref="H7">IFERROR(INDEX('Factor Analysis'!$G$4:$G$378,_xlfn.AGGREGATE(15,6,(ROW('Factor Analysis'!$F$4:$F$378)-ROW('Factor Analysis'!$F$4)+1)/('Factor Analysis'!$F$4:$F$378="OO"),3)),"")</f>
        <v>IRS cohesion and ISOLATE MEDAN-BELAWAN DISCREDITED</v>
      </c>
      <c r="I7" s="44" t="str">
        <f>IFERROR(INDEX('Factor Analysis'!$A$4:$A$378,_xlfn.AGGREGATE(15,6,(ROW('Factor Analysis'!$F$4:$F$378)-ROW('Factor Analysis'!$F$4)+1)/('Factor Analysis'!$F$4:$F$378="OO"),3)),"")</f>
        <v>2</v>
      </c>
      <c r="J7" s="41"/>
      <c r="K7" s="88">
        <v>1</v>
      </c>
      <c r="L7" s="88">
        <v>2</v>
      </c>
      <c r="M7" s="88">
        <v>1</v>
      </c>
      <c r="N7" s="88" t="str">
        <f t="shared" si="1"/>
        <v>1.2.1</v>
      </c>
      <c r="O7" s="89" t="str">
        <f t="array" ref="O7">IFERROR(INDEX('Factor Analysis'!$G$4:$G$378,_xlfn.AGGREGATE(15,6,(ROW('Factor Analysis'!$F$4:$F$378)-ROW('Factor Analysis'!$F$4)+1)/('Factor Analysis'!$F$4:$F$378="DC"),3)),"")</f>
        <v>SPODs SECURED</v>
      </c>
      <c r="P7" s="47">
        <f>IFERROR(INDEX('Factor Analysis'!$A$4:$A$378,_xlfn.AGGREGATE(15,6,(ROW('Factor Analysis'!$F$4:$F$378)-ROW('Factor Analysis'!$F$4)+1)/('Factor Analysis'!$F$4:$F$378="DC"),3)),"")</f>
        <v>0</v>
      </c>
      <c r="Q7" s="48"/>
      <c r="R7" s="49" t="str">
        <f t="array" ref="R7">IFERROR(INDEX('Factor Analysis'!$G$4:$G$378,_xlfn.AGGREGATE(15,6,(ROW('Factor Analysis'!$F$4:$F$378)-ROW('Factor Analysis'!$F$4)+1)/('Factor Analysis'!$F$4:$F$378="OE"),3)),"")</f>
        <v>MANIPULATE IRS coalition</v>
      </c>
      <c r="S7" s="49" t="str">
        <f t="array" ref="S7">IFERROR(INDEX('Factor Analysis'!$G$4:$G$378,_xlfn.AGGREGATE(15,6,(ROW('Factor Analysis'!$F$4:$F$378)-ROW('Factor Analysis'!$F$4)+1)/('Factor Analysis'!$F$4:$F$378="OA"),3)),"")</f>
        <v>INTERDICT staging, artillery, amphibious fixing forces and MSRs</v>
      </c>
      <c r="T7" s="49" t="str">
        <f t="array" ref="T7">IFERROR(INDEX('Factor Analysis'!$G$4:$G$378,_xlfn.AGGREGATE(15,6,(ROW('Factor Analysis'!$F$4:$F$378)-ROW('Factor Analysis'!$F$4)+1)/('Factor Analysis'!$F$4:$F$378="RISK"),3)),"")</f>
        <v>Dead HASAN may unify factions</v>
      </c>
      <c r="U7" s="49" t="str">
        <f t="array" ref="U7">IFERROR(INDEX('Factor Analysis'!$G$4:$G$378,_xlfn.AGGREGATE(15,6,(ROW('Factor Analysis'!$F$4:$F$378)-ROW('Factor Analysis'!$F$4)+1)/('Factor Analysis'!$F$4:$F$378="CV"),3)),"")</f>
        <v>External support is legitimacy vulnerability and supply vulnerability</v>
      </c>
      <c r="V7" s="49" t="str">
        <f t="array" ref="V7">IFERROR(INDEX('Factor Analysis'!$G$4:$G$378,_xlfn.AGGREGATE(15,6,(ROW('Factor Analysis'!$F$4:$F$378)-ROW('Factor Analysis'!$F$4)+1)/('Factor Analysis'!$F$4:$F$378="COR"),3)),"")</f>
        <v>Multiple extraction methods required</v>
      </c>
      <c r="W7" s="49" t="str">
        <f t="array" ref="W7">IFERROR(INDEX('Factor Analysis'!$G$4:$G$378,_xlfn.AGGREGATE(15,6,(ROW('Factor Analysis'!$F$4:$F$378)-ROW('Factor Analysis'!$F$4)+1)/('Factor Analysis'!$F$4:$F$378="REQT"),3)),"")</f>
        <v>Force protection, EOD, medical, air defence and QRF attached to NEO</v>
      </c>
      <c r="X7" s="49" t="str">
        <f t="array" ref="X7">IFERROR(INDEX('Factor Analysis'!$G$4:$G$378,_xlfn.AGGREGATE(15,6,(ROW('Factor Analysis'!$F$4:$F$378)-ROW('Factor Analysis'!$F$4)+1)/('Factor Analysis'!$F$4:$F$378="REST"),3)),"")</f>
        <v>NATO must not present GoIND restoration as Java punishment</v>
      </c>
      <c r="Y7" s="49" t="str">
        <f t="array" ref="Y7">IFERROR(INDEX('Factor Analysis'!$G$4:$G$378,_xlfn.AGGREGATE(15,6,(ROW('Factor Analysis'!$F$4:$F$378)-ROW('Factor Analysis'!$F$4)+1)/('Factor Analysis'!$F$4:$F$378="KCD-MUST"),3)),"")</f>
        <v>SOF-led NEO planning</v>
      </c>
      <c r="Z7" s="49" t="str">
        <f t="array" ref="Z7">IFERROR(INDEX('Factor Analysis'!$G$4:$G$378,_xlfn.AGGREGATE(15,6,(ROW('Factor Analysis'!$F$4:$F$378)-ROW('Factor Analysis'!$F$4)+1)/('Factor Analysis'!$F$4:$F$378="KCD-SHOULD"),3)),"")</f>
        <v>Separate nationalist grievance from terrorist exploitation</v>
      </c>
      <c r="AA7" s="49" t="str">
        <f t="array" ref="AA7">IFERROR(INDEX('Factor Analysis'!$G$4:$G$378,_xlfn.AGGREGATE(15,6,(ROW('Factor Analysis'!$F$4:$F$378)-ROW('Factor Analysis'!$F$4)+1)/('Factor Analysis'!$F$4:$F$378="KCD-SHOULD NOT"),3)),"")</f>
        <v/>
      </c>
      <c r="AB7" s="49" t="str">
        <f t="array" ref="AB7">IFERROR(INDEX('Factor Analysis'!$G$4:$G$378,_xlfn.AGGREGATE(15,6,(ROW('Factor Analysis'!$F$4:$F$378)-ROW('Factor Analysis'!$F$4)+1)/('Factor Analysis'!$F$4:$F$378="KCD-CANNOT"),3)),"")</f>
        <v>GoIND cannot regain authority from Java-based posture alone</v>
      </c>
      <c r="AC7" s="49" t="str">
        <f t="array" ref="AC7">IFERROR(INDEX('Factor Analysis'!$G$4:$G$378,_xlfn.AGGREGATE(15,6,(ROW('Factor Analysis'!$F$4:$F$378)-ROW('Factor Analysis'!$F$4)+1)/('Factor Analysis'!$F$4:$F$378="DECISION"),3)),"")</f>
        <v>Any declared support for IRS by other provinces</v>
      </c>
      <c r="AD7" s="49" t="str">
        <f t="array" ref="AD7">IFERROR(INDEX('Factor Analysis'!$G$4:$G$378,_xlfn.AGGREGATE(15,6,(ROW('Factor Analysis'!$F$4:$F$378)-ROW('Factor Analysis'!$F$4)+1)/('Factor Analysis'!$F$4:$F$378="ASSUMPTION"),3)),"")</f>
        <v/>
      </c>
      <c r="AE7" s="49" t="str">
        <f t="array" ref="AE7">IFERROR(INDEX('Factor Analysis'!$G$4:$G$378,_xlfn.AGGREGATE(15,6,(ROW('Factor Analysis'!$F$4:$F$378)-ROW('Factor Analysis'!$F$4)+1)/('Factor Analysis'!$F$4:$F$378="CONSTRAINT"),3)),"")</f>
        <v>Ground manoeuvre is route-bound over most of Sumatra</v>
      </c>
      <c r="AF7" s="49" t="str">
        <f t="array" ref="AF7">IFERROR(INDEX('Factor Analysis'!$G$4:$G$378,_xlfn.AGGREGATE(15,6,(ROW('Factor Analysis'!$F$4:$F$378)-ROW('Factor Analysis'!$F$4)+1)/('Factor Analysis'!$F$4:$F$378="LIMITATION"),3)),"")</f>
        <v/>
      </c>
      <c r="AG7" s="49" t="str">
        <f t="array" ref="AG7">IFERROR(INDEX('Factor Analysis'!$G$4:$G$378,_xlfn.AGGREGATE(15,6,(ROW('Factor Analysis'!$F$4:$F$378)-ROW('Factor Analysis'!$F$4)+1)/('Factor Analysis'!$F$4:$F$378="CC"),3)),"")</f>
        <v>April-September is best movement window</v>
      </c>
      <c r="AH7" s="49" t="str">
        <f t="array" ref="AH7">IFERROR(INDEX('Factor Analysis'!$G$4:$G$378,_xlfn.AGGREGATE(15,6,(ROW('Factor Analysis'!$F$4:$F$378)-ROW('Factor Analysis'!$F$4)+1)/('Factor Analysis'!$F$4:$F$378="CR"),3)),"")</f>
        <v/>
      </c>
      <c r="AI7" s="92" t="str">
        <f t="array" ref="AI7">IFERROR(INDEX('Factor Analysis'!$G$4:$G$378,_xlfn.AGGREGATE(15,6,(ROW('Factor Analysis'!$F$4:$F$378)-ROW('Factor Analysis'!$F$4)+1)/('Factor Analysis'!$F$4:$F$378="PCS"),3)),"")</f>
        <v>Timely force generation</v>
      </c>
    </row>
    <row r="8" spans="1:35" ht="39.75" customHeight="1">
      <c r="A8" s="38">
        <v>4</v>
      </c>
      <c r="B8" s="39" t="str">
        <f t="array" ref="B8">IFERROR(INDEX('Factor Analysis'!$G$4:$G$378,_xlfn.AGGREGATE(15,6,(ROW('Factor Analysis'!$F$4:$F$378)-ROW('Factor Analysis'!$F$4)+1)/('Factor Analysis'!$F$4:$F$378="MSO"),4)),"")</f>
        <v>CONTAIN terror and DETER external influence to widen the conflict</v>
      </c>
      <c r="C8" s="40">
        <f>IFERROR(INDEX('Factor Analysis'!$A$4:$A$378,_xlfn.AGGREGATE(15,6,(ROW('Factor Analysis'!$F$4:$F$378)-ROW('Factor Analysis'!$F$4)+1)/('Factor Analysis'!$F$4:$F$378="MSO"),4)),"")</f>
        <v>0</v>
      </c>
      <c r="D8" s="41"/>
      <c r="E8" s="42">
        <v>3</v>
      </c>
      <c r="F8" s="42">
        <v>4</v>
      </c>
      <c r="G8" s="42" t="str">
        <f t="shared" si="0"/>
        <v>3.4</v>
      </c>
      <c r="H8" s="43" t="str">
        <f t="array" ref="H8">IFERROR(INDEX('Factor Analysis'!$G$4:$G$378,_xlfn.AGGREGATE(15,6,(ROW('Factor Analysis'!$F$4:$F$378)-ROW('Factor Analysis'!$F$4)+1)/('Factor Analysis'!$F$4:$F$378="OO"),4)),"")</f>
        <v>Adversary networks UNDERSTOOD</v>
      </c>
      <c r="I8" s="44">
        <f>IFERROR(INDEX('Factor Analysis'!$A$4:$A$378,_xlfn.AGGREGATE(15,6,(ROW('Factor Analysis'!$F$4:$F$378)-ROW('Factor Analysis'!$F$4)+1)/('Factor Analysis'!$F$4:$F$378="OO"),4)),"")</f>
        <v>0</v>
      </c>
      <c r="J8" s="41"/>
      <c r="K8" s="88">
        <v>3</v>
      </c>
      <c r="L8" s="88">
        <v>1</v>
      </c>
      <c r="M8" s="88">
        <v>2</v>
      </c>
      <c r="N8" s="88" t="str">
        <f t="shared" si="1"/>
        <v>3.1.2</v>
      </c>
      <c r="O8" s="89" t="str">
        <f t="array" ref="O8">IFERROR(INDEX('Factor Analysis'!$G$4:$G$378,_xlfn.AGGREGATE(15,6,(ROW('Factor Analysis'!$F$4:$F$378)-ROW('Factor Analysis'!$F$4)+1)/('Factor Analysis'!$F$4:$F$378="DC"),4)),"")</f>
        <v>MEDAN-BELAWAN ports ISOLATED</v>
      </c>
      <c r="P8" s="47">
        <f>IFERROR(INDEX('Factor Analysis'!$A$4:$A$378,_xlfn.AGGREGATE(15,6,(ROW('Factor Analysis'!$F$4:$F$378)-ROW('Factor Analysis'!$F$4)+1)/('Factor Analysis'!$F$4:$F$378="DC"),4)),"")</f>
        <v>0</v>
      </c>
      <c r="Q8" s="48"/>
      <c r="R8" s="49" t="str">
        <f t="array" ref="R8">IFERROR(INDEX('Factor Analysis'!$G$4:$G$378,_xlfn.AGGREGATE(15,6,(ROW('Factor Analysis'!$F$4:$F$378)-ROW('Factor Analysis'!$F$4)+1)/('Factor Analysis'!$F$4:$F$378="OE"),4)),"")</f>
        <v>NATO and foreign nationals are PROTECTED</v>
      </c>
      <c r="S8" s="49" t="str">
        <f t="array" ref="S8">IFERROR(INDEX('Factor Analysis'!$G$4:$G$378,_xlfn.AGGREGATE(15,6,(ROW('Factor Analysis'!$F$4:$F$378)-ROW('Factor Analysis'!$F$4)+1)/('Factor Analysis'!$F$4:$F$378="OA"),4)),"")</f>
        <v>INTERDICT bridges, choke points and sustainment columns</v>
      </c>
      <c r="T8" s="49" t="str">
        <f t="array" ref="T8">IFERROR(INDEX('Factor Analysis'!$G$4:$G$378,_xlfn.AGGREGATE(15,6,(ROW('Factor Analysis'!$F$4:$F$378)-ROW('Factor Analysis'!$F$4)+1)/('Factor Analysis'!$F$4:$F$378="RISK"),4)),"")</f>
        <v>Crude messaging drives factions together</v>
      </c>
      <c r="U8" s="49" t="str">
        <f t="array" ref="U8">IFERROR(INDEX('Factor Analysis'!$G$4:$G$378,_xlfn.AGGREGATE(15,6,(ROW('Factor Analysis'!$F$4:$F$378)-ROW('Factor Analysis'!$F$4)+1)/('Factor Analysis'!$F$4:$F$378="CV"),4)),"")</f>
        <v>GoIND legitimacy is legal internationally but contested locally</v>
      </c>
      <c r="V8" s="49" t="str">
        <f t="array" ref="V8">IFERROR(INDEX('Factor Analysis'!$G$4:$G$378,_xlfn.AGGREGATE(15,6,(ROW('Factor Analysis'!$F$4:$F$378)-ROW('Factor Analysis'!$F$4)+1)/('Factor Analysis'!$F$4:$F$378="COR"),4)),"")</f>
        <v>NATO support must be visibly GoIND-led where possible</v>
      </c>
      <c r="W8" s="49" t="str">
        <f t="array" ref="W8">IFERROR(INDEX('Factor Analysis'!$G$4:$G$378,_xlfn.AGGREGATE(15,6,(ROW('Factor Analysis'!$F$4:$F$378)-ROW('Factor Analysis'!$F$4)+1)/('Factor Analysis'!$F$4:$F$378="REQT"),4)),"")</f>
        <v>GoIND administrators, police, CIMIC and force protection required</v>
      </c>
      <c r="X8" s="49" t="str">
        <f t="array" ref="X8">IFERROR(INDEX('Factor Analysis'!$G$4:$G$378,_xlfn.AGGREGATE(15,6,(ROW('Factor Analysis'!$F$4:$F$378)-ROW('Factor Analysis'!$F$4)+1)/('Factor Analysis'!$F$4:$F$378="REST"),4)),"")</f>
        <v>NATO must not create collective economic punishment</v>
      </c>
      <c r="Y8" s="49" t="str">
        <f t="array" ref="Y8">IFERROR(INDEX('Factor Analysis'!$G$4:$G$378,_xlfn.AGGREGATE(15,6,(ROW('Factor Analysis'!$F$4:$F$378)-ROW('Factor Analysis'!$F$4)+1)/('Factor Analysis'!$F$4:$F$378="KCD-MUST"),4)),"")</f>
        <v>Appoint CUAS lead nation</v>
      </c>
      <c r="Z8" s="49" t="str">
        <f t="array" ref="Z8">IFERROR(INDEX('Factor Analysis'!$G$4:$G$378,_xlfn.AGGREGATE(15,6,(ROW('Factor Analysis'!$F$4:$F$378)-ROW('Factor Analysis'!$F$4)+1)/('Factor Analysis'!$F$4:$F$378="KCD-SHOULD"),4)),"")</f>
        <v>Use deception</v>
      </c>
      <c r="AA8" s="49" t="str">
        <f t="array" ref="AA8">IFERROR(INDEX('Factor Analysis'!$G$4:$G$378,_xlfn.AGGREGATE(15,6,(ROW('Factor Analysis'!$F$4:$F$378)-ROW('Factor Analysis'!$F$4)+1)/('Factor Analysis'!$F$4:$F$378="KCD-SHOULD NOT"),4)),"")</f>
        <v/>
      </c>
      <c r="AB8" s="49" t="str">
        <f t="array" ref="AB8">IFERROR(INDEX('Factor Analysis'!$G$4:$G$378,_xlfn.AGGREGATE(15,6,(ROW('Factor Analysis'!$F$4:$F$378)-ROW('Factor Analysis'!$F$4)+1)/('Factor Analysis'!$F$4:$F$378="KCD-CANNOT"),4)),"")</f>
        <v>Cannot secure all Sumatra concurrently with NRF only</v>
      </c>
      <c r="AC8" s="49" t="str">
        <f t="array" ref="AC8">IFERROR(INDEX('Factor Analysis'!$G$4:$G$378,_xlfn.AGGREGATE(15,6,(ROW('Factor Analysis'!$F$4:$F$378)-ROW('Factor Analysis'!$F$4)+1)/('Factor Analysis'!$F$4:$F$378="DECISION"),4)),"")</f>
        <v>COM needs priority between speed, restraint and GoIND visibility</v>
      </c>
      <c r="AD8" s="49" t="str">
        <f t="array" ref="AD8">IFERROR(INDEX('Factor Analysis'!$G$4:$G$378,_xlfn.AGGREGATE(15,6,(ROW('Factor Analysis'!$F$4:$F$378)-ROW('Factor Analysis'!$F$4)+1)/('Factor Analysis'!$F$4:$F$378="ASSUMPTION"),4)),"")</f>
        <v/>
      </c>
      <c r="AE8" s="49" t="str">
        <f t="array" ref="AE8">IFERROR(INDEX('Factor Analysis'!$G$4:$G$378,_xlfn.AGGREGATE(15,6,(ROW('Factor Analysis'!$F$4:$F$378)-ROW('Factor Analysis'!$F$4)+1)/('Factor Analysis'!$F$4:$F$378="CONSTRAINT"),4)),"")</f>
        <v>NATO must separate evidence from strategic assumption</v>
      </c>
      <c r="AF8" s="49" t="str">
        <f t="array" ref="AF8">IFERROR(INDEX('Factor Analysis'!$G$4:$G$378,_xlfn.AGGREGATE(15,6,(ROW('Factor Analysis'!$F$4:$F$378)-ROW('Factor Analysis'!$F$4)+1)/('Factor Analysis'!$F$4:$F$378="LIMITATION"),4)),"")</f>
        <v/>
      </c>
      <c r="AG8" s="49" t="str">
        <f t="array" ref="AG8">IFERROR(INDEX('Factor Analysis'!$G$4:$G$378,_xlfn.AGGREGATE(15,6,(ROW('Factor Analysis'!$F$4:$F$378)-ROW('Factor Analysis'!$F$4)+1)/('Factor Analysis'!$F$4:$F$378="CC"),4)),"")</f>
        <v>IRS doctrine is protracted war in place</v>
      </c>
      <c r="AH8" s="49" t="str">
        <f t="array" ref="AH8">IFERROR(INDEX('Factor Analysis'!$G$4:$G$378,_xlfn.AGGREGATE(15,6,(ROW('Factor Analysis'!$F$4:$F$378)-ROW('Factor Analysis'!$F$4)+1)/('Factor Analysis'!$F$4:$F$378="CR"),4)),"")</f>
        <v/>
      </c>
      <c r="AI8" s="92" t="str">
        <f t="array" ref="AI8">IFERROR(INDEX('Factor Analysis'!$G$4:$G$378,_xlfn.AGGREGATE(15,6,(ROW('Factor Analysis'!$F$4:$F$378)-ROW('Factor Analysis'!$F$4)+1)/('Factor Analysis'!$F$4:$F$378="PCS"),4)),"")</f>
        <v>Strategic lift to the coupling bridge</v>
      </c>
    </row>
    <row r="9" spans="1:35" ht="39.75" customHeight="1">
      <c r="A9" s="38"/>
      <c r="B9" s="39" t="str">
        <f t="array" ref="B9">IFERROR(INDEX('Factor Analysis'!$G$4:$G$378,_xlfn.AGGREGATE(15,6,(ROW('Factor Analysis'!$F$4:$F$378)-ROW('Factor Analysis'!$F$4)+1)/('Factor Analysis'!$F$4:$F$378="MSO"),5)),"")</f>
        <v/>
      </c>
      <c r="C9" s="40" t="str">
        <f>IFERROR(INDEX('Factor Analysis'!$A$4:$A$378,_xlfn.AGGREGATE(15,6,(ROW('Factor Analysis'!$F$4:$F$378)-ROW('Factor Analysis'!$F$4)+1)/('Factor Analysis'!$F$4:$F$378="MSO"),5)),"")</f>
        <v/>
      </c>
      <c r="D9" s="41"/>
      <c r="E9" s="42">
        <v>4</v>
      </c>
      <c r="F9" s="42">
        <v>1</v>
      </c>
      <c r="G9" s="42" t="str">
        <f t="shared" si="0"/>
        <v>4.1</v>
      </c>
      <c r="H9" s="43" t="str">
        <f t="array" ref="H9">IFERROR(INDEX('Factor Analysis'!$G$4:$G$378,_xlfn.AGGREGATE(15,6,(ROW('Factor Analysis'!$F$4:$F$378)-ROW('Factor Analysis'!$F$4)+1)/('Factor Analysis'!$F$4:$F$378="OO"),5)),"")</f>
        <v>Terror and external actor networks INTERDICTED</v>
      </c>
      <c r="I9" s="44">
        <f t="array" ref="I9">IFERROR(INDEX('Factor Analysis'!$A$4:$A$378,_xlfn.AGGREGATE(15,6,(ROW('Factor Analysis'!$F$4:$F$378)-ROW('Factor Analysis'!$F$4)+1)/('Factor Analysis'!$F$4:$F$378="OO"),5)),"")</f>
        <v>0</v>
      </c>
      <c r="J9" s="41"/>
      <c r="K9" s="88">
        <v>1</v>
      </c>
      <c r="L9" s="88">
        <v>2</v>
      </c>
      <c r="M9" s="88">
        <v>2</v>
      </c>
      <c r="N9" s="88" t="str">
        <f t="shared" si="1"/>
        <v>1.2.2</v>
      </c>
      <c r="O9" s="89" t="str">
        <f t="array" ref="O9">IFERROR(INDEX('Factor Analysis'!$G$4:$G$378,_xlfn.AGGREGATE(15,6,(ROW('Factor Analysis'!$F$4:$F$378)-ROW('Factor Analysis'!$F$4)+1)/('Factor Analysis'!$F$4:$F$378="DC"),5)),"")</f>
        <v>APODs SECURED</v>
      </c>
      <c r="P9" s="47">
        <f>IFERROR(INDEX('Factor Analysis'!$A$4:$A$378,_xlfn.AGGREGATE(15,6,(ROW('Factor Analysis'!$F$4:$F$378)-ROW('Factor Analysis'!$F$4)+1)/('Factor Analysis'!$F$4:$F$378="DC"),5)),"")</f>
        <v>0</v>
      </c>
      <c r="Q9" s="48"/>
      <c r="R9" s="49" t="str">
        <f t="array" ref="R9">IFERROR(INDEX('Factor Analysis'!$G$4:$G$378,_xlfn.AGGREGATE(15,6,(ROW('Factor Analysis'!$F$4:$F$378)-ROW('Factor Analysis'!$F$4)+1)/('Factor Analysis'!$F$4:$F$378="OE"),5)),"")</f>
        <v>NATO and foreign nationals are PROTECTED</v>
      </c>
      <c r="S9" s="49" t="str">
        <f t="array" ref="S9">IFERROR(INDEX('Factor Analysis'!$G$4:$G$378,_xlfn.AGGREGATE(15,6,(ROW('Factor Analysis'!$F$4:$F$378)-ROW('Factor Analysis'!$F$4)+1)/('Factor Analysis'!$F$4:$F$378="OA"),5)),"")</f>
        <v>DELAY and BLOCK advances while exposing failed promises</v>
      </c>
      <c r="T9" s="49" t="str">
        <f t="array" ref="T9">IFERROR(INDEX('Factor Analysis'!$G$4:$G$378,_xlfn.AGGREGATE(15,6,(ROW('Factor Analysis'!$F$4:$F$378)-ROW('Factor Analysis'!$F$4)+1)/('Factor Analysis'!$F$4:$F$378="RISK"),5)),"")</f>
        <v>Collateral damage restores HASAN credibility</v>
      </c>
      <c r="U9" s="49" t="str">
        <f t="array" ref="U9">IFERROR(INDEX('Factor Analysis'!$G$4:$G$378,_xlfn.AGGREGATE(15,6,(ROW('Factor Analysis'!$F$4:$F$378)-ROW('Factor Analysis'!$F$4)+1)/('Factor Analysis'!$F$4:$F$378="CV"),5)),"")</f>
        <v>Anti-Javanese grievance is a real political vulnerability</v>
      </c>
      <c r="V9" s="49" t="str">
        <f t="array" ref="V9">IFERROR(INDEX('Factor Analysis'!$G$4:$G$378,_xlfn.AGGREGATE(15,6,(ROW('Factor Analysis'!$F$4:$F$378)-ROW('Factor Analysis'!$F$4)+1)/('Factor Analysis'!$F$4:$F$378="COR"),5)),"")</f>
        <v>Frame operation as lawful restoration with local protections</v>
      </c>
      <c r="W9" s="49" t="str">
        <f t="array" ref="W9">IFERROR(INDEX('Factor Analysis'!$G$4:$G$378,_xlfn.AGGREGATE(15,6,(ROW('Factor Analysis'!$F$4:$F$378)-ROW('Factor Analysis'!$F$4)+1)/('Factor Analysis'!$F$4:$F$378="REQT"),5)),"")</f>
        <v>XPOD security, route clearance, QRF, medical and air cover required for GoIND entry</v>
      </c>
      <c r="X9" s="49" t="str">
        <f t="array" ref="X9">IFERROR(INDEX('Factor Analysis'!$G$4:$G$378,_xlfn.AGGREGATE(15,6,(ROW('Factor Analysis'!$F$4:$F$378)-ROW('Factor Analysis'!$F$4)+1)/('Factor Analysis'!$F$4:$F$378="REST"),5)),"")</f>
        <v/>
      </c>
      <c r="Y9" s="49" t="str">
        <f t="array" ref="Y9">IFERROR(INDEX('Factor Analysis'!$G$4:$G$378,_xlfn.AGGREGATE(15,6,(ROW('Factor Analysis'!$F$4:$F$378)-ROW('Factor Analysis'!$F$4)+1)/('Factor Analysis'!$F$4:$F$378="KCD-MUST"),5)),"")</f>
        <v>Prioritise LEGAD and STRATCOM advice within the planning process</v>
      </c>
      <c r="Z9" s="49" t="str">
        <f t="array" ref="Z9">IFERROR(INDEX('Factor Analysis'!$G$4:$G$378,_xlfn.AGGREGATE(15,6,(ROW('Factor Analysis'!$F$4:$F$378)-ROW('Factor Analysis'!$F$4)+1)/('Factor Analysis'!$F$4:$F$378="KCD-SHOULD"),5)),"")</f>
        <v>Use Sumatran intermediaries and local-language messaging</v>
      </c>
      <c r="AA9" s="49" t="str">
        <f t="array" ref="AA9">IFERROR(INDEX('Factor Analysis'!$G$4:$G$378,_xlfn.AGGREGATE(15,6,(ROW('Factor Analysis'!$F$4:$F$378)-ROW('Factor Analysis'!$F$4)+1)/('Factor Analysis'!$F$4:$F$378="KCD-SHOULD NOT"),5)),"")</f>
        <v/>
      </c>
      <c r="AB9" s="49" t="str">
        <f t="array" ref="AB9">IFERROR(INDEX('Factor Analysis'!$G$4:$G$378,_xlfn.AGGREGATE(15,6,(ROW('Factor Analysis'!$F$4:$F$378)-ROW('Factor Analysis'!$F$4)+1)/('Factor Analysis'!$F$4:$F$378="KCD-CANNOT"),5)),"")</f>
        <v>Cannot defeat IRS revenue solely inside Sumatra</v>
      </c>
      <c r="AC9" s="49" t="str">
        <f t="array" ref="AC9">IFERROR(INDEX('Factor Analysis'!$G$4:$G$378,_xlfn.AGGREGATE(15,6,(ROW('Factor Analysis'!$F$4:$F$378)-ROW('Factor Analysis'!$F$4)+1)/('Factor Analysis'!$F$4:$F$378="DECISION"),5)),"")</f>
        <v>IRS artillery movement, naval staging or amphibious loading near Aceh</v>
      </c>
      <c r="AD9" s="49" t="str">
        <f t="array" ref="AD9">IFERROR(INDEX('Factor Analysis'!$G$4:$G$378,_xlfn.AGGREGATE(15,6,(ROW('Factor Analysis'!$F$4:$F$378)-ROW('Factor Analysis'!$F$4)+1)/('Factor Analysis'!$F$4:$F$378="ASSUMPTION"),5)),"")</f>
        <v/>
      </c>
      <c r="AE9" s="49" t="str">
        <f t="array" ref="AE9">IFERROR(INDEX('Factor Analysis'!$G$4:$G$378,_xlfn.AGGREGATE(15,6,(ROW('Factor Analysis'!$F$4:$F$378)-ROW('Factor Analysis'!$F$4)+1)/('Factor Analysis'!$F$4:$F$378="CONSTRAINT"),5)),"")</f>
        <v>HA actors cannot be treated as NATO auxiliaries</v>
      </c>
      <c r="AF9" s="49" t="str">
        <f t="array" ref="AF9">IFERROR(INDEX('Factor Analysis'!$G$4:$G$378,_xlfn.AGGREGATE(15,6,(ROW('Factor Analysis'!$F$4:$F$378)-ROW('Factor Analysis'!$F$4)+1)/('Factor Analysis'!$F$4:$F$378="LIMITATION"),5)),"")</f>
        <v/>
      </c>
      <c r="AG9" s="49" t="str">
        <f t="array" ref="AG9">IFERROR(INDEX('Factor Analysis'!$G$4:$G$378,_xlfn.AGGREGATE(15,6,(ROW('Factor Analysis'!$F$4:$F$378)-ROW('Factor Analysis'!$F$4)+1)/('Factor Analysis'!$F$4:$F$378="CC"),5)),"")</f>
        <v>Small maritime threats can close strategic sea space</v>
      </c>
      <c r="AH9" s="49" t="str">
        <f t="array" ref="AH9">IFERROR(INDEX('Factor Analysis'!$G$4:$G$378,_xlfn.AGGREGATE(15,6,(ROW('Factor Analysis'!$F$4:$F$378)-ROW('Factor Analysis'!$F$4)+1)/('Factor Analysis'!$F$4:$F$378="CR"),5)),"")</f>
        <v/>
      </c>
      <c r="AI9" s="92" t="str">
        <f t="array" ref="AI9">IFERROR(INDEX('Factor Analysis'!$G$4:$G$378,_xlfn.AGGREGATE(15,6,(ROW('Factor Analysis'!$F$4:$F$378)-ROW('Factor Analysis'!$F$4)+1)/('Factor Analysis'!$F$4:$F$378="PCS"),5)),"")</f>
        <v xml:space="preserve"> Sufficient strategic deterrence and anti-A2AD capabilities</v>
      </c>
    </row>
    <row r="10" spans="1:35" ht="39.75" customHeight="1">
      <c r="A10" s="38"/>
      <c r="B10" s="39" t="str">
        <f t="array" ref="B10">IFERROR(INDEX('Factor Analysis'!$G$4:$G$378,_xlfn.AGGREGATE(15,6,(ROW('Factor Analysis'!$F$4:$F$378)-ROW('Factor Analysis'!$F$4)+1)/('Factor Analysis'!$F$4:$F$378="MSO"),6)),"")</f>
        <v/>
      </c>
      <c r="C10" s="40" t="str">
        <f t="array" ref="C10">IFERROR(INDEX('Factor Analysis'!$A$4:$A$378,_xlfn.AGGREGATE(15,6,(ROW('Factor Analysis'!$F$4:$F$378)-ROW('Factor Analysis'!$F$4)+1)/('Factor Analysis'!$F$4:$F$378="MSO"),6)),"")</f>
        <v/>
      </c>
      <c r="D10" s="41"/>
      <c r="E10" s="42">
        <v>3</v>
      </c>
      <c r="F10" s="42">
        <v>2</v>
      </c>
      <c r="G10" s="42" t="str">
        <f t="shared" si="0"/>
        <v>3.2</v>
      </c>
      <c r="H10" s="43" t="str">
        <f t="array" ref="H10">IFERROR(INDEX('Factor Analysis'!$G$4:$G$378,_xlfn.AGGREGATE(15,6,(ROW('Factor Analysis'!$F$4:$F$378)-ROW('Factor Analysis'!$F$4)+1)/('Factor Analysis'!$F$4:$F$378="OO"),6)),"")</f>
        <v>GoIND SECURING of SUMATRA SUPPORTED</v>
      </c>
      <c r="I10" s="44">
        <f>IFERROR(INDEX('Factor Analysis'!$A$4:$A$378,_xlfn.AGGREGATE(15,6,(ROW('Factor Analysis'!$F$4:$F$378)-ROW('Factor Analysis'!$F$4)+1)/('Factor Analysis'!$F$4:$F$378="OO"),6)),"")</f>
        <v>0</v>
      </c>
      <c r="J10" s="41"/>
      <c r="K10" s="88">
        <v>3</v>
      </c>
      <c r="L10" s="88">
        <v>2</v>
      </c>
      <c r="M10" s="88">
        <v>2</v>
      </c>
      <c r="N10" s="88" t="str">
        <f t="shared" si="1"/>
        <v>3.2.2</v>
      </c>
      <c r="O10" s="89" t="str">
        <f t="array" ref="O10">IFERROR(INDEX('Factor Analysis'!$G$4:$G$378,_xlfn.AGGREGATE(15,6,(ROW('Factor Analysis'!$F$4:$F$378)-ROW('Factor Analysis'!$F$4)+1)/('Factor Analysis'!$F$4:$F$378="DC"),6)),"")</f>
        <v>Priority governance / infrastructure nodes SECURED</v>
      </c>
      <c r="P10" s="47">
        <f>IFERROR(INDEX('Factor Analysis'!$A$4:$A$378,_xlfn.AGGREGATE(15,6,(ROW('Factor Analysis'!$F$4:$F$378)-ROW('Factor Analysis'!$F$4)+1)/('Factor Analysis'!$F$4:$F$378="DC"),6)),"")</f>
        <v>0</v>
      </c>
      <c r="Q10" s="48"/>
      <c r="R10" s="49" t="str">
        <f t="array" ref="R10">IFERROR(INDEX('Factor Analysis'!$G$4:$G$378,_xlfn.AGGREGATE(15,6,(ROW('Factor Analysis'!$F$4:$F$378)-ROW('Factor Analysis'!$F$4)+1)/('Factor Analysis'!$F$4:$F$378="OE"),6)),"")</f>
        <v>HOLD key terrain</v>
      </c>
      <c r="S10" s="49" t="str">
        <f t="array" ref="S10">IFERROR(INDEX('Factor Analysis'!$G$4:$G$378,_xlfn.AGGREGATE(15,6,(ROW('Factor Analysis'!$F$4:$F$378)-ROW('Factor Analysis'!$F$4)+1)/('Factor Analysis'!$F$4:$F$378="OA"),6)),"")</f>
        <v>EXPOSE coercive tariffs and protect compliant shipping</v>
      </c>
      <c r="T10" s="49" t="str">
        <f t="array" ref="T10">IFERROR(INDEX('Factor Analysis'!$G$4:$G$378,_xlfn.AGGREGATE(15,6,(ROW('Factor Analysis'!$F$4:$F$378)-ROW('Factor Analysis'!$F$4)+1)/('Factor Analysis'!$F$4:$F$378="RISK"),6)),"")</f>
        <v>Assembly points become hostage, IED or propaganda targets</v>
      </c>
      <c r="U10" s="49" t="str">
        <f t="array" ref="U10">IFERROR(INDEX('Factor Analysis'!$G$4:$G$378,_xlfn.AGGREGATE(15,6,(ROW('Factor Analysis'!$F$4:$F$378)-ROW('Factor Analysis'!$F$4)+1)/('Factor Analysis'!$F$4:$F$378="CV"),6)),"")</f>
        <v>IRS offensive depends on few road/rail corridors</v>
      </c>
      <c r="V10" s="49" t="str">
        <f t="array" ref="V10">IFERROR(INDEX('Factor Analysis'!$G$4:$G$378,_xlfn.AGGREGATE(15,6,(ROW('Factor Analysis'!$F$4:$F$378)-ROW('Factor Analysis'!$F$4)+1)/('Factor Analysis'!$F$4:$F$378="COR"),6)),"")</f>
        <v>Demonstrate early reversal of IRS political momentum</v>
      </c>
      <c r="W10" s="49" t="str">
        <f t="array" ref="W10">IFERROR(INDEX('Factor Analysis'!$G$4:$G$378,_xlfn.AGGREGATE(15,6,(ROW('Factor Analysis'!$F$4:$F$378)-ROW('Factor Analysis'!$F$4)+1)/('Factor Analysis'!$F$4:$F$378="REQT"),6)),"")</f>
        <v>XPOD security, route clearance, QRF, med and air cover required</v>
      </c>
      <c r="X10" s="49" t="str">
        <f t="array" ref="X10">IFERROR(INDEX('Factor Analysis'!$G$4:$G$378,_xlfn.AGGREGATE(15,6,(ROW('Factor Analysis'!$F$4:$F$378)-ROW('Factor Analysis'!$F$4)+1)/('Factor Analysis'!$F$4:$F$378="REST"),6)),"")</f>
        <v/>
      </c>
      <c r="Y10" s="49" t="str">
        <f t="array" ref="Y10">IFERROR(INDEX('Factor Analysis'!$G$4:$G$378,_xlfn.AGGREGATE(15,6,(ROW('Factor Analysis'!$F$4:$F$378)-ROW('Factor Analysis'!$F$4)+1)/('Factor Analysis'!$F$4:$F$378="KCD-MUST"),6)),"")</f>
        <v>Define ROEs carefully</v>
      </c>
      <c r="Z10" s="49" t="str">
        <f t="array" ref="Z10">IFERROR(INDEX('Factor Analysis'!$G$4:$G$378,_xlfn.AGGREGATE(15,6,(ROW('Factor Analysis'!$F$4:$F$378)-ROW('Factor Analysis'!$F$4)+1)/('Factor Analysis'!$F$4:$F$378="KCD-SHOULD"),6)),"")</f>
        <v>Trigger pre-emptive shaping on verified staging</v>
      </c>
      <c r="AA10" s="49" t="str">
        <f t="array" ref="AA10">IFERROR(INDEX('Factor Analysis'!$G$4:$G$378,_xlfn.AGGREGATE(15,6,(ROW('Factor Analysis'!$F$4:$F$378)-ROW('Factor Analysis'!$F$4)+1)/('Factor Analysis'!$F$4:$F$378="KCD-SHOULD NOT"),6)),"")</f>
        <v/>
      </c>
      <c r="AB10" s="49" t="str">
        <f t="array" ref="AB10">IFERROR(INDEX('Factor Analysis'!$G$4:$G$378,_xlfn.AGGREGATE(15,6,(ROW('Factor Analysis'!$F$4:$F$378)-ROW('Factor Analysis'!$F$4)+1)/('Factor Analysis'!$F$4:$F$378="KCD-CANNOT"),6)),"")</f>
        <v>Cannot promise simultaneous Malacca, Aceh and Sumatra-wide control early</v>
      </c>
      <c r="AC10" s="49" t="str">
        <f t="array" ref="AC10">IFERROR(INDEX('Factor Analysis'!$G$4:$G$378,_xlfn.AGGREGATE(15,6,(ROW('Factor Analysis'!$F$4:$F$378)-ROW('Factor Analysis'!$F$4)+1)/('Factor Analysis'!$F$4:$F$378="DECISION"),6)),"")</f>
        <v>COM needs acceptable risk on unscreened provinces</v>
      </c>
      <c r="AD10" s="49" t="str">
        <f t="array" ref="AD10">IFERROR(INDEX('Factor Analysis'!$G$4:$G$378,_xlfn.AGGREGATE(15,6,(ROW('Factor Analysis'!$F$4:$F$378)-ROW('Factor Analysis'!$F$4)+1)/('Factor Analysis'!$F$4:$F$378="ASSUMPTION"),6)),"")</f>
        <v/>
      </c>
      <c r="AE10" s="49" t="str">
        <f t="array" ref="AE10">IFERROR(INDEX('Factor Analysis'!$G$4:$G$378,_xlfn.AGGREGATE(15,6,(ROW('Factor Analysis'!$F$4:$F$378)-ROW('Factor Analysis'!$F$4)+1)/('Factor Analysis'!$F$4:$F$378="CONSTRAINT"),6)),"")</f>
        <v>Initial means are NRF-limited; objectives are theatre-strategic</v>
      </c>
      <c r="AF10" s="49" t="str">
        <f t="array" ref="AF10">IFERROR(INDEX('Factor Analysis'!$G$4:$G$378,_xlfn.AGGREGATE(15,6,(ROW('Factor Analysis'!$F$4:$F$378)-ROW('Factor Analysis'!$F$4)+1)/('Factor Analysis'!$F$4:$F$378="LIMITATION"),6)),"")</f>
        <v/>
      </c>
      <c r="AG10" s="49" t="str">
        <f t="array" ref="AG10">IFERROR(INDEX('Factor Analysis'!$G$4:$G$378,_xlfn.AGGREGATE(15,6,(ROW('Factor Analysis'!$F$4:$F$378)-ROW('Factor Analysis'!$F$4)+1)/('Factor Analysis'!$F$4:$F$378="CC"),6)),"")</f>
        <v/>
      </c>
      <c r="AH10" s="49" t="str">
        <f t="array" ref="AH10">IFERROR(INDEX('Factor Analysis'!$G$4:$G$378,_xlfn.AGGREGATE(15,6,(ROW('Factor Analysis'!$F$4:$F$378)-ROW('Factor Analysis'!$F$4)+1)/('Factor Analysis'!$F$4:$F$378="CR"),6)),"")</f>
        <v/>
      </c>
      <c r="AI10" s="92" t="str">
        <f t="array" ref="AI10">IFERROR(INDEX('Factor Analysis'!$G$4:$G$378,_xlfn.AGGREGATE(15,6,(ROW('Factor Analysis'!$F$4:$F$378)-ROW('Factor Analysis'!$F$4)+1)/('Factor Analysis'!$F$4:$F$378="PCS"),6)),"")</f>
        <v/>
      </c>
    </row>
    <row r="11" spans="1:35" ht="39.75" customHeight="1">
      <c r="A11" s="38"/>
      <c r="B11" s="39" t="str">
        <f t="array" ref="B11">IFERROR(INDEX('Factor Analysis'!$G$4:$G$378,_xlfn.AGGREGATE(15,6,(ROW('Factor Analysis'!$F$4:$F$378)-ROW('Factor Analysis'!$F$4)+1)/('Factor Analysis'!$F$4:$F$378="MSO"),7)),"")</f>
        <v/>
      </c>
      <c r="C11" s="40" t="str">
        <f t="array" ref="C11">IFERROR(INDEX('Factor Analysis'!$A$4:$A$378,_xlfn.AGGREGATE(15,6,(ROW('Factor Analysis'!$F$4:$F$378)-ROW('Factor Analysis'!$F$4)+1)/('Factor Analysis'!$F$4:$F$378="MSO"),7)),"")</f>
        <v/>
      </c>
      <c r="D11" s="41"/>
      <c r="E11" s="42">
        <v>2</v>
      </c>
      <c r="F11" s="42">
        <v>2</v>
      </c>
      <c r="G11" s="42" t="str">
        <f t="shared" si="0"/>
        <v>2.2</v>
      </c>
      <c r="H11" s="43" t="str">
        <f t="array" ref="H11">IFERROR(INDEX('Factor Analysis'!$G$4:$G$378,_xlfn.AGGREGATE(15,6,(ROW('Factor Analysis'!$F$4:$F$378)-ROW('Factor Analysis'!$F$4)+1)/('Factor Analysis'!$F$4:$F$378="OO"),7)),"")</f>
        <v>Adversary influence on NATO CIVPOP DENIED</v>
      </c>
      <c r="I11" s="44" t="str">
        <f t="array" ref="I11">IFERROR(INDEX('Factor Analysis'!$A$4:$A$378,_xlfn.AGGREGATE(15,6,(ROW('Factor Analysis'!$F$4:$F$378)-ROW('Factor Analysis'!$F$4)+1)/('Factor Analysis'!$F$4:$F$378="OO"),7)),"")</f>
        <v>3</v>
      </c>
      <c r="J11" s="41"/>
      <c r="K11" s="88">
        <v>3</v>
      </c>
      <c r="L11" s="88">
        <v>2</v>
      </c>
      <c r="M11" s="88">
        <v>1</v>
      </c>
      <c r="N11" s="88" t="str">
        <f t="shared" si="1"/>
        <v>3.2.1</v>
      </c>
      <c r="O11" s="89" t="str">
        <f t="array" ref="O11">IFERROR(INDEX('Factor Analysis'!$G$4:$G$378,_xlfn.AGGREGATE(15,6,(ROW('Factor Analysis'!$F$4:$F$378)-ROW('Factor Analysis'!$F$4)+1)/('Factor Analysis'!$F$4:$F$378="DC"),7)),"")</f>
        <v>RSOI areas are SECURED</v>
      </c>
      <c r="P11" s="47">
        <f>IFERROR(INDEX('Factor Analysis'!$A$4:$A$378,_xlfn.AGGREGATE(15,6,(ROW('Factor Analysis'!$F$4:$F$378)-ROW('Factor Analysis'!$F$4)+1)/('Factor Analysis'!$F$4:$F$378="DC"),7)),"")</f>
        <v>0</v>
      </c>
      <c r="Q11" s="48"/>
      <c r="R11" s="49" t="str">
        <f t="array" ref="R11">IFERROR(INDEX('Factor Analysis'!$G$4:$G$378,_xlfn.AGGREGATE(15,6,(ROW('Factor Analysis'!$F$4:$F$378)-ROW('Factor Analysis'!$F$4)+1)/('Factor Analysis'!$F$4:$F$378="OE"),7)),"")</f>
        <v>IRS expansion is BLOCKED</v>
      </c>
      <c r="S11" s="49" t="str">
        <f t="array" ref="S11">IFERROR(INDEX('Factor Analysis'!$G$4:$G$378,_xlfn.AGGREGATE(15,6,(ROW('Factor Analysis'!$F$4:$F$378)-ROW('Factor Analysis'!$F$4)+1)/('Factor Analysis'!$F$4:$F$378="OA"),7)),"")</f>
        <v>MONITOR and divert coercive trade networks</v>
      </c>
      <c r="T11" s="49" t="str">
        <f t="array" ref="T11">IFERROR(INDEX('Factor Analysis'!$G$4:$G$378,_xlfn.AGGREGATE(15,6,(ROW('Factor Analysis'!$F$4:$F$378)-ROW('Factor Analysis'!$F$4)+1)/('Factor Analysis'!$F$4:$F$378="RISK"),7)),"")</f>
        <v>Counter UAS is not a NATO capability code or capability statement</v>
      </c>
      <c r="U11" s="49" t="str">
        <f t="array" ref="U11">IFERROR(INDEX('Factor Analysis'!$G$4:$G$378,_xlfn.AGGREGATE(15,6,(ROW('Factor Analysis'!$F$4:$F$378)-ROW('Factor Analysis'!$F$4)+1)/('Factor Analysis'!$F$4:$F$378="CV"),7)),"")</f>
        <v>IRS morale and civilian compliance are momentum-sensitive</v>
      </c>
      <c r="V11" s="49" t="str">
        <f t="array" ref="V11">IFERROR(INDEX('Factor Analysis'!$G$4:$G$378,_xlfn.AGGREGATE(15,6,(ROW('Factor Analysis'!$F$4:$F$378)-ROW('Factor Analysis'!$F$4)+1)/('Factor Analysis'!$F$4:$F$378="COR"),7)),"")</f>
        <v>Tie ISR collection to phase-change indicators</v>
      </c>
      <c r="W11" s="49" t="str">
        <f t="array" ref="W11">IFERROR(INDEX('Factor Analysis'!$G$4:$G$378,_xlfn.AGGREGATE(15,6,(ROW('Factor Analysis'!$F$4:$F$378)-ROW('Factor Analysis'!$F$4)+1)/('Factor Analysis'!$F$4:$F$378="REQT"),7)),"")</f>
        <v>Persistent ISR, MPA, UAV, HUMINT and partner reporting required</v>
      </c>
      <c r="X11" s="49" t="str">
        <f t="array" ref="X11">IFERROR(INDEX('Factor Analysis'!$G$4:$G$378,_xlfn.AGGREGATE(15,6,(ROW('Factor Analysis'!$F$4:$F$378)-ROW('Factor Analysis'!$F$4)+1)/('Factor Analysis'!$F$4:$F$378="REST"),7)),"")</f>
        <v/>
      </c>
      <c r="Y11" s="49" t="str">
        <f t="array" ref="Y11">IFERROR(INDEX('Factor Analysis'!$G$4:$G$378,_xlfn.AGGREGATE(15,6,(ROW('Factor Analysis'!$F$4:$F$378)-ROW('Factor Analysis'!$F$4)+1)/('Factor Analysis'!$F$4:$F$378="KCD-MUST"),7)),"")</f>
        <v>GoIND must front restored governance; NATO enables only</v>
      </c>
      <c r="Z11" s="49" t="str">
        <f t="array" ref="Z11">IFERROR(INDEX('Factor Analysis'!$G$4:$G$378,_xlfn.AGGREGATE(15,6,(ROW('Factor Analysis'!$F$4:$F$378)-ROW('Factor Analysis'!$F$4)+1)/('Factor Analysis'!$F$4:$F$378="KCD-SHOULD"),7)),"")</f>
        <v>Use terrain to fix and fragment IRS</v>
      </c>
      <c r="AA11" s="49" t="str">
        <f t="array" ref="AA11">IFERROR(INDEX('Factor Analysis'!$G$4:$G$378,_xlfn.AGGREGATE(15,6,(ROW('Factor Analysis'!$F$4:$F$378)-ROW('Factor Analysis'!$F$4)+1)/('Factor Analysis'!$F$4:$F$378="KCD-SHOULD NOT"),7)),"")</f>
        <v/>
      </c>
      <c r="AB11" s="49" t="str">
        <f t="array" ref="AB11">IFERROR(INDEX('Factor Analysis'!$G$4:$G$378,_xlfn.AGGREGATE(15,6,(ROW('Factor Analysis'!$F$4:$F$378)-ROW('Factor Analysis'!$F$4)+1)/('Factor Analysis'!$F$4:$F$378="KCD-CANNOT"),7)),"")</f>
        <v>Cannot design mechanised sweep as main early approach</v>
      </c>
      <c r="AC11" s="49" t="str">
        <f t="array" ref="AC11">IFERROR(INDEX('Factor Analysis'!$G$4:$G$378,_xlfn.AGGREGATE(15,6,(ROW('Factor Analysis'!$F$4:$F$378)-ROW('Factor Analysis'!$F$4)+1)/('Factor Analysis'!$F$4:$F$378="DECISION"),7)),"")</f>
        <v>COM needs target discrimination thresholds for POL/LNG nodes</v>
      </c>
      <c r="AD11" s="49" t="str">
        <f t="array" ref="AD11">IFERROR(INDEX('Factor Analysis'!$G$4:$G$378,_xlfn.AGGREGATE(15,6,(ROW('Factor Analysis'!$F$4:$F$378)-ROW('Factor Analysis'!$F$4)+1)/('Factor Analysis'!$F$4:$F$378="ASSUMPTION"),7)),"")</f>
        <v/>
      </c>
      <c r="AE11" s="49" t="str">
        <f t="array" ref="AE11">IFERROR(INDEX('Factor Analysis'!$G$4:$G$378,_xlfn.AGGREGATE(15,6,(ROW('Factor Analysis'!$F$4:$F$378)-ROW('Factor Analysis'!$F$4)+1)/('Factor Analysis'!$F$4:$F$378="CONSTRAINT"),7)),"")</f>
        <v/>
      </c>
      <c r="AF11" s="49" t="str">
        <f t="array" ref="AF11">IFERROR(INDEX('Factor Analysis'!$G$4:$G$378,_xlfn.AGGREGATE(15,6,(ROW('Factor Analysis'!$F$4:$F$378)-ROW('Factor Analysis'!$F$4)+1)/('Factor Analysis'!$F$4:$F$378="LIMITATION"),7)),"")</f>
        <v/>
      </c>
      <c r="AG11" s="49" t="str">
        <f t="array" ref="AG11">IFERROR(INDEX('Factor Analysis'!$G$4:$G$378,_xlfn.AGGREGATE(15,6,(ROW('Factor Analysis'!$F$4:$F$378)-ROW('Factor Analysis'!$F$4)+1)/('Factor Analysis'!$F$4:$F$378="CC"),7)),"")</f>
        <v/>
      </c>
      <c r="AH11" s="49" t="str">
        <f t="array" ref="AH11">IFERROR(INDEX('Factor Analysis'!$G$4:$G$378,_xlfn.AGGREGATE(15,6,(ROW('Factor Analysis'!$F$4:$F$378)-ROW('Factor Analysis'!$F$4)+1)/('Factor Analysis'!$F$4:$F$378="CR"),7)),"")</f>
        <v/>
      </c>
      <c r="AI11" s="92" t="str">
        <f t="array" ref="AI11">IFERROR(INDEX('Factor Analysis'!$G$4:$G$378,_xlfn.AGGREGATE(15,6,(ROW('Factor Analysis'!$F$4:$F$378)-ROW('Factor Analysis'!$F$4)+1)/('Factor Analysis'!$F$4:$F$378="PCS"),7)),"")</f>
        <v/>
      </c>
    </row>
    <row r="12" spans="1:35" ht="39.75" customHeight="1">
      <c r="A12" s="38"/>
      <c r="B12" s="39" t="str">
        <f t="array" ref="B12">IFERROR(INDEX('Factor Analysis'!$G$4:$G$378,_xlfn.AGGREGATE(15,6,(ROW('Factor Analysis'!$F$4:$F$378)-ROW('Factor Analysis'!$F$4)+1)/('Factor Analysis'!$F$4:$F$378="MSO"),8)),"")</f>
        <v/>
      </c>
      <c r="C12" s="40" t="str">
        <f t="array" ref="C12">IFERROR(INDEX('Factor Analysis'!$A$4:$A$378,_xlfn.AGGREGATE(15,6,(ROW('Factor Analysis'!$F$4:$F$378)-ROW('Factor Analysis'!$F$4)+1)/('Factor Analysis'!$F$4:$F$378="MSO"),8)),"")</f>
        <v/>
      </c>
      <c r="D12" s="41"/>
      <c r="E12" s="42">
        <v>3</v>
      </c>
      <c r="F12" s="42">
        <v>3</v>
      </c>
      <c r="G12" s="42" t="str">
        <f t="shared" si="0"/>
        <v>3.3</v>
      </c>
      <c r="H12" s="43" t="str">
        <f t="array" ref="H12">IFERROR(INDEX('Factor Analysis'!$G$4:$G$378,_xlfn.AGGREGATE(15,6,(ROW('Factor Analysis'!$F$4:$F$378)-ROW('Factor Analysis'!$F$4)+1)/('Factor Analysis'!$F$4:$F$378="OO"),8)),"")</f>
        <v>Key locations in SUMATRA SECURED</v>
      </c>
      <c r="I12" s="44">
        <f t="array" ref="I12">IFERROR(INDEX('Factor Analysis'!$A$4:$A$378,_xlfn.AGGREGATE(15,6,(ROW('Factor Analysis'!$F$4:$F$378)-ROW('Factor Analysis'!$F$4)+1)/('Factor Analysis'!$F$4:$F$378="OO"),8)),"")</f>
        <v>0</v>
      </c>
      <c r="J12" s="41"/>
      <c r="K12" s="88">
        <v>1</v>
      </c>
      <c r="L12" s="88">
        <v>2</v>
      </c>
      <c r="M12" s="88">
        <v>3</v>
      </c>
      <c r="N12" s="88" t="str">
        <f t="shared" si="1"/>
        <v>1.2.3</v>
      </c>
      <c r="O12" s="89" t="str">
        <f t="array" ref="O12">IFERROR(INDEX('Factor Analysis'!$G$4:$G$378,_xlfn.AGGREGATE(15,6,(ROW('Factor Analysis'!$F$4:$F$378)-ROW('Factor Analysis'!$F$4)+1)/('Factor Analysis'!$F$4:$F$378="DC"),8)),"")</f>
        <v>Sea CONTROLLED</v>
      </c>
      <c r="P12" s="47">
        <f>IFERROR(INDEX('Factor Analysis'!$A$4:$A$378,_xlfn.AGGREGATE(15,6,(ROW('Factor Analysis'!$F$4:$F$378)-ROW('Factor Analysis'!$F$4)+1)/('Factor Analysis'!$F$4:$F$378="DC"),8)),"")</f>
        <v>0</v>
      </c>
      <c r="Q12" s="48"/>
      <c r="R12" s="49" t="str">
        <f t="array" ref="R12">IFERROR(INDEX('Factor Analysis'!$G$4:$G$378,_xlfn.AGGREGATE(15,6,(ROW('Factor Analysis'!$F$4:$F$378)-ROW('Factor Analysis'!$F$4)+1)/('Factor Analysis'!$F$4:$F$378="OE"),8)),"")</f>
        <v>BLOCK IRS offensive momentum</v>
      </c>
      <c r="S12" s="49" t="str">
        <f t="array" ref="S12">IFERROR(INDEX('Factor Analysis'!$G$4:$G$378,_xlfn.AGGREGATE(15,6,(ROW('Factor Analysis'!$F$4:$F$378)-ROW('Factor Analysis'!$F$4)+1)/('Factor Analysis'!$F$4:$F$378="OA"),8)),"")</f>
        <v>CLEAR and PROTECT bridges, roads and rail choke points</v>
      </c>
      <c r="T12" s="49" t="str">
        <f t="array" ref="T12">IFERROR(INDEX('Factor Analysis'!$G$4:$G$378,_xlfn.AGGREGATE(15,6,(ROW('Factor Analysis'!$F$4:$F$378)-ROW('Factor Analysis'!$F$4)+1)/('Factor Analysis'!$F$4:$F$378="RISK"),8)),"")</f>
        <v>Without local governance presence, military clearance creates a vacuum IRS exploits</v>
      </c>
      <c r="U12" s="49" t="str">
        <f t="array" ref="U12">IFERROR(INDEX('Factor Analysis'!$G$4:$G$378,_xlfn.AGGREGATE(15,6,(ROW('Factor Analysis'!$F$4:$F$378)-ROW('Factor Analysis'!$F$4)+1)/('Factor Analysis'!$F$4:$F$378="CV"),8)),"")</f>
        <v>IRS economy is dependent on maritime POL/LNG exports</v>
      </c>
      <c r="V12" s="49" t="str">
        <f t="array" ref="V12">IFERROR(INDEX('Factor Analysis'!$G$4:$G$378,_xlfn.AGGREGATE(15,6,(ROW('Factor Analysis'!$F$4:$F$378)-ROW('Factor Analysis'!$F$4)+1)/('Factor Analysis'!$F$4:$F$378="COR"),8)),"")</f>
        <v>Prioritise decisive nodes over province-wide control</v>
      </c>
      <c r="W12" s="49" t="str">
        <f t="array" ref="W12">IFERROR(INDEX('Factor Analysis'!$G$4:$G$378,_xlfn.AGGREGATE(15,6,(ROW('Factor Analysis'!$F$4:$F$378)-ROW('Factor Analysis'!$F$4)+1)/('Factor Analysis'!$F$4:$F$378="REQT"),8)),"")</f>
        <v>Main force follow-on needed if unrest expands</v>
      </c>
      <c r="X12" s="49" t="str">
        <f t="array" ref="X12">IFERROR(INDEX('Factor Analysis'!$G$4:$G$378,_xlfn.AGGREGATE(15,6,(ROW('Factor Analysis'!$F$4:$F$378)-ROW('Factor Analysis'!$F$4)+1)/('Factor Analysis'!$F$4:$F$378="REST"),8)),"")</f>
        <v/>
      </c>
      <c r="Y12" s="49" t="str">
        <f t="array" ref="Y12">IFERROR(INDEX('Factor Analysis'!$G$4:$G$378,_xlfn.AGGREGATE(15,6,(ROW('Factor Analysis'!$F$4:$F$378)-ROW('Factor Analysis'!$F$4)+1)/('Factor Analysis'!$F$4:$F$378="KCD-MUST"),8)),"")</f>
        <v>Prevent IRS recognition becoming a model for other regions</v>
      </c>
      <c r="Z12" s="49" t="str">
        <f t="array" ref="Z12">IFERROR(INDEX('Factor Analysis'!$G$4:$G$378,_xlfn.AGGREGATE(15,6,(ROW('Factor Analysis'!$F$4:$F$378)-ROW('Factor Analysis'!$F$4)+1)/('Factor Analysis'!$F$4:$F$378="KCD-SHOULD"),8)),"")</f>
        <v>Capture operating systems and records intact</v>
      </c>
      <c r="AA12" s="49" t="str">
        <f t="array" ref="AA12">IFERROR(INDEX('Factor Analysis'!$G$4:$G$378,_xlfn.AGGREGATE(15,6,(ROW('Factor Analysis'!$F$4:$F$378)-ROW('Factor Analysis'!$F$4)+1)/('Factor Analysis'!$F$4:$F$378="KCD-SHOULD NOT"),8)),"")</f>
        <v/>
      </c>
      <c r="AB12" s="49" t="str">
        <f t="array" ref="AB12">IFERROR(INDEX('Factor Analysis'!$G$4:$G$378,_xlfn.AGGREGATE(15,6,(ROW('Factor Analysis'!$F$4:$F$378)-ROW('Factor Analysis'!$F$4)+1)/('Factor Analysis'!$F$4:$F$378="KCD-CANNOT"),8)),"")</f>
        <v>Cannot assume presence equals sea control</v>
      </c>
      <c r="AC12" s="49" t="str">
        <f t="array" ref="AC12">IFERROR(INDEX('Factor Analysis'!$G$4:$G$378,_xlfn.AGGREGATE(15,6,(ROW('Factor Analysis'!$F$4:$F$378)-ROW('Factor Analysis'!$F$4)+1)/('Factor Analysis'!$F$4:$F$378="DECISION"),8)),"")</f>
        <v>COM needs movement priority: NEO, entry force, MCM, or sustainment</v>
      </c>
      <c r="AD12" s="49" t="str">
        <f t="array" ref="AD12">IFERROR(INDEX('Factor Analysis'!$G$4:$G$378,_xlfn.AGGREGATE(15,6,(ROW('Factor Analysis'!$F$4:$F$378)-ROW('Factor Analysis'!$F$4)+1)/('Factor Analysis'!$F$4:$F$378="ASSUMPTION"),8)),"")</f>
        <v/>
      </c>
      <c r="AE12" s="49" t="str">
        <f t="array" ref="AE12">IFERROR(INDEX('Factor Analysis'!$G$4:$G$378,_xlfn.AGGREGATE(15,6,(ROW('Factor Analysis'!$F$4:$F$378)-ROW('Factor Analysis'!$F$4)+1)/('Factor Analysis'!$F$4:$F$378="CONSTRAINT"),8)),"")</f>
        <v/>
      </c>
      <c r="AF12" s="49" t="str">
        <f t="array" ref="AF12">IFERROR(INDEX('Factor Analysis'!$G$4:$G$378,_xlfn.AGGREGATE(15,6,(ROW('Factor Analysis'!$F$4:$F$378)-ROW('Factor Analysis'!$F$4)+1)/('Factor Analysis'!$F$4:$F$378="LIMITATION"),8)),"")</f>
        <v/>
      </c>
      <c r="AG12" s="49" t="str">
        <f t="array" ref="AG12">IFERROR(INDEX('Factor Analysis'!$G$4:$G$378,_xlfn.AGGREGATE(15,6,(ROW('Factor Analysis'!$F$4:$F$378)-ROW('Factor Analysis'!$F$4)+1)/('Factor Analysis'!$F$4:$F$378="CC"),8)),"")</f>
        <v/>
      </c>
      <c r="AH12" s="49" t="str">
        <f t="array" ref="AH12">IFERROR(INDEX('Factor Analysis'!$G$4:$G$378,_xlfn.AGGREGATE(15,6,(ROW('Factor Analysis'!$F$4:$F$378)-ROW('Factor Analysis'!$F$4)+1)/('Factor Analysis'!$F$4:$F$378="CR"),8)),"")</f>
        <v/>
      </c>
      <c r="AI12" s="92" t="str">
        <f t="array" ref="AI12">IFERROR(INDEX('Factor Analysis'!$G$4:$G$378,_xlfn.AGGREGATE(15,6,(ROW('Factor Analysis'!$F$4:$F$378)-ROW('Factor Analysis'!$F$4)+1)/('Factor Analysis'!$F$4:$F$378="PCS"),8)),"")</f>
        <v/>
      </c>
    </row>
    <row r="13" spans="1:35" ht="39.75" customHeight="1">
      <c r="A13" s="38"/>
      <c r="B13" s="39" t="str">
        <f t="array" ref="B13">IFERROR(INDEX('Factor Analysis'!$G$4:$G$378,_xlfn.AGGREGATE(15,6,(ROW('Factor Analysis'!$F$4:$F$378)-ROW('Factor Analysis'!$F$4)+1)/('Factor Analysis'!$F$4:$F$378="MSO"),9)),"")</f>
        <v/>
      </c>
      <c r="C13" s="40" t="str">
        <f t="array" ref="C13">IFERROR(INDEX('Factor Analysis'!$A$4:$A$378,_xlfn.AGGREGATE(15,6,(ROW('Factor Analysis'!$F$4:$F$378)-ROW('Factor Analysis'!$F$4)+1)/('Factor Analysis'!$F$4:$F$378="MSO"),9)),"")</f>
        <v/>
      </c>
      <c r="D13" s="41"/>
      <c r="E13" s="42">
        <v>2</v>
      </c>
      <c r="F13" s="42">
        <v>1</v>
      </c>
      <c r="G13" s="42" t="str">
        <f t="shared" si="0"/>
        <v>2.1</v>
      </c>
      <c r="H13" s="43" t="str">
        <f t="array" ref="H13">IFERROR(INDEX('Factor Analysis'!$G$4:$G$378,_xlfn.AGGREGATE(15,6,(ROW('Factor Analysis'!$F$4:$F$378)-ROW('Factor Analysis'!$F$4)+1)/('Factor Analysis'!$F$4:$F$378="OO"),9)),"")</f>
        <v>NATO CIVPOP disposition UNDERSTOOD</v>
      </c>
      <c r="I13" s="44">
        <f t="array" ref="I13">IFERROR(INDEX('Factor Analysis'!$A$4:$A$378,_xlfn.AGGREGATE(15,6,(ROW('Factor Analysis'!$F$4:$F$378)-ROW('Factor Analysis'!$F$4)+1)/('Factor Analysis'!$F$4:$F$378="OO"),9)),"")</f>
        <v>0</v>
      </c>
      <c r="J13" s="41"/>
      <c r="K13" s="88">
        <v>3</v>
      </c>
      <c r="L13" s="88">
        <v>1</v>
      </c>
      <c r="M13" s="88">
        <v>1</v>
      </c>
      <c r="N13" s="88" t="str">
        <f t="shared" si="1"/>
        <v>3.1.1</v>
      </c>
      <c r="O13" s="89" t="str">
        <f t="array" ref="O13">IFERROR(INDEX('Factor Analysis'!$G$4:$G$378,_xlfn.AGGREGATE(15,6,(ROW('Factor Analysis'!$F$4:$F$378)-ROW('Factor Analysis'!$F$4)+1)/('Factor Analysis'!$F$4:$F$378="DC"),9)),"")</f>
        <v>HASAN is DISCREDITED</v>
      </c>
      <c r="P13" s="47">
        <f>IFERROR(INDEX('Factor Analysis'!$A$4:$A$378,_xlfn.AGGREGATE(15,6,(ROW('Factor Analysis'!$F$4:$F$378)-ROW('Factor Analysis'!$F$4)+1)/('Factor Analysis'!$F$4:$F$378="DC"),9)),"")</f>
        <v>0</v>
      </c>
      <c r="Q13" s="48"/>
      <c r="R13" s="49" t="str">
        <f t="array" ref="R13">IFERROR(INDEX('Factor Analysis'!$G$4:$G$378,_xlfn.AGGREGATE(15,6,(ROW('Factor Analysis'!$F$4:$F$378)-ROW('Factor Analysis'!$F$4)+1)/('Factor Analysis'!$F$4:$F$378="OE"),9)),"")</f>
        <v>CANALISE rebel movement</v>
      </c>
      <c r="S13" s="49" t="str">
        <f t="array" ref="S13">IFERROR(INDEX('Factor Analysis'!$G$4:$G$378,_xlfn.AGGREGATE(15,6,(ROW('Factor Analysis'!$F$4:$F$378)-ROW('Factor Analysis'!$F$4)+1)/('Factor Analysis'!$F$4:$F$378="OA"),9)),"")</f>
        <v>ATTACK coastal radars, observers, MPA and comms links</v>
      </c>
      <c r="T13" s="49" t="str">
        <f t="array" ref="T13">IFERROR(INDEX('Factor Analysis'!$G$4:$G$378,_xlfn.AGGREGATE(15,6,(ROW('Factor Analysis'!$F$4:$F$378)-ROW('Factor Analysis'!$F$4)+1)/('Factor Analysis'!$F$4:$F$378="RISK"),9)),"")</f>
        <v>Cleared nodes without governance become rebel propaganda wins</v>
      </c>
      <c r="U13" s="49" t="str">
        <f t="array" ref="U13">IFERROR(INDEX('Factor Analysis'!$G$4:$G$378,_xlfn.AGGREGATE(15,6,(ROW('Factor Analysis'!$F$4:$F$378)-ROW('Factor Analysis'!$F$4)+1)/('Factor Analysis'!$F$4:$F$378="CV"),9)),"")</f>
        <v>Tariff collection is recognition activity, not just revenue</v>
      </c>
      <c r="V13" s="49" t="str">
        <f t="array" ref="V13">IFERROR(INDEX('Factor Analysis'!$G$4:$G$378,_xlfn.AGGREGATE(15,6,(ROW('Factor Analysis'!$F$4:$F$378)-ROW('Factor Analysis'!$F$4)+1)/('Factor Analysis'!$F$4:$F$378="COR"),9)),"")</f>
        <v>Deny Belawan and Dumai export revenue without destroying GoIND economic base</v>
      </c>
      <c r="W13" s="49" t="str">
        <f t="array" ref="W13">IFERROR(INDEX('Factor Analysis'!$G$4:$G$378,_xlfn.AGGREGATE(15,6,(ROW('Factor Analysis'!$F$4:$F$378)-ROW('Factor Analysis'!$F$4)+1)/('Factor Analysis'!$F$4:$F$378="REQT"),9)),"")</f>
        <v>Port ops, EOD, cyber, POL safety and environmental teams required</v>
      </c>
      <c r="X13" s="49" t="str">
        <f t="array" ref="X13">IFERROR(INDEX('Factor Analysis'!$G$4:$G$378,_xlfn.AGGREGATE(15,6,(ROW('Factor Analysis'!$F$4:$F$378)-ROW('Factor Analysis'!$F$4)+1)/('Factor Analysis'!$F$4:$F$378="REST"),9)),"")</f>
        <v/>
      </c>
      <c r="Y13" s="49" t="str">
        <f t="array" ref="Y13">IFERROR(INDEX('Factor Analysis'!$G$4:$G$378,_xlfn.AGGREGATE(15,6,(ROW('Factor Analysis'!$F$4:$F$378)-ROW('Factor Analysis'!$F$4)+1)/('Factor Analysis'!$F$4:$F$378="KCD-MUST"),9)),"")</f>
        <v>Block Aceh before IRS reaches decisive infrastructure</v>
      </c>
      <c r="Z13" s="49" t="str">
        <f t="array" ref="Z13">IFERROR(INDEX('Factor Analysis'!$G$4:$G$378,_xlfn.AGGREGATE(15,6,(ROW('Factor Analysis'!$F$4:$F$378)-ROW('Factor Analysis'!$F$4)+1)/('Factor Analysis'!$F$4:$F$378="KCD-SHOULD"),9)),"")</f>
        <v>Pair interdiction with humanitarian and service continuity measures</v>
      </c>
      <c r="AA13" s="49" t="str">
        <f t="array" ref="AA13">IFERROR(INDEX('Factor Analysis'!$G$4:$G$378,_xlfn.AGGREGATE(15,6,(ROW('Factor Analysis'!$F$4:$F$378)-ROW('Factor Analysis'!$F$4)+1)/('Factor Analysis'!$F$4:$F$378="KCD-SHOULD NOT"),9)),"")</f>
        <v/>
      </c>
      <c r="AB13" s="49" t="str">
        <f t="array" ref="AB13">IFERROR(INDEX('Factor Analysis'!$G$4:$G$378,_xlfn.AGGREGATE(15,6,(ROW('Factor Analysis'!$F$4:$F$378)-ROW('Factor Analysis'!$F$4)+1)/('Factor Analysis'!$F$4:$F$378="KCD-CANNOT"),9)),"")</f>
        <v>Cannot contain terrorism by tactical raids alone</v>
      </c>
      <c r="AC13" s="49" t="str">
        <f t="array" ref="AC13">IFERROR(INDEX('Factor Analysis'!$G$4:$G$378,_xlfn.AGGREGATE(15,6,(ROW('Factor Analysis'!$F$4:$F$378)-ROW('Factor Analysis'!$F$4)+1)/('Factor Analysis'!$F$4:$F$378="DECISION"),9)),"")</f>
        <v>Partner action that changes ROE, access or escalation risk</v>
      </c>
      <c r="AD13" s="49" t="str">
        <f t="array" ref="AD13">IFERROR(INDEX('Factor Analysis'!$G$4:$G$378,_xlfn.AGGREGATE(15,6,(ROW('Factor Analysis'!$F$4:$F$378)-ROW('Factor Analysis'!$F$4)+1)/('Factor Analysis'!$F$4:$F$378="ASSUMPTION"),9)),"")</f>
        <v/>
      </c>
      <c r="AE13" s="49" t="str">
        <f t="array" ref="AE13">IFERROR(INDEX('Factor Analysis'!$G$4:$G$378,_xlfn.AGGREGATE(15,6,(ROW('Factor Analysis'!$F$4:$F$378)-ROW('Factor Analysis'!$F$4)+1)/('Factor Analysis'!$F$4:$F$378="CONSTRAINT"),9)),"")</f>
        <v/>
      </c>
      <c r="AF13" s="49" t="str">
        <f t="array" ref="AF13">IFERROR(INDEX('Factor Analysis'!$G$4:$G$378,_xlfn.AGGREGATE(15,6,(ROW('Factor Analysis'!$F$4:$F$378)-ROW('Factor Analysis'!$F$4)+1)/('Factor Analysis'!$F$4:$F$378="LIMITATION"),9)),"")</f>
        <v/>
      </c>
      <c r="AG13" s="49" t="str">
        <f t="array" ref="AG13">IFERROR(INDEX('Factor Analysis'!$G$4:$G$378,_xlfn.AGGREGATE(15,6,(ROW('Factor Analysis'!$F$4:$F$378)-ROW('Factor Analysis'!$F$4)+1)/('Factor Analysis'!$F$4:$F$378="CC"),9)),"")</f>
        <v/>
      </c>
      <c r="AH13" s="49" t="str">
        <f t="array" ref="AH13">IFERROR(INDEX('Factor Analysis'!$G$4:$G$378,_xlfn.AGGREGATE(15,6,(ROW('Factor Analysis'!$F$4:$F$378)-ROW('Factor Analysis'!$F$4)+1)/('Factor Analysis'!$F$4:$F$378="CR"),9)),"")</f>
        <v/>
      </c>
      <c r="AI13" s="92" t="str">
        <f t="array" ref="AI13">IFERROR(INDEX('Factor Analysis'!$G$4:$G$378,_xlfn.AGGREGATE(15,6,(ROW('Factor Analysis'!$F$4:$F$378)-ROW('Factor Analysis'!$F$4)+1)/('Factor Analysis'!$F$4:$F$378="PCS"),9)),"")</f>
        <v/>
      </c>
    </row>
    <row r="14" spans="1:35" ht="39.75" customHeight="1">
      <c r="A14" s="38"/>
      <c r="B14" s="39" t="str">
        <f t="array" ref="B14">IFERROR(INDEX('Factor Analysis'!$G$4:$G$378,_xlfn.AGGREGATE(15,6,(ROW('Factor Analysis'!$F$4:$F$378)-ROW('Factor Analysis'!$F$4)+1)/('Factor Analysis'!$F$4:$F$378="MSO"),10)),"")</f>
        <v/>
      </c>
      <c r="C14" s="40" t="str">
        <f t="array" ref="C14">IFERROR(INDEX('Factor Analysis'!$A$4:$A$378,_xlfn.AGGREGATE(15,6,(ROW('Factor Analysis'!$F$4:$F$378)-ROW('Factor Analysis'!$F$4)+1)/('Factor Analysis'!$F$4:$F$378="MSO"),10)),"")</f>
        <v/>
      </c>
      <c r="D14" s="41"/>
      <c r="E14" s="42"/>
      <c r="F14" s="42"/>
      <c r="G14" s="42" t="str">
        <f t="shared" si="0"/>
        <v/>
      </c>
      <c r="H14" s="43" t="str">
        <f t="array" ref="H14">IFERROR(INDEX('Factor Analysis'!$G$4:$G$378,_xlfn.AGGREGATE(15,6,(ROW('Factor Analysis'!$F$4:$F$378)-ROW('Factor Analysis'!$F$4)+1)/('Factor Analysis'!$F$4:$F$378="OO"),10)),"")</f>
        <v/>
      </c>
      <c r="I14" s="44" t="str">
        <f t="array" ref="I14">IFERROR(INDEX('Factor Analysis'!$A$4:$A$378,_xlfn.AGGREGATE(15,6,(ROW('Factor Analysis'!$F$4:$F$378)-ROW('Factor Analysis'!$F$4)+1)/('Factor Analysis'!$F$4:$F$378="OO"),10)),"")</f>
        <v/>
      </c>
      <c r="J14" s="41"/>
      <c r="K14" s="88">
        <v>4</v>
      </c>
      <c r="L14" s="88">
        <v>1</v>
      </c>
      <c r="M14" s="88">
        <v>1</v>
      </c>
      <c r="N14" s="88" t="str">
        <f t="shared" si="1"/>
        <v>4.1.1</v>
      </c>
      <c r="O14" s="89" t="str">
        <f t="array" ref="O14">IFERROR(INDEX('Factor Analysis'!$G$4:$G$378,_xlfn.AGGREGATE(15,6,(ROW('Factor Analysis'!$F$4:$F$378)-ROW('Factor Analysis'!$F$4)+1)/('Factor Analysis'!$F$4:$F$378="DC"),10)),"")</f>
        <v>ISIL/JI operating capacity DISRUPTED</v>
      </c>
      <c r="P14" s="47">
        <f>IFERROR(INDEX('Factor Analysis'!$A$4:$A$378,_xlfn.AGGREGATE(15,6,(ROW('Factor Analysis'!$F$4:$F$378)-ROW('Factor Analysis'!$F$4)+1)/('Factor Analysis'!$F$4:$F$378="DC"),10)),"")</f>
        <v>0</v>
      </c>
      <c r="Q14" s="48"/>
      <c r="R14" s="49" t="str">
        <f t="array" ref="R14">IFERROR(INDEX('Factor Analysis'!$G$4:$G$378,_xlfn.AGGREGATE(15,6,(ROW('Factor Analysis'!$F$4:$F$378)-ROW('Factor Analysis'!$F$4)+1)/('Factor Analysis'!$F$4:$F$378="OE"),10)),"")</f>
        <v>DISRUPT IRS tempo</v>
      </c>
      <c r="S14" s="49" t="str">
        <f t="array" ref="S14">IFERROR(INDEX('Factor Analysis'!$G$4:$G$378,_xlfn.AGGREGATE(15,6,(ROW('Factor Analysis'!$F$4:$F$378)-ROW('Factor Analysis'!$F$4)+1)/('Factor Analysis'!$F$4:$F$378="OA"),10)),"")</f>
        <v>CONDUCT SEAD against radars, SAMs and C2</v>
      </c>
      <c r="T14" s="49" t="str">
        <f t="array" ref="T14">IFERROR(INDEX('Factor Analysis'!$G$4:$G$378,_xlfn.AGGREGATE(15,6,(ROW('Factor Analysis'!$F$4:$F$378)-ROW('Factor Analysis'!$F$4)+1)/('Factor Analysis'!$F$4:$F$378="RISK"),10)),"")</f>
        <v>Insensitive messaging drives passive support to IRS</v>
      </c>
      <c r="U14" s="49" t="str">
        <f t="array" ref="U14">IFERROR(INDEX('Factor Analysis'!$G$4:$G$378,_xlfn.AGGREGATE(15,6,(ROW('Factor Analysis'!$F$4:$F$378)-ROW('Factor Analysis'!$F$4)+1)/('Factor Analysis'!$F$4:$F$378="CV"),10)),"")</f>
        <v>IRS trade depends on external commercial enablers</v>
      </c>
      <c r="V14" s="49" t="str">
        <f t="array" ref="V14">IFERROR(INDEX('Factor Analysis'!$G$4:$G$378,_xlfn.AGGREGATE(15,6,(ROW('Factor Analysis'!$F$4:$F$378)-ROW('Factor Analysis'!$F$4)+1)/('Factor Analysis'!$F$4:$F$378="COR"),10)),"")</f>
        <v>Seize/control nodes with engineer and energy specialists attached</v>
      </c>
      <c r="W14" s="49" t="str">
        <f t="array" ref="W14">IFERROR(INDEX('Factor Analysis'!$G$4:$G$378,_xlfn.AGGREGATE(15,6,(ROW('Factor Analysis'!$F$4:$F$378)-ROW('Factor Analysis'!$F$4)+1)/('Factor Analysis'!$F$4:$F$378="REQT"),10)),"")</f>
        <v>Finance, legal, maritime and partner liaison required</v>
      </c>
      <c r="X14" s="49" t="str">
        <f t="array" ref="X14">IFERROR(INDEX('Factor Analysis'!$G$4:$G$378,_xlfn.AGGREGATE(15,6,(ROW('Factor Analysis'!$F$4:$F$378)-ROW('Factor Analysis'!$F$4)+1)/('Factor Analysis'!$F$4:$F$378="REST"),10)),"")</f>
        <v/>
      </c>
      <c r="Y14" s="49" t="str">
        <f t="array" ref="Y14">IFERROR(INDEX('Factor Analysis'!$G$4:$G$378,_xlfn.AGGREGATE(15,6,(ROW('Factor Analysis'!$F$4:$F$378)-ROW('Factor Analysis'!$F$4)+1)/('Factor Analysis'!$F$4:$F$378="KCD-MUST"),10)),"")</f>
        <v>Break the impression of unstoppable IRS expansion</v>
      </c>
      <c r="Z14" s="49" t="str">
        <f t="array" ref="Z14">IFERROR(INDEX('Factor Analysis'!$G$4:$G$378,_xlfn.AGGREGATE(15,6,(ROW('Factor Analysis'!$F$4:$F$378)-ROW('Factor Analysis'!$F$4)+1)/('Factor Analysis'!$F$4:$F$378="KCD-SHOULD"),10)),"")</f>
        <v>Use sanctions and insurance pressure before kinetic options</v>
      </c>
      <c r="AA14" s="49" t="str">
        <f t="array" ref="AA14">IFERROR(INDEX('Factor Analysis'!$G$4:$G$378,_xlfn.AGGREGATE(15,6,(ROW('Factor Analysis'!$F$4:$F$378)-ROW('Factor Analysis'!$F$4)+1)/('Factor Analysis'!$F$4:$F$378="KCD-SHOULD NOT"),10)),"")</f>
        <v/>
      </c>
      <c r="AB14" s="49" t="str">
        <f t="array" ref="AB14">IFERROR(INDEX('Factor Analysis'!$G$4:$G$378,_xlfn.AGGREGATE(15,6,(ROW('Factor Analysis'!$F$4:$F$378)-ROW('Factor Analysis'!$F$4)+1)/('Factor Analysis'!$F$4:$F$378="KCD-CANNOT"),10)),"")</f>
        <v>Cannot break networks using component-only targeting</v>
      </c>
      <c r="AC14" s="49" t="str">
        <f t="array" ref="AC14">IFERROR(INDEX('Factor Analysis'!$G$4:$G$378,_xlfn.AGGREGATE(15,6,(ROW('Factor Analysis'!$F$4:$F$378)-ROW('Factor Analysis'!$F$4)+1)/('Factor Analysis'!$F$4:$F$378="DECISION"),10)),"")</f>
        <v>Weather/route degradation below sustainment thresholds</v>
      </c>
      <c r="AD14" s="49" t="str">
        <f t="array" ref="AD14">IFERROR(INDEX('Factor Analysis'!$G$4:$G$378,_xlfn.AGGREGATE(15,6,(ROW('Factor Analysis'!$F$4:$F$378)-ROW('Factor Analysis'!$F$4)+1)/('Factor Analysis'!$F$4:$F$378="ASSUMPTION"),10)),"")</f>
        <v/>
      </c>
      <c r="AE14" s="49" t="str">
        <f t="array" ref="AE14">IFERROR(INDEX('Factor Analysis'!$G$4:$G$378,_xlfn.AGGREGATE(15,6,(ROW('Factor Analysis'!$F$4:$F$378)-ROW('Factor Analysis'!$F$4)+1)/('Factor Analysis'!$F$4:$F$378="CONSTRAINT"),10)),"")</f>
        <v/>
      </c>
      <c r="AF14" s="49" t="str">
        <f t="array" ref="AF14">IFERROR(INDEX('Factor Analysis'!$G$4:$G$378,_xlfn.AGGREGATE(15,6,(ROW('Factor Analysis'!$F$4:$F$378)-ROW('Factor Analysis'!$F$4)+1)/('Factor Analysis'!$F$4:$F$378="LIMITATION"),10)),"")</f>
        <v/>
      </c>
      <c r="AG14" s="49" t="str">
        <f t="array" ref="AG14">IFERROR(INDEX('Factor Analysis'!$G$4:$G$378,_xlfn.AGGREGATE(15,6,(ROW('Factor Analysis'!$F$4:$F$378)-ROW('Factor Analysis'!$F$4)+1)/('Factor Analysis'!$F$4:$F$378="CC"),10)),"")</f>
        <v/>
      </c>
      <c r="AH14" s="49" t="str">
        <f t="array" ref="AH14">IFERROR(INDEX('Factor Analysis'!$G$4:$G$378,_xlfn.AGGREGATE(15,6,(ROW('Factor Analysis'!$F$4:$F$378)-ROW('Factor Analysis'!$F$4)+1)/('Factor Analysis'!$F$4:$F$378="CR"),10)),"")</f>
        <v/>
      </c>
      <c r="AI14" s="92" t="str">
        <f t="array" ref="AI14">IFERROR(INDEX('Factor Analysis'!$G$4:$G$378,_xlfn.AGGREGATE(15,6,(ROW('Factor Analysis'!$F$4:$F$378)-ROW('Factor Analysis'!$F$4)+1)/('Factor Analysis'!$F$4:$F$378="PCS"),10)),"")</f>
        <v/>
      </c>
    </row>
    <row r="15" spans="1:35" ht="39.75" customHeight="1">
      <c r="A15" s="38"/>
      <c r="B15" s="39" t="str">
        <f t="array" ref="B15">IFERROR(INDEX('Factor Analysis'!$G$4:$G$378,_xlfn.AGGREGATE(15,6,(ROW('Factor Analysis'!$F$4:$F$378)-ROW('Factor Analysis'!$F$4)+1)/('Factor Analysis'!$F$4:$F$378="MSO"),11)),"")</f>
        <v/>
      </c>
      <c r="C15" s="40" t="str">
        <f t="array" ref="C15">IFERROR(INDEX('Factor Analysis'!$A$4:$A$378,_xlfn.AGGREGATE(15,6,(ROW('Factor Analysis'!$F$4:$F$378)-ROW('Factor Analysis'!$F$4)+1)/('Factor Analysis'!$F$4:$F$378="MSO"),11)),"")</f>
        <v/>
      </c>
      <c r="D15" s="41"/>
      <c r="E15" s="42"/>
      <c r="F15" s="42"/>
      <c r="G15" s="42" t="str">
        <f t="shared" si="0"/>
        <v/>
      </c>
      <c r="H15" s="43" t="str">
        <f t="array" ref="H15">IFERROR(INDEX('Factor Analysis'!$G$4:$G$378,_xlfn.AGGREGATE(15,6,(ROW('Factor Analysis'!$F$4:$F$378)-ROW('Factor Analysis'!$F$4)+1)/('Factor Analysis'!$F$4:$F$378="OO"),11)),"")</f>
        <v/>
      </c>
      <c r="I15" s="44" t="str">
        <f t="array" ref="I15">IFERROR(INDEX('Factor Analysis'!$A$4:$A$378,_xlfn.AGGREGATE(15,6,(ROW('Factor Analysis'!$F$4:$F$378)-ROW('Factor Analysis'!$F$4)+1)/('Factor Analysis'!$F$4:$F$378="OO"),11)),"")</f>
        <v/>
      </c>
      <c r="J15" s="41"/>
      <c r="K15" s="88">
        <v>4</v>
      </c>
      <c r="L15" s="88">
        <v>1</v>
      </c>
      <c r="M15" s="88">
        <v>2</v>
      </c>
      <c r="N15" s="88" t="str">
        <f t="shared" si="1"/>
        <v>4.1.2</v>
      </c>
      <c r="O15" s="89" t="str">
        <f t="array" ref="O15">IFERROR(INDEX('Factor Analysis'!$G$4:$G$378,_xlfn.AGGREGATE(15,6,(ROW('Factor Analysis'!$F$4:$F$378)-ROW('Factor Analysis'!$F$4)+1)/('Factor Analysis'!$F$4:$F$378="DC"),11)),"")</f>
        <v>External actor networks DISRUPTED</v>
      </c>
      <c r="P15" s="47">
        <f>IFERROR(INDEX('Factor Analysis'!$A$4:$A$378,_xlfn.AGGREGATE(15,6,(ROW('Factor Analysis'!$F$4:$F$378)-ROW('Factor Analysis'!$F$4)+1)/('Factor Analysis'!$F$4:$F$378="DC"),11)),"")</f>
        <v>0</v>
      </c>
      <c r="Q15" s="48"/>
      <c r="R15" s="49" t="str">
        <f t="array" ref="R15">IFERROR(INDEX('Factor Analysis'!$G$4:$G$378,_xlfn.AGGREGATE(15,6,(ROW('Factor Analysis'!$F$4:$F$378)-ROW('Factor Analysis'!$F$4)+1)/('Factor Analysis'!$F$4:$F$378="OE"),11)),"")</f>
        <v>UNDERMINE IRS in MEDAN-BELAWAN</v>
      </c>
      <c r="S15" s="49" t="str">
        <f t="array" ref="S15">IFERROR(INDEX('Factor Analysis'!$G$4:$G$378,_xlfn.AGGREGATE(15,6,(ROW('Factor Analysis'!$F$4:$F$378)-ROW('Factor Analysis'!$F$4)+1)/('Factor Analysis'!$F$4:$F$378="OA"),11)),"")</f>
        <v>EXPOSE ISIL/JI association and factional contradictions</v>
      </c>
      <c r="T15" s="49" t="str">
        <f t="array" ref="T15">IFERROR(INDEX('Factor Analysis'!$G$4:$G$378,_xlfn.AGGREGATE(15,6,(ROW('Factor Analysis'!$F$4:$F$378)-ROW('Factor Analysis'!$F$4)+1)/('Factor Analysis'!$F$4:$F$378="RISK"),11)),"")</f>
        <v>Successful IRS secession may trigger further separatism</v>
      </c>
      <c r="U15" s="49" t="str">
        <f t="array" ref="U15">IFERROR(INDEX('Factor Analysis'!$G$4:$G$378,_xlfn.AGGREGATE(15,6,(ROW('Factor Analysis'!$F$4:$F$378)-ROW('Factor Analysis'!$F$4)+1)/('Factor Analysis'!$F$4:$F$378="CV"),11)),"")</f>
        <v>Maritime market perception reacts faster than military clearance</v>
      </c>
      <c r="V15" s="49" t="str">
        <f t="array" ref="V15">IFERROR(INDEX('Factor Analysis'!$G$4:$G$378,_xlfn.AGGREGATE(15,6,(ROW('Factor Analysis'!$F$4:$F$378)-ROW('Factor Analysis'!$F$4)+1)/('Factor Analysis'!$F$4:$F$378="COR"),11)),"")</f>
        <v>Legal and STRATCOM line must define tariffs as extortion</v>
      </c>
      <c r="W15" s="49" t="str">
        <f t="array" ref="W15">IFERROR(INDEX('Factor Analysis'!$G$4:$G$378,_xlfn.AGGREGATE(15,6,(ROW('Factor Analysis'!$F$4:$F$378)-ROW('Factor Analysis'!$F$4)+1)/('Factor Analysis'!$F$4:$F$378="REQT"),11)),"")</f>
        <v>HNS, overflight, port access, customs and liaison officer network required</v>
      </c>
      <c r="X15" s="49" t="str">
        <f t="array" ref="X15">IFERROR(INDEX('Factor Analysis'!$G$4:$G$378,_xlfn.AGGREGATE(15,6,(ROW('Factor Analysis'!$F$4:$F$378)-ROW('Factor Analysis'!$F$4)+1)/('Factor Analysis'!$F$4:$F$378="REST"),11)),"")</f>
        <v/>
      </c>
      <c r="Y15" s="49" t="str">
        <f t="array" ref="Y15">IFERROR(INDEX('Factor Analysis'!$G$4:$G$378,_xlfn.AGGREGATE(15,6,(ROW('Factor Analysis'!$F$4:$F$378)-ROW('Factor Analysis'!$F$4)+1)/('Factor Analysis'!$F$4:$F$378="KCD-MUST"),11)),"")</f>
        <v>Deny revenue before IRS can normalise tariff collection as state authority</v>
      </c>
      <c r="Z15" s="49" t="str">
        <f t="array" ref="Z15">IFERROR(INDEX('Factor Analysis'!$G$4:$G$378,_xlfn.AGGREGATE(15,6,(ROW('Factor Analysis'!$F$4:$F$378)-ROW('Factor Analysis'!$F$4)+1)/('Factor Analysis'!$F$4:$F$378="KCD-SHOULD"),11)),"")</f>
        <v>Publish risk reductions as they become real</v>
      </c>
      <c r="AA15" s="49" t="str">
        <f t="array" ref="AA15">IFERROR(INDEX('Factor Analysis'!$G$4:$G$378,_xlfn.AGGREGATE(15,6,(ROW('Factor Analysis'!$F$4:$F$378)-ROW('Factor Analysis'!$F$4)+1)/('Factor Analysis'!$F$4:$F$378="KCD-SHOULD NOT"),11)),"")</f>
        <v/>
      </c>
      <c r="AB15" s="49" t="str">
        <f t="array" ref="AB15">IFERROR(INDEX('Factor Analysis'!$G$4:$G$378,_xlfn.AGGREGATE(15,6,(ROW('Factor Analysis'!$F$4:$F$378)-ROW('Factor Analysis'!$F$4)+1)/('Factor Analysis'!$F$4:$F$378="KCD-CANNOT"),11)),"")</f>
        <v>Cannot use one narrative for every audience</v>
      </c>
      <c r="AC15" s="49" t="str">
        <f t="array" ref="AC15">IFERROR(INDEX('Factor Analysis'!$G$4:$G$378,_xlfn.AGGREGATE(15,6,(ROW('Factor Analysis'!$F$4:$F$378)-ROW('Factor Analysis'!$F$4)+1)/('Factor Analysis'!$F$4:$F$378="DECISION"),11)),"")</f>
        <v>IRS submarine sails or merchant/fishing vessels alter patterns</v>
      </c>
      <c r="AD15" s="49" t="str">
        <f t="array" ref="AD15">IFERROR(INDEX('Factor Analysis'!$G$4:$G$378,_xlfn.AGGREGATE(15,6,(ROW('Factor Analysis'!$F$4:$F$378)-ROW('Factor Analysis'!$F$4)+1)/('Factor Analysis'!$F$4:$F$378="ASSUMPTION"),11)),"")</f>
        <v/>
      </c>
      <c r="AE15" s="49" t="str">
        <f t="array" ref="AE15">IFERROR(INDEX('Factor Analysis'!$G$4:$G$378,_xlfn.AGGREGATE(15,6,(ROW('Factor Analysis'!$F$4:$F$378)-ROW('Factor Analysis'!$F$4)+1)/('Factor Analysis'!$F$4:$F$378="CONSTRAINT"),11)),"")</f>
        <v/>
      </c>
      <c r="AF15" s="49" t="str">
        <f t="array" ref="AF15">IFERROR(INDEX('Factor Analysis'!$G$4:$G$378,_xlfn.AGGREGATE(15,6,(ROW('Factor Analysis'!$F$4:$F$378)-ROW('Factor Analysis'!$F$4)+1)/('Factor Analysis'!$F$4:$F$378="LIMITATION"),11)),"")</f>
        <v/>
      </c>
      <c r="AG15" s="49" t="str">
        <f t="array" ref="AG15">IFERROR(INDEX('Factor Analysis'!$G$4:$G$378,_xlfn.AGGREGATE(15,6,(ROW('Factor Analysis'!$F$4:$F$378)-ROW('Factor Analysis'!$F$4)+1)/('Factor Analysis'!$F$4:$F$378="CC"),11)),"")</f>
        <v/>
      </c>
      <c r="AH15" s="49" t="str">
        <f t="array" ref="AH15">IFERROR(INDEX('Factor Analysis'!$G$4:$G$378,_xlfn.AGGREGATE(15,6,(ROW('Factor Analysis'!$F$4:$F$378)-ROW('Factor Analysis'!$F$4)+1)/('Factor Analysis'!$F$4:$F$378="CR"),11)),"")</f>
        <v/>
      </c>
      <c r="AI15" s="92" t="str">
        <f t="array" ref="AI15">IFERROR(INDEX('Factor Analysis'!$G$4:$G$378,_xlfn.AGGREGATE(15,6,(ROW('Factor Analysis'!$F$4:$F$378)-ROW('Factor Analysis'!$F$4)+1)/('Factor Analysis'!$F$4:$F$378="PCS"),11)),"")</f>
        <v/>
      </c>
    </row>
    <row r="16" spans="1:35" ht="39.75" customHeight="1">
      <c r="A16" s="38"/>
      <c r="B16" s="39" t="str">
        <f t="array" ref="B16">IFERROR(INDEX('Factor Analysis'!$G$4:$G$378,_xlfn.AGGREGATE(15,6,(ROW('Factor Analysis'!$F$4:$F$378)-ROW('Factor Analysis'!$F$4)+1)/('Factor Analysis'!$F$4:$F$378="MSO"),12)),"")</f>
        <v/>
      </c>
      <c r="C16" s="40" t="str">
        <f t="array" ref="C16">IFERROR(INDEX('Factor Analysis'!$A$4:$A$378,_xlfn.AGGREGATE(15,6,(ROW('Factor Analysis'!$F$4:$F$378)-ROW('Factor Analysis'!$F$4)+1)/('Factor Analysis'!$F$4:$F$378="MSO"),12)),"")</f>
        <v/>
      </c>
      <c r="D16" s="41"/>
      <c r="E16" s="42"/>
      <c r="F16" s="42"/>
      <c r="G16" s="42" t="str">
        <f t="shared" si="0"/>
        <v/>
      </c>
      <c r="H16" s="43" t="str">
        <f t="array" ref="H16">IFERROR(INDEX('Factor Analysis'!$G$4:$G$378,_xlfn.AGGREGATE(15,6,(ROW('Factor Analysis'!$F$4:$F$378)-ROW('Factor Analysis'!$F$4)+1)/('Factor Analysis'!$F$4:$F$378="OO"),12)),"")</f>
        <v/>
      </c>
      <c r="I16" s="44" t="str">
        <f t="array" ref="I16">IFERROR(INDEX('Factor Analysis'!$A$4:$A$378,_xlfn.AGGREGATE(15,6,(ROW('Factor Analysis'!$F$4:$F$378)-ROW('Factor Analysis'!$F$4)+1)/('Factor Analysis'!$F$4:$F$378="OO"),12)),"")</f>
        <v/>
      </c>
      <c r="J16" s="41"/>
      <c r="K16" s="88">
        <v>3</v>
      </c>
      <c r="L16" s="88">
        <v>3</v>
      </c>
      <c r="M16" s="88">
        <v>2</v>
      </c>
      <c r="N16" s="88" t="str">
        <f t="shared" si="1"/>
        <v>3.3.2</v>
      </c>
      <c r="O16" s="89" t="str">
        <f t="array" ref="O16">IFERROR(INDEX('Factor Analysis'!$G$4:$G$378,_xlfn.AGGREGATE(15,6,(ROW('Factor Analysis'!$F$4:$F$378)-ROW('Factor Analysis'!$F$4)+1)/('Factor Analysis'!$F$4:$F$378="DC"),12)),"")</f>
        <v>GoIND authority is STABILISED</v>
      </c>
      <c r="P16" s="47">
        <f t="array" ref="P16">IFERROR(INDEX('Factor Analysis'!$A$4:$A$378,_xlfn.AGGREGATE(15,6,(ROW('Factor Analysis'!$F$4:$F$378)-ROW('Factor Analysis'!$F$4)+1)/('Factor Analysis'!$F$4:$F$378="DC"),12)),"")</f>
        <v>0</v>
      </c>
      <c r="Q16" s="48"/>
      <c r="R16" s="49" t="str">
        <f t="array" ref="R16">IFERROR(INDEX('Factor Analysis'!$G$4:$G$378,_xlfn.AGGREGATE(15,6,(ROW('Factor Analysis'!$F$4:$F$378)-ROW('Factor Analysis'!$F$4)+1)/('Factor Analysis'!$F$4:$F$378="OE"),12)),"")</f>
        <v>DISCREDIT IRS taxation authority</v>
      </c>
      <c r="S16" s="49" t="str">
        <f t="array" ref="S16">IFERROR(INDEX('Factor Analysis'!$G$4:$G$378,_xlfn.AGGREGATE(15,6,(ROW('Factor Analysis'!$F$4:$F$378)-ROW('Factor Analysis'!$F$4)+1)/('Factor Analysis'!$F$4:$F$378="OA"),12)),"")</f>
        <v>MONITOR the seas</v>
      </c>
      <c r="T16" s="49" t="str">
        <f t="array" ref="T16">IFERROR(INDEX('Factor Analysis'!$G$4:$G$378,_xlfn.AGGREGATE(15,6,(ROW('Factor Analysis'!$F$4:$F$378)-ROW('Factor Analysis'!$F$4)+1)/('Factor Analysis'!$F$4:$F$378="RISK"),12)),"")</f>
        <v>Late warning forces costly defensive reaction</v>
      </c>
      <c r="U16" s="49" t="str">
        <f t="array" ref="U16">IFERROR(INDEX('Factor Analysis'!$G$4:$G$378,_xlfn.AGGREGATE(15,6,(ROW('Factor Analysis'!$F$4:$F$378)-ROW('Factor Analysis'!$F$4)+1)/('Factor Analysis'!$F$4:$F$378="CV"),12)),"")</f>
        <v>Parallel operations risk fratricide, duplication and confused messaging</v>
      </c>
      <c r="V16" s="49" t="str">
        <f t="array" ref="V16">IFERROR(INDEX('Factor Analysis'!$G$4:$G$378,_xlfn.AGGREGATE(15,6,(ROW('Factor Analysis'!$F$4:$F$378)-ROW('Factor Analysis'!$F$4)+1)/('Factor Analysis'!$F$4:$F$378="COR"),12)),"")</f>
        <v>Separate regime revenue from civilian fuel, food and wages</v>
      </c>
      <c r="W16" s="49" t="str">
        <f t="array" ref="W16">IFERROR(INDEX('Factor Analysis'!$G$4:$G$378,_xlfn.AGGREGATE(15,6,(ROW('Factor Analysis'!$F$4:$F$378)-ROW('Factor Analysis'!$F$4)+1)/('Factor Analysis'!$F$4:$F$378="REQT"),12)),"")</f>
        <v>HNS, overflight, port access, customs and liaison required</v>
      </c>
      <c r="X16" s="49" t="str">
        <f t="array" ref="X16">IFERROR(INDEX('Factor Analysis'!$G$4:$G$378,_xlfn.AGGREGATE(15,6,(ROW('Factor Analysis'!$F$4:$F$378)-ROW('Factor Analysis'!$F$4)+1)/('Factor Analysis'!$F$4:$F$378="REST"),12)),"")</f>
        <v/>
      </c>
      <c r="Y16" s="49" t="str">
        <f t="array" ref="Y16">IFERROR(INDEX('Factor Analysis'!$G$4:$G$378,_xlfn.AGGREGATE(15,6,(ROW('Factor Analysis'!$F$4:$F$378)-ROW('Factor Analysis'!$F$4)+1)/('Factor Analysis'!$F$4:$F$378="KCD-MUST"),12)),"")</f>
        <v>Deny revenue without destroying GoIND's future economy</v>
      </c>
      <c r="Z16" s="49" t="str">
        <f t="array" ref="Z16">IFERROR(INDEX('Factor Analysis'!$G$4:$G$378,_xlfn.AGGREGATE(15,6,(ROW('Factor Analysis'!$F$4:$F$378)-ROW('Factor Analysis'!$F$4)+1)/('Factor Analysis'!$F$4:$F$378="KCD-SHOULD"),12)),"")</f>
        <v>Deploy med/public-health capability with first entry force</v>
      </c>
      <c r="AA16" s="49" t="str">
        <f t="array" ref="AA16">IFERROR(INDEX('Factor Analysis'!$G$4:$G$378,_xlfn.AGGREGATE(15,6,(ROW('Factor Analysis'!$F$4:$F$378)-ROW('Factor Analysis'!$F$4)+1)/('Factor Analysis'!$F$4:$F$378="KCD-SHOULD NOT"),12)),"")</f>
        <v/>
      </c>
      <c r="AB16" s="49" t="str">
        <f t="array" ref="AB16">IFERROR(INDEX('Factor Analysis'!$G$4:$G$378,_xlfn.AGGREGATE(15,6,(ROW('Factor Analysis'!$F$4:$F$378)-ROW('Factor Analysis'!$F$4)+1)/('Factor Analysis'!$F$4:$F$378="KCD-CANNOT"),12)),"")</f>
        <v>Cannot accept collateral harm to nationals as acceptable operational cost</v>
      </c>
      <c r="AC16" s="49" t="str">
        <f t="array" ref="AC16">IFERROR(INDEX('Factor Analysis'!$G$4:$G$378,_xlfn.AGGREGATE(15,6,(ROW('Factor Analysis'!$F$4:$F$378)-ROW('Factor Analysis'!$F$4)+1)/('Factor Analysis'!$F$4:$F$378="DECISION"),12)),"")</f>
        <v>COM needs ROE authority for hostile intent in congested waters</v>
      </c>
      <c r="AD16" s="49" t="str">
        <f t="array" ref="AD16">IFERROR(INDEX('Factor Analysis'!$G$4:$G$378,_xlfn.AGGREGATE(15,6,(ROW('Factor Analysis'!$F$4:$F$378)-ROW('Factor Analysis'!$F$4)+1)/('Factor Analysis'!$F$4:$F$378="ASSUMPTION"),12)),"")</f>
        <v/>
      </c>
      <c r="AE16" s="49" t="str">
        <f t="array" ref="AE16">IFERROR(INDEX('Factor Analysis'!$G$4:$G$378,_xlfn.AGGREGATE(15,6,(ROW('Factor Analysis'!$F$4:$F$378)-ROW('Factor Analysis'!$F$4)+1)/('Factor Analysis'!$F$4:$F$378="CONSTRAINT"),12)),"")</f>
        <v/>
      </c>
      <c r="AF16" s="49" t="str">
        <f t="array" ref="AF16">IFERROR(INDEX('Factor Analysis'!$G$4:$G$378,_xlfn.AGGREGATE(15,6,(ROW('Factor Analysis'!$F$4:$F$378)-ROW('Factor Analysis'!$F$4)+1)/('Factor Analysis'!$F$4:$F$378="LIMITATION"),12)),"")</f>
        <v/>
      </c>
      <c r="AG16" s="49" t="str">
        <f t="array" ref="AG16">IFERROR(INDEX('Factor Analysis'!$G$4:$G$378,_xlfn.AGGREGATE(15,6,(ROW('Factor Analysis'!$F$4:$F$378)-ROW('Factor Analysis'!$F$4)+1)/('Factor Analysis'!$F$4:$F$378="CC"),12)),"")</f>
        <v/>
      </c>
      <c r="AH16" s="49" t="str">
        <f t="array" ref="AH16">IFERROR(INDEX('Factor Analysis'!$G$4:$G$378,_xlfn.AGGREGATE(15,6,(ROW('Factor Analysis'!$F$4:$F$378)-ROW('Factor Analysis'!$F$4)+1)/('Factor Analysis'!$F$4:$F$378="CR"),12)),"")</f>
        <v/>
      </c>
      <c r="AI16" s="92" t="str">
        <f t="array" ref="AI16">IFERROR(INDEX('Factor Analysis'!$G$4:$G$378,_xlfn.AGGREGATE(15,6,(ROW('Factor Analysis'!$F$4:$F$378)-ROW('Factor Analysis'!$F$4)+1)/('Factor Analysis'!$F$4:$F$378="PCS"),12)),"")</f>
        <v/>
      </c>
    </row>
    <row r="17" spans="1:35" ht="39.75" customHeight="1">
      <c r="A17" s="38"/>
      <c r="B17" s="39" t="str">
        <f t="array" ref="B17">IFERROR(INDEX('Factor Analysis'!$G$4:$G$378,_xlfn.AGGREGATE(15,6,(ROW('Factor Analysis'!$F$4:$F$378)-ROW('Factor Analysis'!$F$4)+1)/('Factor Analysis'!$F$4:$F$378="MSO"),13)),"")</f>
        <v/>
      </c>
      <c r="C17" s="40" t="str">
        <f t="array" ref="C17">IFERROR(INDEX('Factor Analysis'!$A$4:$A$378,_xlfn.AGGREGATE(15,6,(ROW('Factor Analysis'!$F$4:$F$378)-ROW('Factor Analysis'!$F$4)+1)/('Factor Analysis'!$F$4:$F$378="MSO"),13)),"")</f>
        <v/>
      </c>
      <c r="D17" s="41"/>
      <c r="E17" s="42"/>
      <c r="F17" s="42"/>
      <c r="G17" s="42" t="str">
        <f t="shared" si="0"/>
        <v/>
      </c>
      <c r="H17" s="43" t="str">
        <f t="array" ref="H17">IFERROR(INDEX('Factor Analysis'!$G$4:$G$378,_xlfn.AGGREGATE(15,6,(ROW('Factor Analysis'!$F$4:$F$378)-ROW('Factor Analysis'!$F$4)+1)/('Factor Analysis'!$F$4:$F$378="OO"),13)),"")</f>
        <v/>
      </c>
      <c r="I17" s="44" t="str">
        <f t="array" ref="I17">IFERROR(INDEX('Factor Analysis'!$A$4:$A$378,_xlfn.AGGREGATE(15,6,(ROW('Factor Analysis'!$F$4:$F$378)-ROW('Factor Analysis'!$F$4)+1)/('Factor Analysis'!$F$4:$F$378="OO"),13)),"")</f>
        <v/>
      </c>
      <c r="J17" s="41"/>
      <c r="K17" s="88">
        <v>3</v>
      </c>
      <c r="L17" s="88">
        <v>3</v>
      </c>
      <c r="M17" s="88">
        <v>1</v>
      </c>
      <c r="N17" s="88" t="str">
        <f t="shared" si="1"/>
        <v>3.3.1</v>
      </c>
      <c r="O17" s="89" t="str">
        <f t="array" ref="O17">IFERROR(INDEX('Factor Analysis'!$G$4:$G$378,_xlfn.AGGREGATE(15,6,(ROW('Factor Analysis'!$F$4:$F$378)-ROW('Factor Analysis'!$F$4)+1)/('Factor Analysis'!$F$4:$F$378="DC"),13)),"")</f>
        <v>GoIND entry force is in SUMATRA is PROTECTED</v>
      </c>
      <c r="P17" s="47">
        <f t="array" ref="P17">IFERROR(INDEX('Factor Analysis'!$A$4:$A$378,_xlfn.AGGREGATE(15,6,(ROW('Factor Analysis'!$F$4:$F$378)-ROW('Factor Analysis'!$F$4)+1)/('Factor Analysis'!$F$4:$F$378="DC"),13)),"")</f>
        <v>0</v>
      </c>
      <c r="Q17" s="48"/>
      <c r="R17" s="49" t="str">
        <f t="array" ref="R17">IFERROR(INDEX('Factor Analysis'!$G$4:$G$378,_xlfn.AGGREGATE(15,6,(ROW('Factor Analysis'!$F$4:$F$378)-ROW('Factor Analysis'!$F$4)+1)/('Factor Analysis'!$F$4:$F$378="OE"),13)),"")</f>
        <v>SECURE MSRs</v>
      </c>
      <c r="S17" s="49" t="str">
        <f t="array" ref="S17">IFERROR(INDEX('Factor Analysis'!$G$4:$G$378,_xlfn.AGGREGATE(15,6,(ROW('Factor Analysis'!$F$4:$F$378)-ROW('Factor Analysis'!$F$4)+1)/('Factor Analysis'!$F$4:$F$378="OA"),13)),"")</f>
        <v>INTERDICT supply chains and illicit finance</v>
      </c>
      <c r="T17" s="49" t="str">
        <f t="array" ref="T17">IFERROR(INDEX('Factor Analysis'!$G$4:$G$378,_xlfn.AGGREGATE(15,6,(ROW('Factor Analysis'!$F$4:$F$378)-ROW('Factor Analysis'!$F$4)+1)/('Factor Analysis'!$F$4:$F$378="RISK"),13)),"")</f>
        <v>Bridge destruction also slows GoIND follow-through</v>
      </c>
      <c r="U17" s="49" t="str">
        <f t="array" ref="U17">IFERROR(INDEX('Factor Analysis'!$G$4:$G$378,_xlfn.AGGREGATE(15,6,(ROW('Factor Analysis'!$F$4:$F$378)-ROW('Factor Analysis'!$F$4)+1)/('Factor Analysis'!$F$4:$F$378="CV"),13)),"")</f>
        <v>Poor water and disease degrade force and population resilience</v>
      </c>
      <c r="V17" s="49" t="str">
        <f t="array" ref="V17">IFERROR(INDEX('Factor Analysis'!$G$4:$G$378,_xlfn.AGGREGATE(15,6,(ROW('Factor Analysis'!$F$4:$F$378)-ROW('Factor Analysis'!$F$4)+1)/('Factor Analysis'!$F$4:$F$378="COR"),13)),"")</f>
        <v>Initial COA must be achievable with immediate force package</v>
      </c>
      <c r="W17" s="49" t="str">
        <f t="array" ref="W17">IFERROR(INDEX('Factor Analysis'!$G$4:$G$378,_xlfn.AGGREGATE(15,6,(ROW('Factor Analysis'!$F$4:$F$378)-ROW('Factor Analysis'!$F$4)+1)/('Factor Analysis'!$F$4:$F$378="REQT"),13)),"")</f>
        <v>Phased CJSOR and prioritised force-flow required</v>
      </c>
      <c r="X17" s="49" t="str">
        <f t="array" ref="X17">IFERROR(INDEX('Factor Analysis'!$G$4:$G$378,_xlfn.AGGREGATE(15,6,(ROW('Factor Analysis'!$F$4:$F$378)-ROW('Factor Analysis'!$F$4)+1)/('Factor Analysis'!$F$4:$F$378="REST"),13)),"")</f>
        <v/>
      </c>
      <c r="Y17" s="49" t="str">
        <f t="array" ref="Y17">IFERROR(INDEX('Factor Analysis'!$G$4:$G$378,_xlfn.AGGREGATE(15,6,(ROW('Factor Analysis'!$F$4:$F$378)-ROW('Factor Analysis'!$F$4)+1)/('Factor Analysis'!$F$4:$F$378="KCD-MUST"),13)),"")</f>
        <v>Secure regional access before visible force expansion into Sumatra</v>
      </c>
      <c r="Z17" s="49" t="str">
        <f t="array" ref="Z17">IFERROR(INDEX('Factor Analysis'!$G$4:$G$378,_xlfn.AGGREGATE(15,6,(ROW('Factor Analysis'!$F$4:$F$378)-ROW('Factor Analysis'!$F$4)+1)/('Factor Analysis'!$F$4:$F$378="KCD-SHOULD"),13)),"")</f>
        <v>Force IRS to defend fixed assets it needs</v>
      </c>
      <c r="AA17" s="49" t="str">
        <f t="array" ref="AA17">IFERROR(INDEX('Factor Analysis'!$G$4:$G$378,_xlfn.AGGREGATE(15,6,(ROW('Factor Analysis'!$F$4:$F$378)-ROW('Factor Analysis'!$F$4)+1)/('Factor Analysis'!$F$4:$F$378="KCD-SHOULD NOT"),13)),"")</f>
        <v/>
      </c>
      <c r="AB17" s="49" t="str">
        <f t="array" ref="AB17">IFERROR(INDEX('Factor Analysis'!$G$4:$G$378,_xlfn.AGGREGATE(15,6,(ROW('Factor Analysis'!$F$4:$F$378)-ROW('Factor Analysis'!$F$4)+1)/('Factor Analysis'!$F$4:$F$378="KCD-CANNOT"),13)),"")</f>
        <v>Cannot trade civilian harm for short-term tempo casually</v>
      </c>
      <c r="AC17" s="49" t="str">
        <f t="array" ref="AC17">IFERROR(INDEX('Factor Analysis'!$G$4:$G$378,_xlfn.AGGREGATE(15,6,(ROW('Factor Analysis'!$F$4:$F$378)-ROW('Factor Analysis'!$F$4)+1)/('Factor Analysis'!$F$4:$F$378="DECISION"),13)),"")</f>
        <v>Indications of mass-casualty, hostage or infrastructure attack</v>
      </c>
      <c r="AD17" s="49" t="str">
        <f t="array" ref="AD17">IFERROR(INDEX('Factor Analysis'!$G$4:$G$378,_xlfn.AGGREGATE(15,6,(ROW('Factor Analysis'!$F$4:$F$378)-ROW('Factor Analysis'!$F$4)+1)/('Factor Analysis'!$F$4:$F$378="ASSUMPTION"),13)),"")</f>
        <v/>
      </c>
      <c r="AE17" s="49" t="str">
        <f t="array" ref="AE17">IFERROR(INDEX('Factor Analysis'!$G$4:$G$378,_xlfn.AGGREGATE(15,6,(ROW('Factor Analysis'!$F$4:$F$378)-ROW('Factor Analysis'!$F$4)+1)/('Factor Analysis'!$F$4:$F$378="CONSTRAINT"),13)),"")</f>
        <v/>
      </c>
      <c r="AF17" s="49" t="str">
        <f t="array" ref="AF17">IFERROR(INDEX('Factor Analysis'!$G$4:$G$378,_xlfn.AGGREGATE(15,6,(ROW('Factor Analysis'!$F$4:$F$378)-ROW('Factor Analysis'!$F$4)+1)/('Factor Analysis'!$F$4:$F$378="LIMITATION"),13)),"")</f>
        <v/>
      </c>
      <c r="AG17" s="49" t="str">
        <f t="array" ref="AG17">IFERROR(INDEX('Factor Analysis'!$G$4:$G$378,_xlfn.AGGREGATE(15,6,(ROW('Factor Analysis'!$F$4:$F$378)-ROW('Factor Analysis'!$F$4)+1)/('Factor Analysis'!$F$4:$F$378="CC"),13)),"")</f>
        <v/>
      </c>
      <c r="AH17" s="49" t="str">
        <f t="array" ref="AH17">IFERROR(INDEX('Factor Analysis'!$G$4:$G$378,_xlfn.AGGREGATE(15,6,(ROW('Factor Analysis'!$F$4:$F$378)-ROW('Factor Analysis'!$F$4)+1)/('Factor Analysis'!$F$4:$F$378="CR"),13)),"")</f>
        <v/>
      </c>
      <c r="AI17" s="92" t="str">
        <f t="array" ref="AI17">IFERROR(INDEX('Factor Analysis'!$G$4:$G$378,_xlfn.AGGREGATE(15,6,(ROW('Factor Analysis'!$F$4:$F$378)-ROW('Factor Analysis'!$F$4)+1)/('Factor Analysis'!$F$4:$F$378="PCS"),13)),"")</f>
        <v/>
      </c>
    </row>
    <row r="18" spans="1:35" ht="39.75" customHeight="1">
      <c r="A18" s="38"/>
      <c r="B18" s="39" t="str">
        <f t="array" ref="B18">IFERROR(INDEX('Factor Analysis'!$G$4:$G$378,_xlfn.AGGREGATE(15,6,(ROW('Factor Analysis'!$F$4:$F$378)-ROW('Factor Analysis'!$F$4)+1)/('Factor Analysis'!$F$4:$F$378="MSO"),14)),"")</f>
        <v/>
      </c>
      <c r="C18" s="40" t="str">
        <f t="array" ref="C18">IFERROR(INDEX('Factor Analysis'!$A$4:$A$378,_xlfn.AGGREGATE(15,6,(ROW('Factor Analysis'!$F$4:$F$378)-ROW('Factor Analysis'!$F$4)+1)/('Factor Analysis'!$F$4:$F$378="MSO"),14)),"")</f>
        <v/>
      </c>
      <c r="D18" s="41"/>
      <c r="E18" s="42"/>
      <c r="F18" s="42"/>
      <c r="G18" s="42" t="str">
        <f t="shared" si="0"/>
        <v/>
      </c>
      <c r="H18" s="43" t="str">
        <f t="array" ref="H18">IFERROR(INDEX('Factor Analysis'!$G$4:$G$378,_xlfn.AGGREGATE(15,6,(ROW('Factor Analysis'!$F$4:$F$378)-ROW('Factor Analysis'!$F$4)+1)/('Factor Analysis'!$F$4:$F$378="OO"),14)),"")</f>
        <v/>
      </c>
      <c r="I18" s="44" t="str">
        <f t="array" ref="I18">IFERROR(INDEX('Factor Analysis'!$A$4:$A$378,_xlfn.AGGREGATE(15,6,(ROW('Factor Analysis'!$F$4:$F$378)-ROW('Factor Analysis'!$F$4)+1)/('Factor Analysis'!$F$4:$F$378="OO"),14)),"")</f>
        <v/>
      </c>
      <c r="J18" s="41"/>
      <c r="K18" s="88">
        <v>2</v>
      </c>
      <c r="L18" s="88">
        <v>2</v>
      </c>
      <c r="M18" s="88">
        <v>2</v>
      </c>
      <c r="N18" s="88" t="str">
        <f t="shared" si="1"/>
        <v>2.2.2</v>
      </c>
      <c r="O18" s="89" t="str">
        <f t="array" ref="O18">IFERROR(INDEX('Factor Analysis'!$G$4:$G$378,_xlfn.AGGREGATE(15,6,(ROW('Factor Analysis'!$F$4:$F$378)-ROW('Factor Analysis'!$F$4)+1)/('Factor Analysis'!$F$4:$F$378="DC"),14)),"")</f>
        <v>NATO and foreign nationals are SECURED</v>
      </c>
      <c r="P18" s="47">
        <f t="array" ref="P18">IFERROR(INDEX('Factor Analysis'!$A$4:$A$378,_xlfn.AGGREGATE(15,6,(ROW('Factor Analysis'!$F$4:$F$378)-ROW('Factor Analysis'!$F$4)+1)/('Factor Analysis'!$F$4:$F$378="DC"),14)),"")</f>
        <v>0</v>
      </c>
      <c r="Q18" s="48"/>
      <c r="R18" s="49" t="str">
        <f t="array" ref="R18">IFERROR(INDEX('Factor Analysis'!$G$4:$G$378,_xlfn.AGGREGATE(15,6,(ROW('Factor Analysis'!$F$4:$F$378)-ROW('Factor Analysis'!$F$4)+1)/('Factor Analysis'!$F$4:$F$378="OE"),14)),"")</f>
        <v>DEGRADE kill chain</v>
      </c>
      <c r="S18" s="49" t="str">
        <f t="array" ref="S18">IFERROR(INDEX('Factor Analysis'!$G$4:$G$378,_xlfn.AGGREGATE(15,6,(ROW('Factor Analysis'!$F$4:$F$378)-ROW('Factor Analysis'!$F$4)+1)/('Factor Analysis'!$F$4:$F$378="OA"),14)),"")</f>
        <v>CHANNEL safety updates to shippers, insurers and ports</v>
      </c>
      <c r="T18" s="49" t="str">
        <f t="array" ref="T18">IFERROR(INDEX('Factor Analysis'!$G$4:$G$378,_xlfn.AGGREGATE(15,6,(ROW('Factor Analysis'!$F$4:$F$378)-ROW('Factor Analysis'!$F$4)+1)/('Factor Analysis'!$F$4:$F$378="RISK"),14)),"")</f>
        <v>Multiple unrest fronts exceed available NATO force density</v>
      </c>
      <c r="U18" s="49" t="str">
        <f t="array" ref="U18">IFERROR(INDEX('Factor Analysis'!$G$4:$G$378,_xlfn.AGGREGATE(15,6,(ROW('Factor Analysis'!$F$4:$F$378)-ROW('Factor Analysis'!$F$4)+1)/('Factor Analysis'!$F$4:$F$378="CV"),14)),"")</f>
        <v>Operational reach depends on limited transport infrastructure</v>
      </c>
      <c r="V18" s="49" t="str">
        <f t="array" ref="V18">IFERROR(INDEX('Factor Analysis'!$G$4:$G$378,_xlfn.AGGREGATE(15,6,(ROW('Factor Analysis'!$F$4:$F$378)-ROW('Factor Analysis'!$F$4)+1)/('Factor Analysis'!$F$4:$F$378="COR"),14)),"")</f>
        <v>Build RSOI around ports, APODs and secure onward routes</v>
      </c>
      <c r="W18" s="49" t="str">
        <f t="array" ref="W18">IFERROR(INDEX('Factor Analysis'!$G$4:$G$378,_xlfn.AGGREGATE(15,6,(ROW('Factor Analysis'!$F$4:$F$378)-ROW('Factor Analysis'!$F$4)+1)/('Factor Analysis'!$F$4:$F$378="REQT"),14)),"")</f>
        <v>Shipping liaison, insurers, port operators and legal cell required</v>
      </c>
      <c r="X18" s="49" t="str">
        <f t="array" ref="X18">IFERROR(INDEX('Factor Analysis'!$G$4:$G$378,_xlfn.AGGREGATE(15,6,(ROW('Factor Analysis'!$F$4:$F$378)-ROW('Factor Analysis'!$F$4)+1)/('Factor Analysis'!$F$4:$F$378="REST"),14)),"")</f>
        <v/>
      </c>
      <c r="Y18" s="49" t="str">
        <f t="array" ref="Y18">IFERROR(INDEX('Factor Analysis'!$G$4:$G$378,_xlfn.AGGREGATE(15,6,(ROW('Factor Analysis'!$F$4:$F$378)-ROW('Factor Analysis'!$F$4)+1)/('Factor Analysis'!$F$4:$F$378="KCD-MUST"),14)),"")</f>
        <v>Secure regional access before visible force expansion</v>
      </c>
      <c r="Z18" s="49" t="str">
        <f t="array" ref="Z18">IFERROR(INDEX('Factor Analysis'!$G$4:$G$378,_xlfn.AGGREGATE(15,6,(ROW('Factor Analysis'!$F$4:$F$378)-ROW('Factor Analysis'!$F$4)+1)/('Factor Analysis'!$F$4:$F$378="KCD-SHOULD"),14)),"")</f>
        <v>Attack sensors before launchers where uncertainty is high</v>
      </c>
      <c r="AA18" s="49" t="str">
        <f t="array" ref="AA18">IFERROR(INDEX('Factor Analysis'!$G$4:$G$378,_xlfn.AGGREGATE(15,6,(ROW('Factor Analysis'!$F$4:$F$378)-ROW('Factor Analysis'!$F$4)+1)/('Factor Analysis'!$F$4:$F$378="KCD-SHOULD NOT"),14)),"")</f>
        <v/>
      </c>
      <c r="AB18" s="49" t="str">
        <f t="array" ref="AB18">IFERROR(INDEX('Factor Analysis'!$G$4:$G$378,_xlfn.AGGREGATE(15,6,(ROW('Factor Analysis'!$F$4:$F$378)-ROW('Factor Analysis'!$F$4)+1)/('Factor Analysis'!$F$4:$F$378="KCD-CANNOT"),14)),"")</f>
        <v>Cannot pursue all desirable DCs simultaneously</v>
      </c>
      <c r="AC18" s="49" t="str">
        <f t="array" ref="AC18">IFERROR(INDEX('Factor Analysis'!$G$4:$G$378,_xlfn.AGGREGATE(15,6,(ROW('Factor Analysis'!$F$4:$F$378)-ROW('Factor Analysis'!$F$4)+1)/('Factor Analysis'!$F$4:$F$378="DECISION"),14)),"")</f>
        <v>COM needs tolerance for CT prioritisation vs main effort</v>
      </c>
      <c r="AD18" s="49" t="str">
        <f t="array" ref="AD18">IFERROR(INDEX('Factor Analysis'!$G$4:$G$378,_xlfn.AGGREGATE(15,6,(ROW('Factor Analysis'!$F$4:$F$378)-ROW('Factor Analysis'!$F$4)+1)/('Factor Analysis'!$F$4:$F$378="ASSUMPTION"),14)),"")</f>
        <v/>
      </c>
      <c r="AE18" s="49" t="str">
        <f t="array" ref="AE18">IFERROR(INDEX('Factor Analysis'!$G$4:$G$378,_xlfn.AGGREGATE(15,6,(ROW('Factor Analysis'!$F$4:$F$378)-ROW('Factor Analysis'!$F$4)+1)/('Factor Analysis'!$F$4:$F$378="CONSTRAINT"),14)),"")</f>
        <v/>
      </c>
      <c r="AF18" s="49" t="str">
        <f t="array" ref="AF18">IFERROR(INDEX('Factor Analysis'!$G$4:$G$378,_xlfn.AGGREGATE(15,6,(ROW('Factor Analysis'!$F$4:$F$378)-ROW('Factor Analysis'!$F$4)+1)/('Factor Analysis'!$F$4:$F$378="LIMITATION"),14)),"")</f>
        <v/>
      </c>
      <c r="AG18" s="49" t="str">
        <f t="array" ref="AG18">IFERROR(INDEX('Factor Analysis'!$G$4:$G$378,_xlfn.AGGREGATE(15,6,(ROW('Factor Analysis'!$F$4:$F$378)-ROW('Factor Analysis'!$F$4)+1)/('Factor Analysis'!$F$4:$F$378="CC"),14)),"")</f>
        <v/>
      </c>
      <c r="AH18" s="49" t="str">
        <f t="array" ref="AH18">IFERROR(INDEX('Factor Analysis'!$G$4:$G$378,_xlfn.AGGREGATE(15,6,(ROW('Factor Analysis'!$F$4:$F$378)-ROW('Factor Analysis'!$F$4)+1)/('Factor Analysis'!$F$4:$F$378="CR"),14)),"")</f>
        <v/>
      </c>
      <c r="AI18" s="92" t="str">
        <f t="array" ref="AI18">IFERROR(INDEX('Factor Analysis'!$G$4:$G$378,_xlfn.AGGREGATE(15,6,(ROW('Factor Analysis'!$F$4:$F$378)-ROW('Factor Analysis'!$F$4)+1)/('Factor Analysis'!$F$4:$F$378="PCS"),14)),"")</f>
        <v/>
      </c>
    </row>
    <row r="19" spans="1:35" ht="39.75" customHeight="1">
      <c r="A19" s="38"/>
      <c r="B19" s="39" t="str">
        <f t="array" ref="B19">IFERROR(INDEX('Factor Analysis'!$G$4:$G$378,_xlfn.AGGREGATE(15,6,(ROW('Factor Analysis'!$F$4:$F$378)-ROW('Factor Analysis'!$F$4)+1)/('Factor Analysis'!$F$4:$F$378="MSO"),15)),"")</f>
        <v/>
      </c>
      <c r="C19" s="40" t="str">
        <f t="array" ref="C19">IFERROR(INDEX('Factor Analysis'!$A$4:$A$378,_xlfn.AGGREGATE(15,6,(ROW('Factor Analysis'!$F$4:$F$378)-ROW('Factor Analysis'!$F$4)+1)/('Factor Analysis'!$F$4:$F$378="MSO"),15)),"")</f>
        <v/>
      </c>
      <c r="D19" s="41"/>
      <c r="E19" s="42"/>
      <c r="F19" s="42"/>
      <c r="G19" s="42" t="str">
        <f t="shared" si="0"/>
        <v/>
      </c>
      <c r="H19" s="43" t="str">
        <f t="array" ref="H19">IFERROR(INDEX('Factor Analysis'!$G$4:$G$378,_xlfn.AGGREGATE(15,6,(ROW('Factor Analysis'!$F$4:$F$378)-ROW('Factor Analysis'!$F$4)+1)/('Factor Analysis'!$F$4:$F$378="OO"),15)),"")</f>
        <v/>
      </c>
      <c r="I19" s="44" t="str">
        <f t="array" ref="I19">IFERROR(INDEX('Factor Analysis'!$A$4:$A$378,_xlfn.AGGREGATE(15,6,(ROW('Factor Analysis'!$F$4:$F$378)-ROW('Factor Analysis'!$F$4)+1)/('Factor Analysis'!$F$4:$F$378="OO"),15)),"")</f>
        <v/>
      </c>
      <c r="J19" s="41"/>
      <c r="K19" s="88">
        <v>2</v>
      </c>
      <c r="L19" s="88">
        <v>2</v>
      </c>
      <c r="M19" s="88">
        <v>1</v>
      </c>
      <c r="N19" s="88" t="str">
        <f t="shared" si="1"/>
        <v>2.2.1</v>
      </c>
      <c r="O19" s="89" t="str">
        <f t="array" ref="O19">IFERROR(INDEX('Factor Analysis'!$G$4:$G$378,_xlfn.AGGREGATE(15,6,(ROW('Factor Analysis'!$F$4:$F$378)-ROW('Factor Analysis'!$F$4)+1)/('Factor Analysis'!$F$4:$F$378="DC"),15)),"")</f>
        <v>NEO force GUARDED</v>
      </c>
      <c r="P19" s="47">
        <f t="array" ref="P19">IFERROR(INDEX('Factor Analysis'!$A$4:$A$378,_xlfn.AGGREGATE(15,6,(ROW('Factor Analysis'!$F$4:$F$378)-ROW('Factor Analysis'!$F$4)+1)/('Factor Analysis'!$F$4:$F$378="DC"),15)),"")</f>
        <v>0</v>
      </c>
      <c r="Q19" s="48"/>
      <c r="R19" s="49" t="str">
        <f t="array" ref="R19">IFERROR(INDEX('Factor Analysis'!$G$4:$G$378,_xlfn.AGGREGATE(15,6,(ROW('Factor Analysis'!$F$4:$F$378)-ROW('Factor Analysis'!$F$4)+1)/('Factor Analysis'!$F$4:$F$378="OE"),15)),"")</f>
        <v>SUPPRESS air defence</v>
      </c>
      <c r="S19" s="49" t="str">
        <f t="array" ref="S19">IFERROR(INDEX('Factor Analysis'!$G$4:$G$378,_xlfn.AGGREGATE(15,6,(ROW('Factor Analysis'!$F$4:$F$378)-ROW('Factor Analysis'!$F$4)+1)/('Factor Analysis'!$F$4:$F$378="OA"),15)),"")</f>
        <v/>
      </c>
      <c r="T19" s="49" t="str">
        <f t="array" ref="T19">IFERROR(INDEX('Factor Analysis'!$G$4:$G$378,_xlfn.AGGREGATE(15,6,(ROW('Factor Analysis'!$F$4:$F$378)-ROW('Factor Analysis'!$F$4)+1)/('Factor Analysis'!$F$4:$F$378="RISK"),15)),"")</f>
        <v>Tactical delay without narrative effect still looks like rebel success</v>
      </c>
      <c r="U19" s="49" t="str">
        <f t="array" ref="U19">IFERROR(INDEX('Factor Analysis'!$G$4:$G$378,_xlfn.AGGREGATE(15,6,(ROW('Factor Analysis'!$F$4:$F$378)-ROW('Factor Analysis'!$F$4)+1)/('Factor Analysis'!$F$4:$F$378="CV"),15)),"")</f>
        <v>IRS sustainment and command are corridor-dependent despite terrain</v>
      </c>
      <c r="V19" s="49" t="str">
        <f t="array" ref="V19">IFERROR(INDEX('Factor Analysis'!$G$4:$G$378,_xlfn.AGGREGATE(15,6,(ROW('Factor Analysis'!$F$4:$F$378)-ROW('Factor Analysis'!$F$4)+1)/('Factor Analysis'!$F$4:$F$378="COR"),15)),"")</f>
        <v>Issue credible shipping advisories with evidence and timelines</v>
      </c>
      <c r="W19" s="49" t="str">
        <f t="array" ref="W19">IFERROR(INDEX('Factor Analysis'!$G$4:$G$378,_xlfn.AGGREGATE(15,6,(ROW('Factor Analysis'!$F$4:$F$378)-ROW('Factor Analysis'!$F$4)+1)/('Factor Analysis'!$F$4:$F$378="REQT"),15)),"")</f>
        <v>Engineers, route clearance, bridging and recovery assets required</v>
      </c>
      <c r="X19" s="49" t="str">
        <f t="array" ref="X19">IFERROR(INDEX('Factor Analysis'!$G$4:$G$378,_xlfn.AGGREGATE(15,6,(ROW('Factor Analysis'!$F$4:$F$378)-ROW('Factor Analysis'!$F$4)+1)/('Factor Analysis'!$F$4:$F$378="REST"),15)),"")</f>
        <v/>
      </c>
      <c r="Y19" s="49" t="str">
        <f t="array" ref="Y19">IFERROR(INDEX('Factor Analysis'!$G$4:$G$378,_xlfn.AGGREGATE(15,6,(ROW('Factor Analysis'!$F$4:$F$378)-ROW('Factor Analysis'!$F$4)+1)/('Factor Analysis'!$F$4:$F$378="KCD-MUST"),15)),"")</f>
        <v>Protect logistics nodes as operational objectives</v>
      </c>
      <c r="Z19" s="49" t="str">
        <f t="array" ref="Z19">IFERROR(INDEX('Factor Analysis'!$G$4:$G$378,_xlfn.AGGREGATE(15,6,(ROW('Factor Analysis'!$F$4:$F$378)-ROW('Factor Analysis'!$F$4)+1)/('Factor Analysis'!$F$4:$F$378="KCD-SHOULD"),15)),"")</f>
        <v>Use stand-off, EW and night advantage</v>
      </c>
      <c r="AA19" s="49" t="str">
        <f t="array" ref="AA19">IFERROR(INDEX('Factor Analysis'!$G$4:$G$378,_xlfn.AGGREGATE(15,6,(ROW('Factor Analysis'!$F$4:$F$378)-ROW('Factor Analysis'!$F$4)+1)/('Factor Analysis'!$F$4:$F$378="KCD-SHOULD NOT"),15)),"")</f>
        <v/>
      </c>
      <c r="AB19" s="49" t="str">
        <f t="array" ref="AB19">IFERROR(INDEX('Factor Analysis'!$G$4:$G$378,_xlfn.AGGREGATE(15,6,(ROW('Factor Analysis'!$F$4:$F$378)-ROW('Factor Analysis'!$F$4)+1)/('Factor Analysis'!$F$4:$F$378="KCD-CANNOT"),15)),"")</f>
        <v/>
      </c>
      <c r="AC19" s="49" t="str">
        <f t="array" ref="AC19">IFERROR(INDEX('Factor Analysis'!$G$4:$G$378,_xlfn.AGGREGATE(15,6,(ROW('Factor Analysis'!$F$4:$F$378)-ROW('Factor Analysis'!$F$4)+1)/('Factor Analysis'!$F$4:$F$378="DECISION"),15)),"")</f>
        <v>COM needs strategic comms clearance on external attribution</v>
      </c>
      <c r="AD19" s="49" t="str">
        <f t="array" ref="AD19">IFERROR(INDEX('Factor Analysis'!$G$4:$G$378,_xlfn.AGGREGATE(15,6,(ROW('Factor Analysis'!$F$4:$F$378)-ROW('Factor Analysis'!$F$4)+1)/('Factor Analysis'!$F$4:$F$378="ASSUMPTION"),15)),"")</f>
        <v/>
      </c>
      <c r="AE19" s="49" t="str">
        <f t="array" ref="AE19">IFERROR(INDEX('Factor Analysis'!$G$4:$G$378,_xlfn.AGGREGATE(15,6,(ROW('Factor Analysis'!$F$4:$F$378)-ROW('Factor Analysis'!$F$4)+1)/('Factor Analysis'!$F$4:$F$378="CONSTRAINT"),15)),"")</f>
        <v/>
      </c>
      <c r="AF19" s="49" t="str">
        <f t="array" ref="AF19">IFERROR(INDEX('Factor Analysis'!$G$4:$G$378,_xlfn.AGGREGATE(15,6,(ROW('Factor Analysis'!$F$4:$F$378)-ROW('Factor Analysis'!$F$4)+1)/('Factor Analysis'!$F$4:$F$378="LIMITATION"),15)),"")</f>
        <v/>
      </c>
      <c r="AG19" s="49" t="str">
        <f t="array" ref="AG19">IFERROR(INDEX('Factor Analysis'!$G$4:$G$378,_xlfn.AGGREGATE(15,6,(ROW('Factor Analysis'!$F$4:$F$378)-ROW('Factor Analysis'!$F$4)+1)/('Factor Analysis'!$F$4:$F$378="CC"),15)),"")</f>
        <v/>
      </c>
      <c r="AH19" s="49" t="str">
        <f t="array" ref="AH19">IFERROR(INDEX('Factor Analysis'!$G$4:$G$378,_xlfn.AGGREGATE(15,6,(ROW('Factor Analysis'!$F$4:$F$378)-ROW('Factor Analysis'!$F$4)+1)/('Factor Analysis'!$F$4:$F$378="CR"),15)),"")</f>
        <v/>
      </c>
      <c r="AI19" s="92" t="str">
        <f t="array" ref="AI19">IFERROR(INDEX('Factor Analysis'!$G$4:$G$378,_xlfn.AGGREGATE(15,6,(ROW('Factor Analysis'!$F$4:$F$378)-ROW('Factor Analysis'!$F$4)+1)/('Factor Analysis'!$F$4:$F$378="PCS"),15)),"")</f>
        <v/>
      </c>
    </row>
    <row r="20" spans="1:35" ht="39.75" customHeight="1">
      <c r="A20" s="38"/>
      <c r="B20" s="39" t="str">
        <f t="array" ref="B20">IFERROR(INDEX('Factor Analysis'!$G$4:$G$378,_xlfn.AGGREGATE(15,6,(ROW('Factor Analysis'!$F$4:$F$378)-ROW('Factor Analysis'!$F$4)+1)/('Factor Analysis'!$F$4:$F$378="MSO"),16)),"")</f>
        <v/>
      </c>
      <c r="C20" s="40" t="str">
        <f t="array" ref="C20">IFERROR(INDEX('Factor Analysis'!$A$4:$A$378,_xlfn.AGGREGATE(15,6,(ROW('Factor Analysis'!$F$4:$F$378)-ROW('Factor Analysis'!$F$4)+1)/('Factor Analysis'!$F$4:$F$378="MSO"),16)),"")</f>
        <v/>
      </c>
      <c r="D20" s="41"/>
      <c r="E20" s="42"/>
      <c r="F20" s="42"/>
      <c r="G20" s="42" t="str">
        <f t="shared" si="0"/>
        <v/>
      </c>
      <c r="H20" s="43" t="str">
        <f t="array" ref="H20">IFERROR(INDEX('Factor Analysis'!$G$4:$G$378,_xlfn.AGGREGATE(15,6,(ROW('Factor Analysis'!$F$4:$F$378)-ROW('Factor Analysis'!$F$4)+1)/('Factor Analysis'!$F$4:$F$378="OO"),16)),"")</f>
        <v/>
      </c>
      <c r="I20" s="44" t="str">
        <f t="array" ref="I20">IFERROR(INDEX('Factor Analysis'!$A$4:$A$378,_xlfn.AGGREGATE(15,6,(ROW('Factor Analysis'!$F$4:$F$378)-ROW('Factor Analysis'!$F$4)+1)/('Factor Analysis'!$F$4:$F$378="OO"),16)),"")</f>
        <v/>
      </c>
      <c r="J20" s="41"/>
      <c r="K20" s="88">
        <v>3</v>
      </c>
      <c r="L20" s="88">
        <v>4</v>
      </c>
      <c r="M20" s="88">
        <v>1</v>
      </c>
      <c r="N20" s="88" t="str">
        <f t="shared" si="1"/>
        <v>3.4.1</v>
      </c>
      <c r="O20" s="89" t="str">
        <f t="array" ref="O20">IFERROR(INDEX('Factor Analysis'!$G$4:$G$378,_xlfn.AGGREGATE(15,6,(ROW('Factor Analysis'!$F$4:$F$378)-ROW('Factor Analysis'!$F$4)+1)/('Factor Analysis'!$F$4:$F$378="DC"),16)),"")</f>
        <v>Adversary and NATO CIVPOP networks UNDERRSTOOD</v>
      </c>
      <c r="P20" s="47">
        <f t="array" ref="P20">IFERROR(INDEX('Factor Analysis'!$A$4:$A$378,_xlfn.AGGREGATE(15,6,(ROW('Factor Analysis'!$F$4:$F$378)-ROW('Factor Analysis'!$F$4)+1)/('Factor Analysis'!$F$4:$F$378="DC"),16)),"")</f>
        <v>0</v>
      </c>
      <c r="Q20" s="48"/>
      <c r="R20" s="49" t="str">
        <f t="array" ref="R20">IFERROR(INDEX('Factor Analysis'!$G$4:$G$378,_xlfn.AGGREGATE(15,6,(ROW('Factor Analysis'!$F$4:$F$378)-ROW('Factor Analysis'!$F$4)+1)/('Factor Analysis'!$F$4:$F$378="OE"),16)),"")</f>
        <v>DISCREDIT HASAN-led coalition</v>
      </c>
      <c r="S20" s="49" t="str">
        <f t="array" ref="S20">IFERROR(INDEX('Factor Analysis'!$G$4:$G$378,_xlfn.AGGREGATE(15,6,(ROW('Factor Analysis'!$F$4:$F$378)-ROW('Factor Analysis'!$F$4)+1)/('Factor Analysis'!$F$4:$F$378="OA"),16)),"")</f>
        <v/>
      </c>
      <c r="T20" s="49" t="str">
        <f t="array" ref="T20">IFERROR(INDEX('Factor Analysis'!$G$4:$G$378,_xlfn.AGGREGATE(15,6,(ROW('Factor Analysis'!$F$4:$F$378)-ROW('Factor Analysis'!$F$4)+1)/('Factor Analysis'!$F$4:$F$378="RISK"),16)),"")</f>
        <v>Infrastructure damage creates long-term strategic failure</v>
      </c>
      <c r="U20" s="49" t="str">
        <f t="array" ref="U20">IFERROR(INDEX('Factor Analysis'!$G$4:$G$378,_xlfn.AGGREGATE(15,6,(ROW('Factor Analysis'!$F$4:$F$378)-ROW('Factor Analysis'!$F$4)+1)/('Factor Analysis'!$F$4:$F$378="CV"),16)),"")</f>
        <v>IRS CDCM system depends on sensors, C2 and targeting inputs</v>
      </c>
      <c r="V20" s="49" t="str">
        <f t="array" ref="V20">IFERROR(INDEX('Factor Analysis'!$G$4:$G$378,_xlfn.AGGREGATE(15,6,(ROW('Factor Analysis'!$F$4:$F$378)-ROW('Factor Analysis'!$F$4)+1)/('Factor Analysis'!$F$4:$F$378="COR"),16)),"")</f>
        <v>Establish combined maritime and air coordination mechanisms</v>
      </c>
      <c r="W20" s="49" t="str">
        <f t="array" ref="W20">IFERROR(INDEX('Factor Analysis'!$G$4:$G$378,_xlfn.AGGREGATE(15,6,(ROW('Factor Analysis'!$F$4:$F$378)-ROW('Factor Analysis'!$F$4)+1)/('Factor Analysis'!$F$4:$F$378="REQT"),16)),"")</f>
        <v>Water purification, preventive medicine and health surveillance required</v>
      </c>
      <c r="X20" s="49" t="str">
        <f t="array" ref="X20">IFERROR(INDEX('Factor Analysis'!$G$4:$G$378,_xlfn.AGGREGATE(15,6,(ROW('Factor Analysis'!$F$4:$F$378)-ROW('Factor Analysis'!$F$4)+1)/('Factor Analysis'!$F$4:$F$378="REST"),16)),"")</f>
        <v/>
      </c>
      <c r="Y20" s="49" t="str">
        <f t="array" ref="Y20">IFERROR(INDEX('Factor Analysis'!$G$4:$G$378,_xlfn.AGGREGATE(15,6,(ROW('Factor Analysis'!$F$4:$F$378)-ROW('Factor Analysis'!$F$4)+1)/('Factor Analysis'!$F$4:$F$378="KCD-MUST"),16)),"")</f>
        <v>Integrate coalition, partner and GoIND activity under one scheme</v>
      </c>
      <c r="Z20" s="49" t="str">
        <f t="array" ref="Z20">IFERROR(INDEX('Factor Analysis'!$G$4:$G$378,_xlfn.AGGREGATE(15,6,(ROW('Factor Analysis'!$F$4:$F$378)-ROW('Factor Analysis'!$F$4)+1)/('Factor Analysis'!$F$4:$F$378="KCD-SHOULD"),16)),"")</f>
        <v>Prioritise threat networks near nationals and entry nodes</v>
      </c>
      <c r="AA20" s="49" t="str">
        <f t="array" ref="AA20">IFERROR(INDEX('Factor Analysis'!$G$4:$G$378,_xlfn.AGGREGATE(15,6,(ROW('Factor Analysis'!$F$4:$F$378)-ROW('Factor Analysis'!$F$4)+1)/('Factor Analysis'!$F$4:$F$378="KCD-SHOULD NOT"),16)),"")</f>
        <v/>
      </c>
      <c r="AB20" s="49" t="str">
        <f t="array" ref="AB20">IFERROR(INDEX('Factor Analysis'!$G$4:$G$378,_xlfn.AGGREGATE(15,6,(ROW('Factor Analysis'!$F$4:$F$378)-ROW('Factor Analysis'!$F$4)+1)/('Factor Analysis'!$F$4:$F$378="KCD-CANNOT"),16)),"")</f>
        <v/>
      </c>
      <c r="AC20" s="49" t="str">
        <f t="array" ref="AC20">IFERROR(INDEX('Factor Analysis'!$G$4:$G$378,_xlfn.AGGREGATE(15,6,(ROW('Factor Analysis'!$F$4:$F$378)-ROW('Factor Analysis'!$F$4)+1)/('Factor Analysis'!$F$4:$F$378="DECISION"),16)),"")</f>
        <v>Cyber disruption to access, shipping, banking or C2 systems</v>
      </c>
      <c r="AD20" s="49" t="str">
        <f t="array" ref="AD20">IFERROR(INDEX('Factor Analysis'!$G$4:$G$378,_xlfn.AGGREGATE(15,6,(ROW('Factor Analysis'!$F$4:$F$378)-ROW('Factor Analysis'!$F$4)+1)/('Factor Analysis'!$F$4:$F$378="ASSUMPTION"),16)),"")</f>
        <v/>
      </c>
      <c r="AE20" s="49" t="str">
        <f t="array" ref="AE20">IFERROR(INDEX('Factor Analysis'!$G$4:$G$378,_xlfn.AGGREGATE(15,6,(ROW('Factor Analysis'!$F$4:$F$378)-ROW('Factor Analysis'!$F$4)+1)/('Factor Analysis'!$F$4:$F$378="CONSTRAINT"),16)),"")</f>
        <v/>
      </c>
      <c r="AF20" s="49" t="str">
        <f t="array" ref="AF20">IFERROR(INDEX('Factor Analysis'!$G$4:$G$378,_xlfn.AGGREGATE(15,6,(ROW('Factor Analysis'!$F$4:$F$378)-ROW('Factor Analysis'!$F$4)+1)/('Factor Analysis'!$F$4:$F$378="LIMITATION"),16)),"")</f>
        <v/>
      </c>
      <c r="AG20" s="49" t="str">
        <f t="array" ref="AG20">IFERROR(INDEX('Factor Analysis'!$G$4:$G$378,_xlfn.AGGREGATE(15,6,(ROW('Factor Analysis'!$F$4:$F$378)-ROW('Factor Analysis'!$F$4)+1)/('Factor Analysis'!$F$4:$F$378="CC"),16)),"")</f>
        <v/>
      </c>
      <c r="AH20" s="49" t="str">
        <f t="array" ref="AH20">IFERROR(INDEX('Factor Analysis'!$G$4:$G$378,_xlfn.AGGREGATE(15,6,(ROW('Factor Analysis'!$F$4:$F$378)-ROW('Factor Analysis'!$F$4)+1)/('Factor Analysis'!$F$4:$F$378="CR"),16)),"")</f>
        <v/>
      </c>
      <c r="AI20" s="92" t="str">
        <f t="array" ref="AI20">IFERROR(INDEX('Factor Analysis'!$G$4:$G$378,_xlfn.AGGREGATE(15,6,(ROW('Factor Analysis'!$F$4:$F$378)-ROW('Factor Analysis'!$F$4)+1)/('Factor Analysis'!$F$4:$F$378="PCS"),16)),"")</f>
        <v/>
      </c>
    </row>
    <row r="21" spans="1:35" ht="39.75" customHeight="1">
      <c r="A21" s="38"/>
      <c r="B21" s="39" t="str">
        <f t="array" ref="B21">IFERROR(INDEX('Factor Analysis'!$G$4:$G$378,_xlfn.AGGREGATE(15,6,(ROW('Factor Analysis'!$F$4:$F$378)-ROW('Factor Analysis'!$F$4)+1)/('Factor Analysis'!$F$4:$F$378="MSO"),17)),"")</f>
        <v/>
      </c>
      <c r="C21" s="40" t="str">
        <f t="array" ref="C21">IFERROR(INDEX('Factor Analysis'!$A$4:$A$378,_xlfn.AGGREGATE(15,6,(ROW('Factor Analysis'!$F$4:$F$378)-ROW('Factor Analysis'!$F$4)+1)/('Factor Analysis'!$F$4:$F$378="MSO"),17)),"")</f>
        <v/>
      </c>
      <c r="D21" s="41"/>
      <c r="E21" s="42"/>
      <c r="F21" s="42"/>
      <c r="G21" s="42" t="str">
        <f t="shared" si="0"/>
        <v/>
      </c>
      <c r="H21" s="43" t="str">
        <f t="array" ref="H21">IFERROR(INDEX('Factor Analysis'!$G$4:$G$378,_xlfn.AGGREGATE(15,6,(ROW('Factor Analysis'!$F$4:$F$378)-ROW('Factor Analysis'!$F$4)+1)/('Factor Analysis'!$F$4:$F$378="OO"),17)),"")</f>
        <v/>
      </c>
      <c r="I21" s="44" t="str">
        <f t="array" ref="I21">IFERROR(INDEX('Factor Analysis'!$A$4:$A$378,_xlfn.AGGREGATE(15,6,(ROW('Factor Analysis'!$F$4:$F$378)-ROW('Factor Analysis'!$F$4)+1)/('Factor Analysis'!$F$4:$F$378="OO"),17)),"")</f>
        <v/>
      </c>
      <c r="J21" s="41"/>
      <c r="K21" s="45"/>
      <c r="L21" s="45"/>
      <c r="M21" s="45"/>
      <c r="N21" s="45" t="str">
        <f t="shared" si="1"/>
        <v/>
      </c>
      <c r="O21" s="46" t="str">
        <f t="array" ref="O21">IFERROR(INDEX('Factor Analysis'!$G$4:$G$378,_xlfn.AGGREGATE(15,6,(ROW('Factor Analysis'!$F$4:$F$378)-ROW('Factor Analysis'!$F$4)+1)/('Factor Analysis'!$F$4:$F$378="DC"),17)),"")</f>
        <v/>
      </c>
      <c r="P21" s="47" t="str">
        <f t="array" ref="P21">IFERROR(INDEX('Factor Analysis'!$A$4:$A$378,_xlfn.AGGREGATE(15,6,(ROW('Factor Analysis'!$F$4:$F$378)-ROW('Factor Analysis'!$F$4)+1)/('Factor Analysis'!$F$4:$F$378="DC"),17)),"")</f>
        <v/>
      </c>
      <c r="Q21" s="48"/>
      <c r="R21" s="49" t="str">
        <f t="array" ref="R21">IFERROR(INDEX('Factor Analysis'!$G$4:$G$378,_xlfn.AGGREGATE(15,6,(ROW('Factor Analysis'!$F$4:$F$378)-ROW('Factor Analysis'!$F$4)+1)/('Factor Analysis'!$F$4:$F$378="OE"),17)),"")</f>
        <v>DISRUPT external support networks</v>
      </c>
      <c r="S21" s="49" t="str">
        <f t="array" ref="S21">IFERROR(INDEX('Factor Analysis'!$G$4:$G$378,_xlfn.AGGREGATE(15,6,(ROW('Factor Analysis'!$F$4:$F$378)-ROW('Factor Analysis'!$F$4)+1)/('Factor Analysis'!$F$4:$F$378="OA"),17)),"")</f>
        <v/>
      </c>
      <c r="T21" s="49" t="str">
        <f t="array" ref="T21">IFERROR(INDEX('Factor Analysis'!$G$4:$G$378,_xlfn.AGGREGATE(15,6,(ROW('Factor Analysis'!$F$4:$F$378)-ROW('Factor Analysis'!$F$4)+1)/('Factor Analysis'!$F$4:$F$378="RISK"),17)),"")</f>
        <v>Shipping pays if NATO cannot provide credible protection</v>
      </c>
      <c r="U21" s="49" t="str">
        <f t="array" ref="U21">IFERROR(INDEX('Factor Analysis'!$G$4:$G$378,_xlfn.AGGREGATE(15,6,(ROW('Factor Analysis'!$F$4:$F$378)-ROW('Factor Analysis'!$F$4)+1)/('Factor Analysis'!$F$4:$F$378="CV"),17)),"")</f>
        <v>IRS submarines have strategic effect if undetected</v>
      </c>
      <c r="V21" s="49" t="str">
        <f t="array" ref="V21">IFERROR(INDEX('Factor Analysis'!$G$4:$G$378,_xlfn.AGGREGATE(15,6,(ROW('Factor Analysis'!$F$4:$F$378)-ROW('Factor Analysis'!$F$4)+1)/('Factor Analysis'!$F$4:$F$378="COR"),17)),"")</f>
        <v>Plan short, secured movement pulses from entry nodes</v>
      </c>
      <c r="W21" s="49" t="str">
        <f t="array" ref="W21">IFERROR(INDEX('Factor Analysis'!$G$4:$G$378,_xlfn.AGGREGATE(15,6,(ROW('Factor Analysis'!$F$4:$F$378)-ROW('Factor Analysis'!$F$4)+1)/('Factor Analysis'!$F$4:$F$378="REQT"),17)),"")</f>
        <v>EOD, engineers, route clearance and QRF required</v>
      </c>
      <c r="X21" s="49" t="str">
        <f t="array" ref="X21">IFERROR(INDEX('Factor Analysis'!$G$4:$G$378,_xlfn.AGGREGATE(15,6,(ROW('Factor Analysis'!$F$4:$F$378)-ROW('Factor Analysis'!$F$4)+1)/('Factor Analysis'!$F$4:$F$378="REST"),17)),"")</f>
        <v/>
      </c>
      <c r="Y21" s="49" t="str">
        <f t="array" ref="Y21">IFERROR(INDEX('Factor Analysis'!$G$4:$G$378,_xlfn.AGGREGATE(15,6,(ROW('Factor Analysis'!$F$4:$F$378)-ROW('Factor Analysis'!$F$4)+1)/('Factor Analysis'!$F$4:$F$378="KCD-MUST"),17)),"")</f>
        <v>Achieve key DCs before weather shifts advantage to IRS</v>
      </c>
      <c r="Z21" s="49" t="str">
        <f t="array" ref="Z21">IFERROR(INDEX('Factor Analysis'!$G$4:$G$378,_xlfn.AGGREGATE(15,6,(ROW('Factor Analysis'!$F$4:$F$378)-ROW('Factor Analysis'!$F$4)+1)/('Factor Analysis'!$F$4:$F$378="KCD-SHOULD"),17)),"")</f>
        <v>Separate nationalist supporters from terrorist partners</v>
      </c>
      <c r="AA21" s="49" t="str">
        <f t="array" ref="AA21">IFERROR(INDEX('Factor Analysis'!$G$4:$G$378,_xlfn.AGGREGATE(15,6,(ROW('Factor Analysis'!$F$4:$F$378)-ROW('Factor Analysis'!$F$4)+1)/('Factor Analysis'!$F$4:$F$378="KCD-SHOULD NOT"),17)),"")</f>
        <v/>
      </c>
      <c r="AB21" s="49" t="str">
        <f t="array" ref="AB21">IFERROR(INDEX('Factor Analysis'!$G$4:$G$378,_xlfn.AGGREGATE(15,6,(ROW('Factor Analysis'!$F$4:$F$378)-ROW('Factor Analysis'!$F$4)+1)/('Factor Analysis'!$F$4:$F$378="KCD-CANNOT"),17)),"")</f>
        <v/>
      </c>
      <c r="AC21" s="49" t="str">
        <f t="array" ref="AC21">IFERROR(INDEX('Factor Analysis'!$G$4:$G$378,_xlfn.AGGREGATE(15,6,(ROW('Factor Analysis'!$F$4:$F$378)-ROW('Factor Analysis'!$F$4)+1)/('Factor Analysis'!$F$4:$F$378="DECISION"),17)),"")</f>
        <v>COM needs priority audiences by phase</v>
      </c>
      <c r="AD21" s="49" t="str">
        <f t="array" ref="AD21">IFERROR(INDEX('Factor Analysis'!$G$4:$G$378,_xlfn.AGGREGATE(15,6,(ROW('Factor Analysis'!$F$4:$F$378)-ROW('Factor Analysis'!$F$4)+1)/('Factor Analysis'!$F$4:$F$378="ASSUMPTION"),17)),"")</f>
        <v/>
      </c>
      <c r="AE21" s="49" t="str">
        <f t="array" ref="AE21">IFERROR(INDEX('Factor Analysis'!$G$4:$G$378,_xlfn.AGGREGATE(15,6,(ROW('Factor Analysis'!$F$4:$F$378)-ROW('Factor Analysis'!$F$4)+1)/('Factor Analysis'!$F$4:$F$378="CONSTRAINT"),17)),"")</f>
        <v/>
      </c>
      <c r="AF21" s="49" t="str">
        <f t="array" ref="AF21">IFERROR(INDEX('Factor Analysis'!$G$4:$G$378,_xlfn.AGGREGATE(15,6,(ROW('Factor Analysis'!$F$4:$F$378)-ROW('Factor Analysis'!$F$4)+1)/('Factor Analysis'!$F$4:$F$378="LIMITATION"),17)),"")</f>
        <v/>
      </c>
      <c r="AG21" s="49" t="str">
        <f t="array" ref="AG21">IFERROR(INDEX('Factor Analysis'!$G$4:$G$378,_xlfn.AGGREGATE(15,6,(ROW('Factor Analysis'!$F$4:$F$378)-ROW('Factor Analysis'!$F$4)+1)/('Factor Analysis'!$F$4:$F$378="CC"),17)),"")</f>
        <v/>
      </c>
      <c r="AH21" s="49" t="str">
        <f t="array" ref="AH21">IFERROR(INDEX('Factor Analysis'!$G$4:$G$378,_xlfn.AGGREGATE(15,6,(ROW('Factor Analysis'!$F$4:$F$378)-ROW('Factor Analysis'!$F$4)+1)/('Factor Analysis'!$F$4:$F$378="CR"),17)),"")</f>
        <v/>
      </c>
      <c r="AI21" s="92" t="str">
        <f t="array" ref="AI21">IFERROR(INDEX('Factor Analysis'!$G$4:$G$378,_xlfn.AGGREGATE(15,6,(ROW('Factor Analysis'!$F$4:$F$378)-ROW('Factor Analysis'!$F$4)+1)/('Factor Analysis'!$F$4:$F$378="PCS"),17)),"")</f>
        <v/>
      </c>
    </row>
    <row r="22" spans="1:35" ht="39.75" customHeight="1">
      <c r="A22" s="38"/>
      <c r="B22" s="39" t="str">
        <f t="array" ref="B22">IFERROR(INDEX('Factor Analysis'!$G$4:$G$378,_xlfn.AGGREGATE(15,6,(ROW('Factor Analysis'!$F$4:$F$378)-ROW('Factor Analysis'!$F$4)+1)/('Factor Analysis'!$F$4:$F$378="MSO"),18)),"")</f>
        <v/>
      </c>
      <c r="C22" s="40" t="str">
        <f t="array" ref="C22">IFERROR(INDEX('Factor Analysis'!$A$4:$A$378,_xlfn.AGGREGATE(15,6,(ROW('Factor Analysis'!$F$4:$F$378)-ROW('Factor Analysis'!$F$4)+1)/('Factor Analysis'!$F$4:$F$378="MSO"),18)),"")</f>
        <v/>
      </c>
      <c r="D22" s="41"/>
      <c r="E22" s="42"/>
      <c r="F22" s="42"/>
      <c r="G22" s="42" t="str">
        <f t="shared" si="0"/>
        <v/>
      </c>
      <c r="H22" s="43" t="str">
        <f t="array" ref="H22">IFERROR(INDEX('Factor Analysis'!$G$4:$G$378,_xlfn.AGGREGATE(15,6,(ROW('Factor Analysis'!$F$4:$F$378)-ROW('Factor Analysis'!$F$4)+1)/('Factor Analysis'!$F$4:$F$378="OO"),18)),"")</f>
        <v/>
      </c>
      <c r="I22" s="44" t="str">
        <f t="array" ref="I22">IFERROR(INDEX('Factor Analysis'!$A$4:$A$378,_xlfn.AGGREGATE(15,6,(ROW('Factor Analysis'!$F$4:$F$378)-ROW('Factor Analysis'!$F$4)+1)/('Factor Analysis'!$F$4:$F$378="OO"),18)),"")</f>
        <v/>
      </c>
      <c r="J22" s="41"/>
      <c r="K22" s="45"/>
      <c r="L22" s="45"/>
      <c r="M22" s="45"/>
      <c r="N22" s="45" t="str">
        <f t="shared" si="1"/>
        <v/>
      </c>
      <c r="O22" s="46" t="str">
        <f t="array" ref="O22">IFERROR(INDEX('Factor Analysis'!$G$4:$G$378,_xlfn.AGGREGATE(15,6,(ROW('Factor Analysis'!$F$4:$F$378)-ROW('Factor Analysis'!$F$4)+1)/('Factor Analysis'!$F$4:$F$378="DC"),18)),"")</f>
        <v/>
      </c>
      <c r="P22" s="47" t="str">
        <f t="array" ref="P22">IFERROR(INDEX('Factor Analysis'!$A$4:$A$378,_xlfn.AGGREGATE(15,6,(ROW('Factor Analysis'!$F$4:$F$378)-ROW('Factor Analysis'!$F$4)+1)/('Factor Analysis'!$F$4:$F$378="DC"),18)),"")</f>
        <v/>
      </c>
      <c r="Q22" s="48"/>
      <c r="R22" s="49" t="str">
        <f t="array" ref="R22">IFERROR(INDEX('Factor Analysis'!$G$4:$G$378,_xlfn.AGGREGATE(15,6,(ROW('Factor Analysis'!$F$4:$F$378)-ROW('Factor Analysis'!$F$4)+1)/('Factor Analysis'!$F$4:$F$378="OE"),18)),"")</f>
        <v>DISCREDIT IRS legitimacy</v>
      </c>
      <c r="S22" s="49" t="str">
        <f t="array" ref="S22">IFERROR(INDEX('Factor Analysis'!$G$4:$G$378,_xlfn.AGGREGATE(15,6,(ROW('Factor Analysis'!$F$4:$F$378)-ROW('Factor Analysis'!$F$4)+1)/('Factor Analysis'!$F$4:$F$378="OA"),18)),"")</f>
        <v/>
      </c>
      <c r="T22" s="49" t="str">
        <f t="array" ref="T22">IFERROR(INDEX('Factor Analysis'!$G$4:$G$378,_xlfn.AGGREGATE(15,6,(ROW('Factor Analysis'!$F$4:$F$378)-ROW('Factor Analysis'!$F$4)+1)/('Factor Analysis'!$F$4:$F$378="RISK"),18)),"")</f>
        <v>Shortages become IRS proof of NATO hostility</v>
      </c>
      <c r="U22" s="49" t="str">
        <f t="array" ref="U22">IFERROR(INDEX('Factor Analysis'!$G$4:$G$378,_xlfn.AGGREGATE(15,6,(ROW('Factor Analysis'!$F$4:$F$378)-ROW('Factor Analysis'!$F$4)+1)/('Factor Analysis'!$F$4:$F$378="CV"),18)),"")</f>
        <v>IRS SAMs and AD radars protect bases, not whole theatre</v>
      </c>
      <c r="V22" s="49" t="str">
        <f t="array" ref="V22">IFERROR(INDEX('Factor Analysis'!$G$4:$G$378,_xlfn.AGGREGATE(15,6,(ROW('Factor Analysis'!$F$4:$F$378)-ROW('Factor Analysis'!$F$4)+1)/('Factor Analysis'!$F$4:$F$378="COR"),18)),"")</f>
        <v>Exploit dry-season window for access and critical nodes</v>
      </c>
      <c r="W22" s="49" t="str">
        <f t="array" ref="W22">IFERROR(INDEX('Factor Analysis'!$G$4:$G$378,_xlfn.AGGREGATE(15,6,(ROW('Factor Analysis'!$F$4:$F$378)-ROW('Factor Analysis'!$F$4)+1)/('Factor Analysis'!$F$4:$F$378="REQT"),18)),"")</f>
        <v>MCM, ASW, SEAD, EW and ISR required before entry</v>
      </c>
      <c r="X22" s="49" t="str">
        <f t="array" ref="X22">IFERROR(INDEX('Factor Analysis'!$G$4:$G$378,_xlfn.AGGREGATE(15,6,(ROW('Factor Analysis'!$F$4:$F$378)-ROW('Factor Analysis'!$F$4)+1)/('Factor Analysis'!$F$4:$F$378="REST"),18)),"")</f>
        <v/>
      </c>
      <c r="Y22" s="49" t="str">
        <f t="array" ref="Y22">IFERROR(INDEX('Factor Analysis'!$G$4:$G$378,_xlfn.AGGREGATE(15,6,(ROW('Factor Analysis'!$F$4:$F$378)-ROW('Factor Analysis'!$F$4)+1)/('Factor Analysis'!$F$4:$F$378="KCD-MUST"),18)),"")</f>
        <v>Treat MSR protection as manoeuvre, not rear-area work</v>
      </c>
      <c r="Z22" s="49" t="str">
        <f t="array" ref="Z22">IFERROR(INDEX('Factor Analysis'!$G$4:$G$378,_xlfn.AGGREGATE(15,6,(ROW('Factor Analysis'!$F$4:$F$378)-ROW('Factor Analysis'!$F$4)+1)/('Factor Analysis'!$F$4:$F$378="KCD-SHOULD"),18)),"")</f>
        <v>Privately engage regional partners before public release</v>
      </c>
      <c r="AA22" s="49" t="str">
        <f t="array" ref="AA22">IFERROR(INDEX('Factor Analysis'!$G$4:$G$378,_xlfn.AGGREGATE(15,6,(ROW('Factor Analysis'!$F$4:$F$378)-ROW('Factor Analysis'!$F$4)+1)/('Factor Analysis'!$F$4:$F$378="KCD-SHOULD NOT"),18)),"")</f>
        <v/>
      </c>
      <c r="AB22" s="49" t="str">
        <f t="array" ref="AB22">IFERROR(INDEX('Factor Analysis'!$G$4:$G$378,_xlfn.AGGREGATE(15,6,(ROW('Factor Analysis'!$F$4:$F$378)-ROW('Factor Analysis'!$F$4)+1)/('Factor Analysis'!$F$4:$F$378="KCD-CANNOT"),18)),"")</f>
        <v/>
      </c>
      <c r="AC22" s="49" t="str">
        <f t="array" ref="AC22">IFERROR(INDEX('Factor Analysis'!$G$4:$G$378,_xlfn.AGGREGATE(15,6,(ROW('Factor Analysis'!$F$4:$F$378)-ROW('Factor Analysis'!$F$4)+1)/('Factor Analysis'!$F$4:$F$378="DECISION"),18)),"")</f>
        <v>Civilian casualty, hostage death or shipping loss</v>
      </c>
      <c r="AD22" s="49" t="str">
        <f t="array" ref="AD22">IFERROR(INDEX('Factor Analysis'!$G$4:$G$378,_xlfn.AGGREGATE(15,6,(ROW('Factor Analysis'!$F$4:$F$378)-ROW('Factor Analysis'!$F$4)+1)/('Factor Analysis'!$F$4:$F$378="ASSUMPTION"),18)),"")</f>
        <v/>
      </c>
      <c r="AE22" s="49" t="str">
        <f t="array" ref="AE22">IFERROR(INDEX('Factor Analysis'!$G$4:$G$378,_xlfn.AGGREGATE(15,6,(ROW('Factor Analysis'!$F$4:$F$378)-ROW('Factor Analysis'!$F$4)+1)/('Factor Analysis'!$F$4:$F$378="CONSTRAINT"),18)),"")</f>
        <v/>
      </c>
      <c r="AF22" s="49" t="str">
        <f t="array" ref="AF22">IFERROR(INDEX('Factor Analysis'!$G$4:$G$378,_xlfn.AGGREGATE(15,6,(ROW('Factor Analysis'!$F$4:$F$378)-ROW('Factor Analysis'!$F$4)+1)/('Factor Analysis'!$F$4:$F$378="LIMITATION"),18)),"")</f>
        <v/>
      </c>
      <c r="AG22" s="49" t="str">
        <f t="array" ref="AG22">IFERROR(INDEX('Factor Analysis'!$G$4:$G$378,_xlfn.AGGREGATE(15,6,(ROW('Factor Analysis'!$F$4:$F$378)-ROW('Factor Analysis'!$F$4)+1)/('Factor Analysis'!$F$4:$F$378="CC"),18)),"")</f>
        <v/>
      </c>
      <c r="AH22" s="49" t="str">
        <f t="array" ref="AH22">IFERROR(INDEX('Factor Analysis'!$G$4:$G$378,_xlfn.AGGREGATE(15,6,(ROW('Factor Analysis'!$F$4:$F$378)-ROW('Factor Analysis'!$F$4)+1)/('Factor Analysis'!$F$4:$F$378="CR"),18)),"")</f>
        <v/>
      </c>
      <c r="AI22" s="92" t="str">
        <f t="array" ref="AI22">IFERROR(INDEX('Factor Analysis'!$G$4:$G$378,_xlfn.AGGREGATE(15,6,(ROW('Factor Analysis'!$F$4:$F$378)-ROW('Factor Analysis'!$F$4)+1)/('Factor Analysis'!$F$4:$F$378="PCS"),18)),"")</f>
        <v/>
      </c>
    </row>
    <row r="23" spans="1:35" ht="39.75" customHeight="1">
      <c r="A23" s="38"/>
      <c r="B23" s="39" t="str">
        <f t="array" ref="B23">IFERROR(INDEX('Factor Analysis'!$G$4:$G$378,_xlfn.AGGREGATE(15,6,(ROW('Factor Analysis'!$F$4:$F$378)-ROW('Factor Analysis'!$F$4)+1)/('Factor Analysis'!$F$4:$F$378="MSO"),19)),"")</f>
        <v/>
      </c>
      <c r="C23" s="40" t="str">
        <f t="array" ref="C23">IFERROR(INDEX('Factor Analysis'!$A$4:$A$378,_xlfn.AGGREGATE(15,6,(ROW('Factor Analysis'!$F$4:$F$378)-ROW('Factor Analysis'!$F$4)+1)/('Factor Analysis'!$F$4:$F$378="MSO"),19)),"")</f>
        <v/>
      </c>
      <c r="D23" s="41"/>
      <c r="E23" s="42"/>
      <c r="F23" s="42"/>
      <c r="G23" s="42" t="str">
        <f t="shared" si="0"/>
        <v/>
      </c>
      <c r="H23" s="43" t="str">
        <f t="array" ref="H23">IFERROR(INDEX('Factor Analysis'!$G$4:$G$378,_xlfn.AGGREGATE(15,6,(ROW('Factor Analysis'!$F$4:$F$378)-ROW('Factor Analysis'!$F$4)+1)/('Factor Analysis'!$F$4:$F$378="OO"),19)),"")</f>
        <v/>
      </c>
      <c r="I23" s="44" t="str">
        <f t="array" ref="I23">IFERROR(INDEX('Factor Analysis'!$A$4:$A$378,_xlfn.AGGREGATE(15,6,(ROW('Factor Analysis'!$F$4:$F$378)-ROW('Factor Analysis'!$F$4)+1)/('Factor Analysis'!$F$4:$F$378="OO"),19)),"")</f>
        <v/>
      </c>
      <c r="J23" s="41"/>
      <c r="K23" s="45"/>
      <c r="L23" s="45"/>
      <c r="M23" s="45"/>
      <c r="N23" s="45" t="str">
        <f t="shared" si="1"/>
        <v/>
      </c>
      <c r="O23" s="46" t="str">
        <f t="array" ref="O23">IFERROR(INDEX('Factor Analysis'!$G$4:$G$378,_xlfn.AGGREGATE(15,6,(ROW('Factor Analysis'!$F$4:$F$378)-ROW('Factor Analysis'!$F$4)+1)/('Factor Analysis'!$F$4:$F$378="DC"),19)),"")</f>
        <v/>
      </c>
      <c r="P23" s="47" t="str">
        <f t="array" ref="P23">IFERROR(INDEX('Factor Analysis'!$A$4:$A$378,_xlfn.AGGREGATE(15,6,(ROW('Factor Analysis'!$F$4:$F$378)-ROW('Factor Analysis'!$F$4)+1)/('Factor Analysis'!$F$4:$F$378="DC"),19)),"")</f>
        <v/>
      </c>
      <c r="Q23" s="48"/>
      <c r="R23" s="49" t="str">
        <f t="array" ref="R23">IFERROR(INDEX('Factor Analysis'!$G$4:$G$378,_xlfn.AGGREGATE(15,6,(ROW('Factor Analysis'!$F$4:$F$378)-ROW('Factor Analysis'!$F$4)+1)/('Factor Analysis'!$F$4:$F$378="OE"),19)),"")</f>
        <v>CONVINCE commercial shipping of protected transit</v>
      </c>
      <c r="S23" s="49" t="str">
        <f t="array" ref="S23">IFERROR(INDEX('Factor Analysis'!$G$4:$G$378,_xlfn.AGGREGATE(15,6,(ROW('Factor Analysis'!$F$4:$F$378)-ROW('Factor Analysis'!$F$4)+1)/('Factor Analysis'!$F$4:$F$378="OA"),19)),"")</f>
        <v/>
      </c>
      <c r="T23" s="49" t="str">
        <f t="array" ref="T23">IFERROR(INDEX('Factor Analysis'!$G$4:$G$378,_xlfn.AGGREGATE(15,6,(ROW('Factor Analysis'!$F$4:$F$378)-ROW('Factor Analysis'!$F$4)+1)/('Factor Analysis'!$F$4:$F$378="RISK"),19)),"")</f>
        <v>Access denial turns operational design into aspiration</v>
      </c>
      <c r="U23" s="49" t="str">
        <f t="array" ref="U23">IFERROR(INDEX('Factor Analysis'!$G$4:$G$378,_xlfn.AGGREGATE(15,6,(ROW('Factor Analysis'!$F$4:$F$378)-ROW('Factor Analysis'!$F$4)+1)/('Factor Analysis'!$F$4:$F$378="CV"),19)),"")</f>
        <v>Terror camps are operational and legitimacy vulnerabilities</v>
      </c>
      <c r="V23" s="49" t="str">
        <f t="array" ref="V23">IFERROR(INDEX('Factor Analysis'!$G$4:$G$378,_xlfn.AGGREGATE(15,6,(ROW('Factor Analysis'!$F$4:$F$378)-ROW('Factor Analysis'!$F$4)+1)/('Factor Analysis'!$F$4:$F$378="COR"),19)),"")</f>
        <v>Include health risk in force protection and HA planning</v>
      </c>
      <c r="W23" s="49" t="str">
        <f t="array" ref="W23">IFERROR(INDEX('Factor Analysis'!$G$4:$G$378,_xlfn.AGGREGATE(15,6,(ROW('Factor Analysis'!$F$4:$F$378)-ROW('Factor Analysis'!$F$4)+1)/('Factor Analysis'!$F$4:$F$378="REQT"),19)),"")</f>
        <v>MPA, ASW, MCM, EOD, harbour protection required</v>
      </c>
      <c r="X23" s="49" t="str">
        <f t="array" ref="X23">IFERROR(INDEX('Factor Analysis'!$G$4:$G$378,_xlfn.AGGREGATE(15,6,(ROW('Factor Analysis'!$F$4:$F$378)-ROW('Factor Analysis'!$F$4)+1)/('Factor Analysis'!$F$4:$F$378="REST"),19)),"")</f>
        <v/>
      </c>
      <c r="Y23" s="49" t="str">
        <f t="array" ref="Y23">IFERROR(INDEX('Factor Analysis'!$G$4:$G$378,_xlfn.AGGREGATE(15,6,(ROW('Factor Analysis'!$F$4:$F$378)-ROW('Factor Analysis'!$F$4)+1)/('Factor Analysis'!$F$4:$F$378="KCD-MUST"),19)),"")</f>
        <v>Protect SPOD/APOD approaches before force flow</v>
      </c>
      <c r="Z23" s="49" t="str">
        <f t="array" ref="Z23">IFERROR(INDEX('Factor Analysis'!$G$4:$G$378,_xlfn.AGGREGATE(15,6,(ROW('Factor Analysis'!$F$4:$F$378)-ROW('Factor Analysis'!$F$4)+1)/('Factor Analysis'!$F$4:$F$378="KCD-SHOULD"),19)),"")</f>
        <v>Use law-enforcement tools where military action is excessive</v>
      </c>
      <c r="AA23" s="49" t="str">
        <f t="array" ref="AA23">IFERROR(INDEX('Factor Analysis'!$G$4:$G$378,_xlfn.AGGREGATE(15,6,(ROW('Factor Analysis'!$F$4:$F$378)-ROW('Factor Analysis'!$F$4)+1)/('Factor Analysis'!$F$4:$F$378="KCD-SHOULD NOT"),19)),"")</f>
        <v/>
      </c>
      <c r="AB23" s="49" t="str">
        <f t="array" ref="AB23">IFERROR(INDEX('Factor Analysis'!$G$4:$G$378,_xlfn.AGGREGATE(15,6,(ROW('Factor Analysis'!$F$4:$F$378)-ROW('Factor Analysis'!$F$4)+1)/('Factor Analysis'!$F$4:$F$378="KCD-CANNOT"),19)),"")</f>
        <v/>
      </c>
      <c r="AC23" s="49" t="str">
        <f t="array" ref="AC23">IFERROR(INDEX('Factor Analysis'!$G$4:$G$378,_xlfn.AGGREGATE(15,6,(ROW('Factor Analysis'!$F$4:$F$378)-ROW('Factor Analysis'!$F$4)+1)/('Factor Analysis'!$F$4:$F$378="DECISION"),19)),"")</f>
        <v>Population movement that blocks MSRs or crosses straits</v>
      </c>
      <c r="AD23" s="49" t="str">
        <f t="array" ref="AD23">IFERROR(INDEX('Factor Analysis'!$G$4:$G$378,_xlfn.AGGREGATE(15,6,(ROW('Factor Analysis'!$F$4:$F$378)-ROW('Factor Analysis'!$F$4)+1)/('Factor Analysis'!$F$4:$F$378="ASSUMPTION"),19)),"")</f>
        <v/>
      </c>
      <c r="AE23" s="49" t="str">
        <f t="array" ref="AE23">IFERROR(INDEX('Factor Analysis'!$G$4:$G$378,_xlfn.AGGREGATE(15,6,(ROW('Factor Analysis'!$F$4:$F$378)-ROW('Factor Analysis'!$F$4)+1)/('Factor Analysis'!$F$4:$F$378="CONSTRAINT"),19)),"")</f>
        <v/>
      </c>
      <c r="AF23" s="49" t="str">
        <f t="array" ref="AF23">IFERROR(INDEX('Factor Analysis'!$G$4:$G$378,_xlfn.AGGREGATE(15,6,(ROW('Factor Analysis'!$F$4:$F$378)-ROW('Factor Analysis'!$F$4)+1)/('Factor Analysis'!$F$4:$F$378="LIMITATION"),19)),"")</f>
        <v/>
      </c>
      <c r="AG23" s="49" t="str">
        <f t="array" ref="AG23">IFERROR(INDEX('Factor Analysis'!$G$4:$G$378,_xlfn.AGGREGATE(15,6,(ROW('Factor Analysis'!$F$4:$F$378)-ROW('Factor Analysis'!$F$4)+1)/('Factor Analysis'!$F$4:$F$378="CC"),19)),"")</f>
        <v/>
      </c>
      <c r="AH23" s="49" t="str">
        <f t="array" ref="AH23">IFERROR(INDEX('Factor Analysis'!$G$4:$G$378,_xlfn.AGGREGATE(15,6,(ROW('Factor Analysis'!$F$4:$F$378)-ROW('Factor Analysis'!$F$4)+1)/('Factor Analysis'!$F$4:$F$378="CR"),19)),"")</f>
        <v/>
      </c>
      <c r="AI23" s="92" t="str">
        <f t="array" ref="AI23">IFERROR(INDEX('Factor Analysis'!$G$4:$G$378,_xlfn.AGGREGATE(15,6,(ROW('Factor Analysis'!$F$4:$F$378)-ROW('Factor Analysis'!$F$4)+1)/('Factor Analysis'!$F$4:$F$378="PCS"),19)),"")</f>
        <v/>
      </c>
    </row>
    <row r="24" spans="1:35" ht="39.75" customHeight="1">
      <c r="A24" s="38"/>
      <c r="B24" s="39" t="str">
        <f t="array" ref="B24">IFERROR(INDEX('Factor Analysis'!$G$4:$G$378,_xlfn.AGGREGATE(15,6,(ROW('Factor Analysis'!$F$4:$F$378)-ROW('Factor Analysis'!$F$4)+1)/('Factor Analysis'!$F$4:$F$378="MSO"),20)),"")</f>
        <v/>
      </c>
      <c r="C24" s="40" t="str">
        <f t="array" ref="C24">IFERROR(INDEX('Factor Analysis'!$A$4:$A$378,_xlfn.AGGREGATE(15,6,(ROW('Factor Analysis'!$F$4:$F$378)-ROW('Factor Analysis'!$F$4)+1)/('Factor Analysis'!$F$4:$F$378="MSO"),20)),"")</f>
        <v/>
      </c>
      <c r="D24" s="41"/>
      <c r="E24" s="42"/>
      <c r="F24" s="42"/>
      <c r="G24" s="42" t="str">
        <f t="shared" si="0"/>
        <v/>
      </c>
      <c r="H24" s="43" t="str">
        <f t="array" ref="H24">IFERROR(INDEX('Factor Analysis'!$G$4:$G$378,_xlfn.AGGREGATE(15,6,(ROW('Factor Analysis'!$F$4:$F$378)-ROW('Factor Analysis'!$F$4)+1)/('Factor Analysis'!$F$4:$F$378="OO"),20)),"")</f>
        <v/>
      </c>
      <c r="I24" s="44" t="str">
        <f t="array" ref="I24">IFERROR(INDEX('Factor Analysis'!$A$4:$A$378,_xlfn.AGGREGATE(15,6,(ROW('Factor Analysis'!$F$4:$F$378)-ROW('Factor Analysis'!$F$4)+1)/('Factor Analysis'!$F$4:$F$378="OO"),20)),"")</f>
        <v/>
      </c>
      <c r="J24" s="41"/>
      <c r="K24" s="45"/>
      <c r="L24" s="45"/>
      <c r="M24" s="45"/>
      <c r="N24" s="45" t="str">
        <f t="shared" si="1"/>
        <v/>
      </c>
      <c r="O24" s="46" t="str">
        <f t="array" ref="O24">IFERROR(INDEX('Factor Analysis'!$G$4:$G$378,_xlfn.AGGREGATE(15,6,(ROW('Factor Analysis'!$F$4:$F$378)-ROW('Factor Analysis'!$F$4)+1)/('Factor Analysis'!$F$4:$F$378="DC"),20)),"")</f>
        <v/>
      </c>
      <c r="P24" s="47" t="str">
        <f t="array" ref="P24">IFERROR(INDEX('Factor Analysis'!$A$4:$A$378,_xlfn.AGGREGATE(15,6,(ROW('Factor Analysis'!$F$4:$F$378)-ROW('Factor Analysis'!$F$4)+1)/('Factor Analysis'!$F$4:$F$378="DC"),20)),"")</f>
        <v/>
      </c>
      <c r="Q24" s="48"/>
      <c r="R24" s="49" t="str">
        <f t="array" ref="R24">IFERROR(INDEX('Factor Analysis'!$G$4:$G$378,_xlfn.AGGREGATE(15,6,(ROW('Factor Analysis'!$F$4:$F$378)-ROW('Factor Analysis'!$F$4)+1)/('Factor Analysis'!$F$4:$F$378="OE"),20)),"")</f>
        <v/>
      </c>
      <c r="S24" s="49" t="str">
        <f t="array" ref="S24">IFERROR(INDEX('Factor Analysis'!$G$4:$G$378,_xlfn.AGGREGATE(15,6,(ROW('Factor Analysis'!$F$4:$F$378)-ROW('Factor Analysis'!$F$4)+1)/('Factor Analysis'!$F$4:$F$378="OA"),20)),"")</f>
        <v/>
      </c>
      <c r="T24" s="49" t="str">
        <f t="array" ref="T24">IFERROR(INDEX('Factor Analysis'!$G$4:$G$378,_xlfn.AGGREGATE(15,6,(ROW('Factor Analysis'!$F$4:$F$378)-ROW('Factor Analysis'!$F$4)+1)/('Factor Analysis'!$F$4:$F$378="RISK"),20)),"")</f>
        <v>Over-ambitious early objectives create failure narrative</v>
      </c>
      <c r="U24" s="49" t="str">
        <f t="array" ref="U24">IFERROR(INDEX('Factor Analysis'!$G$4:$G$378,_xlfn.AGGREGATE(15,6,(ROW('Factor Analysis'!$F$4:$F$378)-ROW('Factor Analysis'!$F$4)+1)/('Factor Analysis'!$F$4:$F$378="CV"),20)),"")</f>
        <v>ISIL/JI association discredits IRS independence narrative</v>
      </c>
      <c r="V24" s="49" t="str">
        <f t="array" ref="V24">IFERROR(INDEX('Factor Analysis'!$G$4:$G$378,_xlfn.AGGREGATE(15,6,(ROW('Factor Analysis'!$F$4:$F$378)-ROW('Factor Analysis'!$F$4)+1)/('Factor Analysis'!$F$4:$F$378="COR"),20)),"")</f>
        <v>Target C2, logistics and influence rather than chase militia</v>
      </c>
      <c r="W24" s="49" t="str">
        <f t="array" ref="W24">IFERROR(INDEX('Factor Analysis'!$G$4:$G$378,_xlfn.AGGREGATE(15,6,(ROW('Factor Analysis'!$F$4:$F$378)-ROW('Factor Analysis'!$F$4)+1)/('Factor Analysis'!$F$4:$F$378="REQT"),20)),"")</f>
        <v>Recognised maritime picture and legal adviser embedded</v>
      </c>
      <c r="X24" s="49" t="str">
        <f t="array" ref="X24">IFERROR(INDEX('Factor Analysis'!$G$4:$G$378,_xlfn.AGGREGATE(15,6,(ROW('Factor Analysis'!$F$4:$F$378)-ROW('Factor Analysis'!$F$4)+1)/('Factor Analysis'!$F$4:$F$378="REST"),20)),"")</f>
        <v/>
      </c>
      <c r="Y24" s="49" t="str">
        <f t="array" ref="Y24">IFERROR(INDEX('Factor Analysis'!$G$4:$G$378,_xlfn.AGGREGATE(15,6,(ROW('Factor Analysis'!$F$4:$F$378)-ROW('Factor Analysis'!$F$4)+1)/('Factor Analysis'!$F$4:$F$378="KCD-MUST"),20)),"")</f>
        <v>Deconflict fires with commercial traffic continuously</v>
      </c>
      <c r="Z24" s="49" t="str">
        <f t="array" ref="Z24">IFERROR(INDEX('Factor Analysis'!$G$4:$G$378,_xlfn.AGGREGATE(15,6,(ROW('Factor Analysis'!$F$4:$F$378)-ROW('Factor Analysis'!$F$4)+1)/('Factor Analysis'!$F$4:$F$378="KCD-SHOULD"),20)),"")</f>
        <v>Use facts from clearance operations, not reassurance alone</v>
      </c>
      <c r="AA24" s="49" t="str">
        <f t="array" ref="AA24">IFERROR(INDEX('Factor Analysis'!$G$4:$G$378,_xlfn.AGGREGATE(15,6,(ROW('Factor Analysis'!$F$4:$F$378)-ROW('Factor Analysis'!$F$4)+1)/('Factor Analysis'!$F$4:$F$378="KCD-SHOULD NOT"),20)),"")</f>
        <v/>
      </c>
      <c r="AB24" s="49" t="str">
        <f t="array" ref="AB24">IFERROR(INDEX('Factor Analysis'!$G$4:$G$378,_xlfn.AGGREGATE(15,6,(ROW('Factor Analysis'!$F$4:$F$378)-ROW('Factor Analysis'!$F$4)+1)/('Factor Analysis'!$F$4:$F$378="KCD-CANNOT"),20)),"")</f>
        <v/>
      </c>
      <c r="AC24" s="49" t="str">
        <f t="array" ref="AC24">IFERROR(INDEX('Factor Analysis'!$G$4:$G$378,_xlfn.AGGREGATE(15,6,(ROW('Factor Analysis'!$F$4:$F$378)-ROW('Factor Analysis'!$F$4)+1)/('Factor Analysis'!$F$4:$F$378="DECISION"),20)),"")</f>
        <v>COM must choose main effort by phase</v>
      </c>
      <c r="AD24" s="49" t="str">
        <f t="array" ref="AD24">IFERROR(INDEX('Factor Analysis'!$G$4:$G$378,_xlfn.AGGREGATE(15,6,(ROW('Factor Analysis'!$F$4:$F$378)-ROW('Factor Analysis'!$F$4)+1)/('Factor Analysis'!$F$4:$F$378="ASSUMPTION"),20)),"")</f>
        <v/>
      </c>
      <c r="AE24" s="49" t="str">
        <f t="array" ref="AE24">IFERROR(INDEX('Factor Analysis'!$G$4:$G$378,_xlfn.AGGREGATE(15,6,(ROW('Factor Analysis'!$F$4:$F$378)-ROW('Factor Analysis'!$F$4)+1)/('Factor Analysis'!$F$4:$F$378="CONSTRAINT"),20)),"")</f>
        <v/>
      </c>
      <c r="AF24" s="49" t="str">
        <f t="array" ref="AF24">IFERROR(INDEX('Factor Analysis'!$G$4:$G$378,_xlfn.AGGREGATE(15,6,(ROW('Factor Analysis'!$F$4:$F$378)-ROW('Factor Analysis'!$F$4)+1)/('Factor Analysis'!$F$4:$F$378="LIMITATION"),20)),"")</f>
        <v/>
      </c>
      <c r="AG24" s="49" t="str">
        <f t="array" ref="AG24">IFERROR(INDEX('Factor Analysis'!$G$4:$G$378,_xlfn.AGGREGATE(15,6,(ROW('Factor Analysis'!$F$4:$F$378)-ROW('Factor Analysis'!$F$4)+1)/('Factor Analysis'!$F$4:$F$378="CC"),20)),"")</f>
        <v/>
      </c>
      <c r="AH24" s="49" t="str">
        <f t="array" ref="AH24">IFERROR(INDEX('Factor Analysis'!$G$4:$G$378,_xlfn.AGGREGATE(15,6,(ROW('Factor Analysis'!$F$4:$F$378)-ROW('Factor Analysis'!$F$4)+1)/('Factor Analysis'!$F$4:$F$378="CR"),20)),"")</f>
        <v/>
      </c>
      <c r="AI24" s="92" t="str">
        <f t="array" ref="AI24">IFERROR(INDEX('Factor Analysis'!$G$4:$G$378,_xlfn.AGGREGATE(15,6,(ROW('Factor Analysis'!$F$4:$F$378)-ROW('Factor Analysis'!$F$4)+1)/('Factor Analysis'!$F$4:$F$378="PCS"),20)),"")</f>
        <v/>
      </c>
    </row>
    <row r="25" spans="1:35" ht="39.75" customHeight="1">
      <c r="A25" s="38"/>
      <c r="B25" s="39" t="str">
        <f t="array" ref="B25">IFERROR(INDEX('Factor Analysis'!$G$4:$G$378,_xlfn.AGGREGATE(15,6,(ROW('Factor Analysis'!$F$4:$F$378)-ROW('Factor Analysis'!$F$4)+1)/('Factor Analysis'!$F$4:$F$378="MSO"),21)),"")</f>
        <v/>
      </c>
      <c r="C25" s="40" t="str">
        <f t="array" ref="C25">IFERROR(INDEX('Factor Analysis'!$A$4:$A$378,_xlfn.AGGREGATE(15,6,(ROW('Factor Analysis'!$F$4:$F$378)-ROW('Factor Analysis'!$F$4)+1)/('Factor Analysis'!$F$4:$F$378="MSO"),21)),"")</f>
        <v/>
      </c>
      <c r="D25" s="41"/>
      <c r="E25" s="42"/>
      <c r="F25" s="42"/>
      <c r="G25" s="42" t="str">
        <f t="shared" si="0"/>
        <v/>
      </c>
      <c r="H25" s="43" t="str">
        <f t="array" ref="H25">IFERROR(INDEX('Factor Analysis'!$G$4:$G$378,_xlfn.AGGREGATE(15,6,(ROW('Factor Analysis'!$F$4:$F$378)-ROW('Factor Analysis'!$F$4)+1)/('Factor Analysis'!$F$4:$F$378="OO"),21)),"")</f>
        <v/>
      </c>
      <c r="I25" s="44" t="str">
        <f t="array" ref="I25">IFERROR(INDEX('Factor Analysis'!$A$4:$A$378,_xlfn.AGGREGATE(15,6,(ROW('Factor Analysis'!$F$4:$F$378)-ROW('Factor Analysis'!$F$4)+1)/('Factor Analysis'!$F$4:$F$378="OO"),21)),"")</f>
        <v/>
      </c>
      <c r="J25" s="41"/>
      <c r="K25" s="45"/>
      <c r="L25" s="45"/>
      <c r="M25" s="45"/>
      <c r="N25" s="45" t="str">
        <f t="shared" si="1"/>
        <v/>
      </c>
      <c r="O25" s="46" t="str">
        <f t="array" ref="O25">IFERROR(INDEX('Factor Analysis'!$G$4:$G$378,_xlfn.AGGREGATE(15,6,(ROW('Factor Analysis'!$F$4:$F$378)-ROW('Factor Analysis'!$F$4)+1)/('Factor Analysis'!$F$4:$F$378="DC"),21)),"")</f>
        <v/>
      </c>
      <c r="P25" s="47" t="str">
        <f t="array" ref="P25">IFERROR(INDEX('Factor Analysis'!$A$4:$A$378,_xlfn.AGGREGATE(15,6,(ROW('Factor Analysis'!$F$4:$F$378)-ROW('Factor Analysis'!$F$4)+1)/('Factor Analysis'!$F$4:$F$378="DC"),21)),"")</f>
        <v/>
      </c>
      <c r="Q25" s="48"/>
      <c r="R25" s="49" t="str">
        <f t="array" ref="R25">IFERROR(INDEX('Factor Analysis'!$G$4:$G$378,_xlfn.AGGREGATE(15,6,(ROW('Factor Analysis'!$F$4:$F$378)-ROW('Factor Analysis'!$F$4)+1)/('Factor Analysis'!$F$4:$F$378="OE"),21)),"")</f>
        <v/>
      </c>
      <c r="S25" s="49" t="str">
        <f t="array" ref="S25">IFERROR(INDEX('Factor Analysis'!$G$4:$G$378,_xlfn.AGGREGATE(15,6,(ROW('Factor Analysis'!$F$4:$F$378)-ROW('Factor Analysis'!$F$4)+1)/('Factor Analysis'!$F$4:$F$378="OA"),21)),"")</f>
        <v/>
      </c>
      <c r="T25" s="49" t="str">
        <f t="array" ref="T25">IFERROR(INDEX('Factor Analysis'!$G$4:$G$378,_xlfn.AGGREGATE(15,6,(ROW('Factor Analysis'!$F$4:$F$378)-ROW('Factor Analysis'!$F$4)+1)/('Factor Analysis'!$F$4:$F$378="RISK"),21)),"")</f>
        <v>Logistics congestion creates predictable target sets</v>
      </c>
      <c r="U25" s="49" t="str">
        <f t="array" ref="U25">IFERROR(INDEX('Factor Analysis'!$G$4:$G$378,_xlfn.AGGREGATE(15,6,(ROW('Factor Analysis'!$F$4:$F$378)-ROW('Factor Analysis'!$F$4)+1)/('Factor Analysis'!$F$4:$F$378="CV"),21)),"")</f>
        <v>Terror network exceeds Sumatra JOA boundaries</v>
      </c>
      <c r="V25" s="49" t="str">
        <f t="array" ref="V25">IFERROR(INDEX('Factor Analysis'!$G$4:$G$378,_xlfn.AGGREGATE(15,6,(ROW('Factor Analysis'!$F$4:$F$378)-ROW('Factor Analysis'!$F$4)+1)/('Factor Analysis'!$F$4:$F$378="COR"),21)),"")</f>
        <v>Suppress the integrated kill chain, not just individual platform categories</v>
      </c>
      <c r="W25" s="49" t="str">
        <f t="array" ref="W25">IFERROR(INDEX('Factor Analysis'!$G$4:$G$378,_xlfn.AGGREGATE(15,6,(ROW('Factor Analysis'!$F$4:$F$378)-ROW('Factor Analysis'!$F$4)+1)/('Factor Analysis'!$F$4:$F$378="REQT"),21)),"")</f>
        <v>SOF, HUMINT, ISR, CT legal authorities and GoIND partner liaison required</v>
      </c>
      <c r="X25" s="49" t="str">
        <f t="array" ref="X25">IFERROR(INDEX('Factor Analysis'!$G$4:$G$378,_xlfn.AGGREGATE(15,6,(ROW('Factor Analysis'!$F$4:$F$378)-ROW('Factor Analysis'!$F$4)+1)/('Factor Analysis'!$F$4:$F$378="REST"),21)),"")</f>
        <v/>
      </c>
      <c r="Y25" s="49" t="str">
        <f t="array" ref="Y25">IFERROR(INDEX('Factor Analysis'!$G$4:$G$378,_xlfn.AGGREGATE(15,6,(ROW('Factor Analysis'!$F$4:$F$378)-ROW('Factor Analysis'!$F$4)+1)/('Factor Analysis'!$F$4:$F$378="KCD-MUST"),21)),"")</f>
        <v>Contain terrorist exploitation without making it the whole war</v>
      </c>
      <c r="Z25" s="49" t="str">
        <f t="array" ref="Z25">IFERROR(INDEX('Factor Analysis'!$G$4:$G$378,_xlfn.AGGREGATE(15,6,(ROW('Factor Analysis'!$F$4:$F$378)-ROW('Factor Analysis'!$F$4)+1)/('Factor Analysis'!$F$4:$F$378="KCD-SHOULD"),21)),"")</f>
        <v>Target Razil corruption and criminal patronage before attacking Hasan directly</v>
      </c>
      <c r="AA25" s="49" t="str">
        <f t="array" ref="AA25">IFERROR(INDEX('Factor Analysis'!$G$4:$G$378,_xlfn.AGGREGATE(15,6,(ROW('Factor Analysis'!$F$4:$F$378)-ROW('Factor Analysis'!$F$4)+1)/('Factor Analysis'!$F$4:$F$378="KCD-SHOULD NOT"),21)),"")</f>
        <v/>
      </c>
      <c r="AB25" s="49" t="str">
        <f t="array" ref="AB25">IFERROR(INDEX('Factor Analysis'!$G$4:$G$378,_xlfn.AGGREGATE(15,6,(ROW('Factor Analysis'!$F$4:$F$378)-ROW('Factor Analysis'!$F$4)+1)/('Factor Analysis'!$F$4:$F$378="KCD-CANNOT"),21)),"")</f>
        <v/>
      </c>
      <c r="AC25" s="49" t="str">
        <f t="array" ref="AC25">IFERROR(INDEX('Factor Analysis'!$G$4:$G$378,_xlfn.AGGREGATE(15,6,(ROW('Factor Analysis'!$F$4:$F$378)-ROW('Factor Analysis'!$F$4)+1)/('Factor Analysis'!$F$4:$F$378="DECISION"),21)),"")</f>
        <v>Loss/degradation of C2, SATCOM or port management systems</v>
      </c>
      <c r="AD25" s="49" t="str">
        <f t="array" ref="AD25">IFERROR(INDEX('Factor Analysis'!$G$4:$G$378,_xlfn.AGGREGATE(15,6,(ROW('Factor Analysis'!$F$4:$F$378)-ROW('Factor Analysis'!$F$4)+1)/('Factor Analysis'!$F$4:$F$378="ASSUMPTION"),21)),"")</f>
        <v/>
      </c>
      <c r="AE25" s="49" t="str">
        <f t="array" ref="AE25">IFERROR(INDEX('Factor Analysis'!$G$4:$G$378,_xlfn.AGGREGATE(15,6,(ROW('Factor Analysis'!$F$4:$F$378)-ROW('Factor Analysis'!$F$4)+1)/('Factor Analysis'!$F$4:$F$378="CONSTRAINT"),21)),"")</f>
        <v/>
      </c>
      <c r="AF25" s="49" t="str">
        <f t="array" ref="AF25">IFERROR(INDEX('Factor Analysis'!$G$4:$G$378,_xlfn.AGGREGATE(15,6,(ROW('Factor Analysis'!$F$4:$F$378)-ROW('Factor Analysis'!$F$4)+1)/('Factor Analysis'!$F$4:$F$378="LIMITATION"),21)),"")</f>
        <v/>
      </c>
      <c r="AG25" s="49" t="str">
        <f t="array" ref="AG25">IFERROR(INDEX('Factor Analysis'!$G$4:$G$378,_xlfn.AGGREGATE(15,6,(ROW('Factor Analysis'!$F$4:$F$378)-ROW('Factor Analysis'!$F$4)+1)/('Factor Analysis'!$F$4:$F$378="CC"),21)),"")</f>
        <v/>
      </c>
      <c r="AH25" s="49" t="str">
        <f t="array" ref="AH25">IFERROR(INDEX('Factor Analysis'!$G$4:$G$378,_xlfn.AGGREGATE(15,6,(ROW('Factor Analysis'!$F$4:$F$378)-ROW('Factor Analysis'!$F$4)+1)/('Factor Analysis'!$F$4:$F$378="CR"),21)),"")</f>
        <v/>
      </c>
      <c r="AI25" s="92" t="str">
        <f t="array" ref="AI25">IFERROR(INDEX('Factor Analysis'!$G$4:$G$378,_xlfn.AGGREGATE(15,6,(ROW('Factor Analysis'!$F$4:$F$378)-ROW('Factor Analysis'!$F$4)+1)/('Factor Analysis'!$F$4:$F$378="PCS"),21)),"")</f>
        <v/>
      </c>
    </row>
    <row r="26" spans="1:35" ht="39.75" customHeight="1">
      <c r="A26" s="38"/>
      <c r="B26" s="39" t="str">
        <f t="array" ref="B26">IFERROR(INDEX('Factor Analysis'!$G$4:$G$378,_xlfn.AGGREGATE(15,6,(ROW('Factor Analysis'!$F$4:$F$378)-ROW('Factor Analysis'!$F$4)+1)/('Factor Analysis'!$F$4:$F$378="MSO"),22)),"")</f>
        <v/>
      </c>
      <c r="C26" s="40" t="str">
        <f t="array" ref="C26">IFERROR(INDEX('Factor Analysis'!$A$4:$A$378,_xlfn.AGGREGATE(15,6,(ROW('Factor Analysis'!$F$4:$F$378)-ROW('Factor Analysis'!$F$4)+1)/('Factor Analysis'!$F$4:$F$378="MSO"),22)),"")</f>
        <v/>
      </c>
      <c r="D26" s="41"/>
      <c r="E26" s="42"/>
      <c r="F26" s="42"/>
      <c r="G26" s="42" t="str">
        <f t="shared" si="0"/>
        <v/>
      </c>
      <c r="H26" s="43" t="str">
        <f t="array" ref="H26">IFERROR(INDEX('Factor Analysis'!$G$4:$G$378,_xlfn.AGGREGATE(15,6,(ROW('Factor Analysis'!$F$4:$F$378)-ROW('Factor Analysis'!$F$4)+1)/('Factor Analysis'!$F$4:$F$378="OO"),22)),"")</f>
        <v/>
      </c>
      <c r="I26" s="44" t="str">
        <f t="array" ref="I26">IFERROR(INDEX('Factor Analysis'!$A$4:$A$378,_xlfn.AGGREGATE(15,6,(ROW('Factor Analysis'!$F$4:$F$378)-ROW('Factor Analysis'!$F$4)+1)/('Factor Analysis'!$F$4:$F$378="OO"),22)),"")</f>
        <v/>
      </c>
      <c r="J26" s="41"/>
      <c r="K26" s="45"/>
      <c r="L26" s="45"/>
      <c r="M26" s="45"/>
      <c r="N26" s="45" t="str">
        <f t="shared" si="1"/>
        <v/>
      </c>
      <c r="O26" s="46" t="str">
        <f t="array" ref="O26">IFERROR(INDEX('Factor Analysis'!$G$4:$G$378,_xlfn.AGGREGATE(15,6,(ROW('Factor Analysis'!$F$4:$F$378)-ROW('Factor Analysis'!$F$4)+1)/('Factor Analysis'!$F$4:$F$378="DC"),22)),"")</f>
        <v/>
      </c>
      <c r="P26" s="47" t="str">
        <f t="array" ref="P26">IFERROR(INDEX('Factor Analysis'!$A$4:$A$378,_xlfn.AGGREGATE(15,6,(ROW('Factor Analysis'!$F$4:$F$378)-ROW('Factor Analysis'!$F$4)+1)/('Factor Analysis'!$F$4:$F$378="DC"),22)),"")</f>
        <v/>
      </c>
      <c r="Q26" s="48"/>
      <c r="R26" s="49" t="str">
        <f t="array" ref="R26">IFERROR(INDEX('Factor Analysis'!$G$4:$G$378,_xlfn.AGGREGATE(15,6,(ROW('Factor Analysis'!$F$4:$F$378)-ROW('Factor Analysis'!$F$4)+1)/('Factor Analysis'!$F$4:$F$378="OE"),22)),"")</f>
        <v/>
      </c>
      <c r="S26" s="49" t="str">
        <f t="array" ref="S26">IFERROR(INDEX('Factor Analysis'!$G$4:$G$378,_xlfn.AGGREGATE(15,6,(ROW('Factor Analysis'!$F$4:$F$378)-ROW('Factor Analysis'!$F$4)+1)/('Factor Analysis'!$F$4:$F$378="OA"),22)),"")</f>
        <v/>
      </c>
      <c r="T26" s="49" t="str">
        <f t="array" ref="T26">IFERROR(INDEX('Factor Analysis'!$G$4:$G$378,_xlfn.AGGREGATE(15,6,(ROW('Factor Analysis'!$F$4:$F$378)-ROW('Factor Analysis'!$F$4)+1)/('Factor Analysis'!$F$4:$F$378="RISK"),22)),"")</f>
        <v>Insurance shock achieves IRS aim without further attacks</v>
      </c>
      <c r="U26" s="49" t="str">
        <f t="array" ref="U26">IFERROR(INDEX('Factor Analysis'!$G$4:$G$378,_xlfn.AGGREGATE(15,6,(ROW('Factor Analysis'!$F$4:$F$378)-ROW('Factor Analysis'!$F$4)+1)/('Factor Analysis'!$F$4:$F$378="CV"),22)),"")</f>
        <v>External support is a supply and legitimacy vulnerability</v>
      </c>
      <c r="V26" s="49" t="str">
        <f t="array" ref="V26">IFERROR(INDEX('Factor Analysis'!$G$4:$G$378,_xlfn.AGGREGATE(15,6,(ROW('Factor Analysis'!$F$4:$F$378)-ROW('Factor Analysis'!$F$4)+1)/('Factor Analysis'!$F$4:$F$378="COR"),22)),"")</f>
        <v>Establish ASW barriers and port approach clearance</v>
      </c>
      <c r="W26" s="49" t="str">
        <f t="array" ref="W26">IFERROR(INDEX('Factor Analysis'!$G$4:$G$378,_xlfn.AGGREGATE(15,6,(ROW('Factor Analysis'!$F$4:$F$378)-ROW('Factor Analysis'!$F$4)+1)/('Factor Analysis'!$F$4:$F$378="REQT"),22)),"")</f>
        <v>SOF, HUMINT, ISR, CT legal authorities and GoIND liaison required</v>
      </c>
      <c r="X26" s="49" t="str">
        <f t="array" ref="X26">IFERROR(INDEX('Factor Analysis'!$G$4:$G$378,_xlfn.AGGREGATE(15,6,(ROW('Factor Analysis'!$F$4:$F$378)-ROW('Factor Analysis'!$F$4)+1)/('Factor Analysis'!$F$4:$F$378="REST"),22)),"")</f>
        <v/>
      </c>
      <c r="Y26" s="49" t="str">
        <f t="array" ref="Y26">IFERROR(INDEX('Factor Analysis'!$G$4:$G$378,_xlfn.AGGREGATE(15,6,(ROW('Factor Analysis'!$F$4:$F$378)-ROW('Factor Analysis'!$F$4)+1)/('Factor Analysis'!$F$4:$F$378="KCD-MUST"),22)),"")</f>
        <v>Protect civilians and nationals during transition</v>
      </c>
      <c r="Z26" s="49" t="str">
        <f t="array" ref="Z26">IFERROR(INDEX('Factor Analysis'!$G$4:$G$378,_xlfn.AGGREGATE(15,6,(ROW('Factor Analysis'!$F$4:$F$378)-ROW('Factor Analysis'!$F$4)+1)/('Factor Analysis'!$F$4:$F$378="KCD-SHOULD"),22)),"")</f>
        <v>Target Razil and criminality before Hasan martyr narrative</v>
      </c>
      <c r="AA26" s="49" t="str">
        <f t="array" ref="AA26">IFERROR(INDEX('Factor Analysis'!$G$4:$G$378,_xlfn.AGGREGATE(15,6,(ROW('Factor Analysis'!$F$4:$F$378)-ROW('Factor Analysis'!$F$4)+1)/('Factor Analysis'!$F$4:$F$378="KCD-SHOULD NOT"),22)),"")</f>
        <v/>
      </c>
      <c r="AB26" s="49" t="str">
        <f t="array" ref="AB26">IFERROR(INDEX('Factor Analysis'!$G$4:$G$378,_xlfn.AGGREGATE(15,6,(ROW('Factor Analysis'!$F$4:$F$378)-ROW('Factor Analysis'!$F$4)+1)/('Factor Analysis'!$F$4:$F$378="KCD-CANNOT"),22)),"")</f>
        <v/>
      </c>
      <c r="AC26" s="49" t="str">
        <f t="array" ref="AC26">IFERROR(INDEX('Factor Analysis'!$G$4:$G$378,_xlfn.AGGREGATE(15,6,(ROW('Factor Analysis'!$F$4:$F$378)-ROW('Factor Analysis'!$F$4)+1)/('Factor Analysis'!$F$4:$F$378="DECISION"),22)),"")</f>
        <v>Commander approves MSO/OO/DC priority and risk acceptance</v>
      </c>
      <c r="AD26" s="49" t="str">
        <f t="array" ref="AD26">IFERROR(INDEX('Factor Analysis'!$G$4:$G$378,_xlfn.AGGREGATE(15,6,(ROW('Factor Analysis'!$F$4:$F$378)-ROW('Factor Analysis'!$F$4)+1)/('Factor Analysis'!$F$4:$F$378="ASSUMPTION"),22)),"")</f>
        <v/>
      </c>
      <c r="AE26" s="49" t="str">
        <f t="array" ref="AE26">IFERROR(INDEX('Factor Analysis'!$G$4:$G$378,_xlfn.AGGREGATE(15,6,(ROW('Factor Analysis'!$F$4:$F$378)-ROW('Factor Analysis'!$F$4)+1)/('Factor Analysis'!$F$4:$F$378="CONSTRAINT"),22)),"")</f>
        <v/>
      </c>
      <c r="AF26" s="49" t="str">
        <f t="array" ref="AF26">IFERROR(INDEX('Factor Analysis'!$G$4:$G$378,_xlfn.AGGREGATE(15,6,(ROW('Factor Analysis'!$F$4:$F$378)-ROW('Factor Analysis'!$F$4)+1)/('Factor Analysis'!$F$4:$F$378="LIMITATION"),22)),"")</f>
        <v/>
      </c>
      <c r="AG26" s="49" t="str">
        <f t="array" ref="AG26">IFERROR(INDEX('Factor Analysis'!$G$4:$G$378,_xlfn.AGGREGATE(15,6,(ROW('Factor Analysis'!$F$4:$F$378)-ROW('Factor Analysis'!$F$4)+1)/('Factor Analysis'!$F$4:$F$378="CC"),22)),"")</f>
        <v/>
      </c>
      <c r="AH26" s="49" t="str">
        <f t="array" ref="AH26">IFERROR(INDEX('Factor Analysis'!$G$4:$G$378,_xlfn.AGGREGATE(15,6,(ROW('Factor Analysis'!$F$4:$F$378)-ROW('Factor Analysis'!$F$4)+1)/('Factor Analysis'!$F$4:$F$378="CR"),22)),"")</f>
        <v/>
      </c>
      <c r="AI26" s="92" t="str">
        <f t="array" ref="AI26">IFERROR(INDEX('Factor Analysis'!$G$4:$G$378,_xlfn.AGGREGATE(15,6,(ROW('Factor Analysis'!$F$4:$F$378)-ROW('Factor Analysis'!$F$4)+1)/('Factor Analysis'!$F$4:$F$378="PCS"),22)),"")</f>
        <v/>
      </c>
    </row>
    <row r="27" spans="1:35" ht="39.75" customHeight="1">
      <c r="A27" s="38"/>
      <c r="B27" s="39" t="str">
        <f t="array" ref="B27">IFERROR(INDEX('Factor Analysis'!$G$4:$G$378,_xlfn.AGGREGATE(15,6,(ROW('Factor Analysis'!$F$4:$F$378)-ROW('Factor Analysis'!$F$4)+1)/('Factor Analysis'!$F$4:$F$378="MSO"),23)),"")</f>
        <v/>
      </c>
      <c r="C27" s="40" t="str">
        <f t="array" ref="C27">IFERROR(INDEX('Factor Analysis'!$A$4:$A$378,_xlfn.AGGREGATE(15,6,(ROW('Factor Analysis'!$F$4:$F$378)-ROW('Factor Analysis'!$F$4)+1)/('Factor Analysis'!$F$4:$F$378="MSO"),23)),"")</f>
        <v/>
      </c>
      <c r="D27" s="41"/>
      <c r="E27" s="42"/>
      <c r="F27" s="42"/>
      <c r="G27" s="42" t="str">
        <f t="shared" si="0"/>
        <v/>
      </c>
      <c r="H27" s="43" t="str">
        <f t="array" ref="H27">IFERROR(INDEX('Factor Analysis'!$G$4:$G$378,_xlfn.AGGREGATE(15,6,(ROW('Factor Analysis'!$F$4:$F$378)-ROW('Factor Analysis'!$F$4)+1)/('Factor Analysis'!$F$4:$F$378="OO"),23)),"")</f>
        <v/>
      </c>
      <c r="I27" s="44" t="str">
        <f t="array" ref="I27">IFERROR(INDEX('Factor Analysis'!$A$4:$A$378,_xlfn.AGGREGATE(15,6,(ROW('Factor Analysis'!$F$4:$F$378)-ROW('Factor Analysis'!$F$4)+1)/('Factor Analysis'!$F$4:$F$378="OO"),23)),"")</f>
        <v/>
      </c>
      <c r="J27" s="41"/>
      <c r="K27" s="45"/>
      <c r="L27" s="45"/>
      <c r="M27" s="45"/>
      <c r="N27" s="45" t="str">
        <f t="shared" si="1"/>
        <v/>
      </c>
      <c r="O27" s="46" t="str">
        <f t="array" ref="O27">IFERROR(INDEX('Factor Analysis'!$G$4:$G$378,_xlfn.AGGREGATE(15,6,(ROW('Factor Analysis'!$F$4:$F$378)-ROW('Factor Analysis'!$F$4)+1)/('Factor Analysis'!$F$4:$F$378="DC"),23)),"")</f>
        <v/>
      </c>
      <c r="P27" s="47" t="str">
        <f t="array" ref="P27">IFERROR(INDEX('Factor Analysis'!$A$4:$A$378,_xlfn.AGGREGATE(15,6,(ROW('Factor Analysis'!$F$4:$F$378)-ROW('Factor Analysis'!$F$4)+1)/('Factor Analysis'!$F$4:$F$378="DC"),23)),"")</f>
        <v/>
      </c>
      <c r="Q27" s="48"/>
      <c r="R27" s="49" t="str">
        <f t="array" ref="R27">IFERROR(INDEX('Factor Analysis'!$G$4:$G$378,_xlfn.AGGREGATE(15,6,(ROW('Factor Analysis'!$F$4:$F$378)-ROW('Factor Analysis'!$F$4)+1)/('Factor Analysis'!$F$4:$F$378="OE"),23)),"")</f>
        <v/>
      </c>
      <c r="S27" s="49" t="str">
        <f t="array" ref="S27">IFERROR(INDEX('Factor Analysis'!$G$4:$G$378,_xlfn.AGGREGATE(15,6,(ROW('Factor Analysis'!$F$4:$F$378)-ROW('Factor Analysis'!$F$4)+1)/('Factor Analysis'!$F$4:$F$378="OA"),23)),"")</f>
        <v/>
      </c>
      <c r="T27" s="49" t="str">
        <f t="array" ref="T27">IFERROR(INDEX('Factor Analysis'!$G$4:$G$378,_xlfn.AGGREGATE(15,6,(ROW('Factor Analysis'!$F$4:$F$378)-ROW('Factor Analysis'!$F$4)+1)/('Factor Analysis'!$F$4:$F$378="RISK"),23)),"")</f>
        <v>Uncoordinated actors create incidents IRS can exploit</v>
      </c>
      <c r="U27" s="49" t="str">
        <f t="array" ref="U27">IFERROR(INDEX('Factor Analysis'!$G$4:$G$378,_xlfn.AGGREGATE(15,6,(ROW('Factor Analysis'!$F$4:$F$378)-ROW('Factor Analysis'!$F$4)+1)/('Factor Analysis'!$F$4:$F$378="CV"),23)),"")</f>
        <v>NK-linked support is vulnerable to interdiction and exposure</v>
      </c>
      <c r="V27" s="49" t="str">
        <f t="array" ref="V27">IFERROR(INDEX('Factor Analysis'!$G$4:$G$378,_xlfn.AGGREGATE(15,6,(ROW('Factor Analysis'!$F$4:$F$378)-ROW('Factor Analysis'!$F$4)+1)/('Factor Analysis'!$F$4:$F$378="COR"),23)),"")</f>
        <v>Integrate ROE, identification and maritime traffic control</v>
      </c>
      <c r="W27" s="49" t="str">
        <f t="array" ref="W27">IFERROR(INDEX('Factor Analysis'!$G$4:$G$378,_xlfn.AGGREGATE(15,6,(ROW('Factor Analysis'!$F$4:$F$378)-ROW('Factor Analysis'!$F$4)+1)/('Factor Analysis'!$F$4:$F$378="REQT"),23)),"")</f>
        <v>EOD, CBRN awareness, medical and police coordination required</v>
      </c>
      <c r="X27" s="49" t="str">
        <f t="array" ref="X27">IFERROR(INDEX('Factor Analysis'!$G$4:$G$378,_xlfn.AGGREGATE(15,6,(ROW('Factor Analysis'!$F$4:$F$378)-ROW('Factor Analysis'!$F$4)+1)/('Factor Analysis'!$F$4:$F$378="REST"),23)),"")</f>
        <v/>
      </c>
      <c r="Y27" s="49" t="str">
        <f t="array" ref="Y27">IFERROR(INDEX('Factor Analysis'!$G$4:$G$378,_xlfn.AGGREGATE(15,6,(ROW('Factor Analysis'!$F$4:$F$378)-ROW('Factor Analysis'!$F$4)+1)/('Factor Analysis'!$F$4:$F$378="KCD-MUST"),23)),"")</f>
        <v>Interdict networks without creating state-on-state escalation</v>
      </c>
      <c r="Z27" s="49" t="str">
        <f t="array" ref="Z27">IFERROR(INDEX('Factor Analysis'!$G$4:$G$378,_xlfn.AGGREGATE(15,6,(ROW('Factor Analysis'!$F$4:$F$378)-ROW('Factor Analysis'!$F$4)+1)/('Factor Analysis'!$F$4:$F$378="KCD-SHOULD"),23)),"")</f>
        <v>Use isolation, warning and precision before urban action</v>
      </c>
      <c r="AA27" s="49" t="str">
        <f t="array" ref="AA27">IFERROR(INDEX('Factor Analysis'!$G$4:$G$378,_xlfn.AGGREGATE(15,6,(ROW('Factor Analysis'!$F$4:$F$378)-ROW('Factor Analysis'!$F$4)+1)/('Factor Analysis'!$F$4:$F$378="KCD-SHOULD NOT"),23)),"")</f>
        <v/>
      </c>
      <c r="AB27" s="49" t="str">
        <f t="array" ref="AB27">IFERROR(INDEX('Factor Analysis'!$G$4:$G$378,_xlfn.AGGREGATE(15,6,(ROW('Factor Analysis'!$F$4:$F$378)-ROW('Factor Analysis'!$F$4)+1)/('Factor Analysis'!$F$4:$F$378="KCD-CANNOT"),23)),"")</f>
        <v/>
      </c>
      <c r="AC27" s="49" t="str">
        <f t="array" ref="AC27">IFERROR(INDEX('Factor Analysis'!$G$4:$G$378,_xlfn.AGGREGATE(15,6,(ROW('Factor Analysis'!$F$4:$F$378)-ROW('Factor Analysis'!$F$4)+1)/('Factor Analysis'!$F$4:$F$378="DECISION"),23)),"")</f>
        <v/>
      </c>
      <c r="AD27" s="49" t="str">
        <f t="array" ref="AD27">IFERROR(INDEX('Factor Analysis'!$G$4:$G$378,_xlfn.AGGREGATE(15,6,(ROW('Factor Analysis'!$F$4:$F$378)-ROW('Factor Analysis'!$F$4)+1)/('Factor Analysis'!$F$4:$F$378="ASSUMPTION"),23)),"")</f>
        <v/>
      </c>
      <c r="AE27" s="49" t="str">
        <f t="array" ref="AE27">IFERROR(INDEX('Factor Analysis'!$G$4:$G$378,_xlfn.AGGREGATE(15,6,(ROW('Factor Analysis'!$F$4:$F$378)-ROW('Factor Analysis'!$F$4)+1)/('Factor Analysis'!$F$4:$F$378="CONSTRAINT"),23)),"")</f>
        <v/>
      </c>
      <c r="AF27" s="49" t="str">
        <f t="array" ref="AF27">IFERROR(INDEX('Factor Analysis'!$G$4:$G$378,_xlfn.AGGREGATE(15,6,(ROW('Factor Analysis'!$F$4:$F$378)-ROW('Factor Analysis'!$F$4)+1)/('Factor Analysis'!$F$4:$F$378="LIMITATION"),23)),"")</f>
        <v/>
      </c>
      <c r="AG27" s="49" t="str">
        <f t="array" ref="AG27">IFERROR(INDEX('Factor Analysis'!$G$4:$G$378,_xlfn.AGGREGATE(15,6,(ROW('Factor Analysis'!$F$4:$F$378)-ROW('Factor Analysis'!$F$4)+1)/('Factor Analysis'!$F$4:$F$378="CC"),23)),"")</f>
        <v/>
      </c>
      <c r="AH27" s="49" t="str">
        <f t="array" ref="AH27">IFERROR(INDEX('Factor Analysis'!$G$4:$G$378,_xlfn.AGGREGATE(15,6,(ROW('Factor Analysis'!$F$4:$F$378)-ROW('Factor Analysis'!$F$4)+1)/('Factor Analysis'!$F$4:$F$378="CR"),23)),"")</f>
        <v/>
      </c>
      <c r="AI27" s="92" t="str">
        <f t="array" ref="AI27">IFERROR(INDEX('Factor Analysis'!$G$4:$G$378,_xlfn.AGGREGATE(15,6,(ROW('Factor Analysis'!$F$4:$F$378)-ROW('Factor Analysis'!$F$4)+1)/('Factor Analysis'!$F$4:$F$378="PCS"),23)),"")</f>
        <v/>
      </c>
    </row>
    <row r="28" spans="1:35" ht="39.75" customHeight="1">
      <c r="A28" s="38"/>
      <c r="B28" s="39" t="str">
        <f t="array" ref="B28">IFERROR(INDEX('Factor Analysis'!$G$4:$G$378,_xlfn.AGGREGATE(15,6,(ROW('Factor Analysis'!$F$4:$F$378)-ROW('Factor Analysis'!$F$4)+1)/('Factor Analysis'!$F$4:$F$378="MSO"),24)),"")</f>
        <v/>
      </c>
      <c r="C28" s="40" t="str">
        <f t="array" ref="C28">IFERROR(INDEX('Factor Analysis'!$A$4:$A$378,_xlfn.AGGREGATE(15,6,(ROW('Factor Analysis'!$F$4:$F$378)-ROW('Factor Analysis'!$F$4)+1)/('Factor Analysis'!$F$4:$F$378="MSO"),24)),"")</f>
        <v/>
      </c>
      <c r="D28" s="41"/>
      <c r="E28" s="42"/>
      <c r="F28" s="42"/>
      <c r="G28" s="42" t="str">
        <f t="shared" si="0"/>
        <v/>
      </c>
      <c r="H28" s="43" t="str">
        <f t="array" ref="H28">IFERROR(INDEX('Factor Analysis'!$G$4:$G$378,_xlfn.AGGREGATE(15,6,(ROW('Factor Analysis'!$F$4:$F$378)-ROW('Factor Analysis'!$F$4)+1)/('Factor Analysis'!$F$4:$F$378="OO"),24)),"")</f>
        <v/>
      </c>
      <c r="I28" s="44" t="str">
        <f t="array" ref="I28">IFERROR(INDEX('Factor Analysis'!$A$4:$A$378,_xlfn.AGGREGATE(15,6,(ROW('Factor Analysis'!$F$4:$F$378)-ROW('Factor Analysis'!$F$4)+1)/('Factor Analysis'!$F$4:$F$378="OO"),24)),"")</f>
        <v/>
      </c>
      <c r="J28" s="41"/>
      <c r="K28" s="45"/>
      <c r="L28" s="45"/>
      <c r="M28" s="45"/>
      <c r="N28" s="45" t="str">
        <f t="shared" si="1"/>
        <v/>
      </c>
      <c r="O28" s="46" t="str">
        <f t="array" ref="O28">IFERROR(INDEX('Factor Analysis'!$G$4:$G$378,_xlfn.AGGREGATE(15,6,(ROW('Factor Analysis'!$F$4:$F$378)-ROW('Factor Analysis'!$F$4)+1)/('Factor Analysis'!$F$4:$F$378="DC"),24)),"")</f>
        <v/>
      </c>
      <c r="P28" s="47" t="str">
        <f t="array" ref="P28">IFERROR(INDEX('Factor Analysis'!$A$4:$A$378,_xlfn.AGGREGATE(15,6,(ROW('Factor Analysis'!$F$4:$F$378)-ROW('Factor Analysis'!$F$4)+1)/('Factor Analysis'!$F$4:$F$378="DC"),24)),"")</f>
        <v/>
      </c>
      <c r="Q28" s="48"/>
      <c r="R28" s="49" t="str">
        <f t="array" ref="R28">IFERROR(INDEX('Factor Analysis'!$G$4:$G$378,_xlfn.AGGREGATE(15,6,(ROW('Factor Analysis'!$F$4:$F$378)-ROW('Factor Analysis'!$F$4)+1)/('Factor Analysis'!$F$4:$F$378="OE"),24)),"")</f>
        <v/>
      </c>
      <c r="S28" s="49" t="str">
        <f t="array" ref="S28">IFERROR(INDEX('Factor Analysis'!$G$4:$G$378,_xlfn.AGGREGATE(15,6,(ROW('Factor Analysis'!$F$4:$F$378)-ROW('Factor Analysis'!$F$4)+1)/('Factor Analysis'!$F$4:$F$378="OA"),24)),"")</f>
        <v/>
      </c>
      <c r="T28" s="49" t="str">
        <f t="array" ref="T28">IFERROR(INDEX('Factor Analysis'!$G$4:$G$378,_xlfn.AGGREGATE(15,6,(ROW('Factor Analysis'!$F$4:$F$378)-ROW('Factor Analysis'!$F$4)+1)/('Factor Analysis'!$F$4:$F$378="RISK"),24)),"")</f>
        <v>Route-bound force is vulnerable to ambush and delay</v>
      </c>
      <c r="U28" s="49" t="str">
        <f t="array" ref="U28">IFERROR(INDEX('Factor Analysis'!$G$4:$G$378,_xlfn.AGGREGATE(15,6,(ROW('Factor Analysis'!$F$4:$F$378)-ROW('Factor Analysis'!$F$4)+1)/('Factor Analysis'!$F$4:$F$378="CV"),24)),"")</f>
        <v>Criminal logistics are transactional and exploitable</v>
      </c>
      <c r="V28" s="49" t="str">
        <f t="array" ref="V28">IFERROR(INDEX('Factor Analysis'!$G$4:$G$378,_xlfn.AGGREGATE(15,6,(ROW('Factor Analysis'!$F$4:$F$378)-ROW('Factor Analysis'!$F$4)+1)/('Factor Analysis'!$F$4:$F$378="COR"),24)),"")</f>
        <v>Contain terrorist capacity without making CT the operational main effort</v>
      </c>
      <c r="W28" s="49" t="str">
        <f t="array" ref="W28">IFERROR(INDEX('Factor Analysis'!$G$4:$G$378,_xlfn.AGGREGATE(15,6,(ROW('Factor Analysis'!$F$4:$F$378)-ROW('Factor Analysis'!$F$4)+1)/('Factor Analysis'!$F$4:$F$378="REQT"),24)),"")</f>
        <v>Partner intel, law-enforcement and ASEAN liaison required</v>
      </c>
      <c r="X28" s="49" t="str">
        <f t="array" ref="X28">IFERROR(INDEX('Factor Analysis'!$G$4:$G$378,_xlfn.AGGREGATE(15,6,(ROW('Factor Analysis'!$F$4:$F$378)-ROW('Factor Analysis'!$F$4)+1)/('Factor Analysis'!$F$4:$F$378="REST"),24)),"")</f>
        <v/>
      </c>
      <c r="Y28" s="49" t="str">
        <f t="array" ref="Y28">IFERROR(INDEX('Factor Analysis'!$G$4:$G$378,_xlfn.AGGREGATE(15,6,(ROW('Factor Analysis'!$F$4:$F$378)-ROW('Factor Analysis'!$F$4)+1)/('Factor Analysis'!$F$4:$F$378="KCD-MUST"),24)),"")</f>
        <v>Protect command and logistics data from first deployment</v>
      </c>
      <c r="Z28" s="49" t="str">
        <f t="array" ref="Z28">IFERROR(INDEX('Factor Analysis'!$G$4:$G$378,_xlfn.AGGREGATE(15,6,(ROW('Factor Analysis'!$F$4:$F$378)-ROW('Factor Analysis'!$F$4)+1)/('Factor Analysis'!$F$4:$F$378="KCD-SHOULD"),24)),"")</f>
        <v>Let HA actors lead needs assessment where feasible</v>
      </c>
      <c r="AA28" s="49" t="str">
        <f t="array" ref="AA28">IFERROR(INDEX('Factor Analysis'!$G$4:$G$378,_xlfn.AGGREGATE(15,6,(ROW('Factor Analysis'!$F$4:$F$378)-ROW('Factor Analysis'!$F$4)+1)/('Factor Analysis'!$F$4:$F$378="KCD-SHOULD NOT"),24)),"")</f>
        <v/>
      </c>
      <c r="AB28" s="49" t="str">
        <f t="array" ref="AB28">IFERROR(INDEX('Factor Analysis'!$G$4:$G$378,_xlfn.AGGREGATE(15,6,(ROW('Factor Analysis'!$F$4:$F$378)-ROW('Factor Analysis'!$F$4)+1)/('Factor Analysis'!$F$4:$F$378="KCD-CANNOT"),24)),"")</f>
        <v/>
      </c>
      <c r="AC28" s="49" t="str">
        <f t="array" ref="AC28">IFERROR(INDEX('Factor Analysis'!$G$4:$G$378,_xlfn.AGGREGATE(15,6,(ROW('Factor Analysis'!$F$4:$F$378)-ROW('Factor Analysis'!$F$4)+1)/('Factor Analysis'!$F$4:$F$378="DECISION"),24)),"")</f>
        <v/>
      </c>
      <c r="AD28" s="49" t="str">
        <f t="array" ref="AD28">IFERROR(INDEX('Factor Analysis'!$G$4:$G$378,_xlfn.AGGREGATE(15,6,(ROW('Factor Analysis'!$F$4:$F$378)-ROW('Factor Analysis'!$F$4)+1)/('Factor Analysis'!$F$4:$F$378="ASSUMPTION"),24)),"")</f>
        <v/>
      </c>
      <c r="AE28" s="49" t="str">
        <f t="array" ref="AE28">IFERROR(INDEX('Factor Analysis'!$G$4:$G$378,_xlfn.AGGREGATE(15,6,(ROW('Factor Analysis'!$F$4:$F$378)-ROW('Factor Analysis'!$F$4)+1)/('Factor Analysis'!$F$4:$F$378="CONSTRAINT"),24)),"")</f>
        <v/>
      </c>
      <c r="AF28" s="49" t="str">
        <f t="array" ref="AF28">IFERROR(INDEX('Factor Analysis'!$G$4:$G$378,_xlfn.AGGREGATE(15,6,(ROW('Factor Analysis'!$F$4:$F$378)-ROW('Factor Analysis'!$F$4)+1)/('Factor Analysis'!$F$4:$F$378="LIMITATION"),24)),"")</f>
        <v/>
      </c>
      <c r="AG28" s="49" t="str">
        <f t="array" ref="AG28">IFERROR(INDEX('Factor Analysis'!$G$4:$G$378,_xlfn.AGGREGATE(15,6,(ROW('Factor Analysis'!$F$4:$F$378)-ROW('Factor Analysis'!$F$4)+1)/('Factor Analysis'!$F$4:$F$378="CC"),24)),"")</f>
        <v/>
      </c>
      <c r="AH28" s="49" t="str">
        <f t="array" ref="AH28">IFERROR(INDEX('Factor Analysis'!$G$4:$G$378,_xlfn.AGGREGATE(15,6,(ROW('Factor Analysis'!$F$4:$F$378)-ROW('Factor Analysis'!$F$4)+1)/('Factor Analysis'!$F$4:$F$378="CR"),24)),"")</f>
        <v/>
      </c>
      <c r="AI28" s="92" t="str">
        <f t="array" ref="AI28">IFERROR(INDEX('Factor Analysis'!$G$4:$G$378,_xlfn.AGGREGATE(15,6,(ROW('Factor Analysis'!$F$4:$F$378)-ROW('Factor Analysis'!$F$4)+1)/('Factor Analysis'!$F$4:$F$378="PCS"),24)),"")</f>
        <v/>
      </c>
    </row>
    <row r="29" spans="1:35" ht="39.75" customHeight="1">
      <c r="A29" s="38"/>
      <c r="B29" s="39" t="str">
        <f t="array" ref="B29">IFERROR(INDEX('Factor Analysis'!$G$4:$G$378,_xlfn.AGGREGATE(15,6,(ROW('Factor Analysis'!$F$4:$F$378)-ROW('Factor Analysis'!$F$4)+1)/('Factor Analysis'!$F$4:$F$378="MSO"),25)),"")</f>
        <v/>
      </c>
      <c r="C29" s="40" t="str">
        <f t="array" ref="C29">IFERROR(INDEX('Factor Analysis'!$A$4:$A$378,_xlfn.AGGREGATE(15,6,(ROW('Factor Analysis'!$F$4:$F$378)-ROW('Factor Analysis'!$F$4)+1)/('Factor Analysis'!$F$4:$F$378="MSO"),25)),"")</f>
        <v/>
      </c>
      <c r="D29" s="41"/>
      <c r="E29" s="42"/>
      <c r="F29" s="42"/>
      <c r="G29" s="42" t="str">
        <f t="shared" si="0"/>
        <v/>
      </c>
      <c r="H29" s="43" t="str">
        <f t="array" ref="H29">IFERROR(INDEX('Factor Analysis'!$G$4:$G$378,_xlfn.AGGREGATE(15,6,(ROW('Factor Analysis'!$F$4:$F$378)-ROW('Factor Analysis'!$F$4)+1)/('Factor Analysis'!$F$4:$F$378="OO"),25)),"")</f>
        <v/>
      </c>
      <c r="I29" s="44" t="str">
        <f t="array" ref="I29">IFERROR(INDEX('Factor Analysis'!$A$4:$A$378,_xlfn.AGGREGATE(15,6,(ROW('Factor Analysis'!$F$4:$F$378)-ROW('Factor Analysis'!$F$4)+1)/('Factor Analysis'!$F$4:$F$378="OO"),25)),"")</f>
        <v/>
      </c>
      <c r="J29" s="41"/>
      <c r="K29" s="45"/>
      <c r="L29" s="45"/>
      <c r="M29" s="45"/>
      <c r="N29" s="45" t="str">
        <f t="shared" si="1"/>
        <v/>
      </c>
      <c r="O29" s="46" t="str">
        <f t="array" ref="O29">IFERROR(INDEX('Factor Analysis'!$G$4:$G$378,_xlfn.AGGREGATE(15,6,(ROW('Factor Analysis'!$F$4:$F$378)-ROW('Factor Analysis'!$F$4)+1)/('Factor Analysis'!$F$4:$F$378="DC"),25)),"")</f>
        <v/>
      </c>
      <c r="P29" s="47" t="str">
        <f t="array" ref="P29">IFERROR(INDEX('Factor Analysis'!$A$4:$A$378,_xlfn.AGGREGATE(15,6,(ROW('Factor Analysis'!$F$4:$F$378)-ROW('Factor Analysis'!$F$4)+1)/('Factor Analysis'!$F$4:$F$378="DC"),25)),"")</f>
        <v/>
      </c>
      <c r="Q29" s="48"/>
      <c r="R29" s="49" t="str">
        <f t="array" ref="R29">IFERROR(INDEX('Factor Analysis'!$G$4:$G$378,_xlfn.AGGREGATE(15,6,(ROW('Factor Analysis'!$F$4:$F$378)-ROW('Factor Analysis'!$F$4)+1)/('Factor Analysis'!$F$4:$F$378="OE"),25)),"")</f>
        <v/>
      </c>
      <c r="S29" s="49" t="str">
        <f t="array" ref="S29">IFERROR(INDEX('Factor Analysis'!$G$4:$G$378,_xlfn.AGGREGATE(15,6,(ROW('Factor Analysis'!$F$4:$F$378)-ROW('Factor Analysis'!$F$4)+1)/('Factor Analysis'!$F$4:$F$378="OA"),25)),"")</f>
        <v/>
      </c>
      <c r="T29" s="49" t="str">
        <f t="array" ref="T29">IFERROR(INDEX('Factor Analysis'!$G$4:$G$378,_xlfn.AGGREGATE(15,6,(ROW('Factor Analysis'!$F$4:$F$378)-ROW('Factor Analysis'!$F$4)+1)/('Factor Analysis'!$F$4:$F$378="RISK"),25)),"")</f>
        <v>Protraction makes MSR sustainment the enemy's ally</v>
      </c>
      <c r="U29" s="49" t="str">
        <f t="array" ref="U29">IFERROR(INDEX('Factor Analysis'!$G$4:$G$378,_xlfn.AGGREGATE(15,6,(ROW('Factor Analysis'!$F$4:$F$378)-ROW('Factor Analysis'!$F$4)+1)/('Factor Analysis'!$F$4:$F$378="CV"),25)),"")</f>
        <v>Counter-narrative fails if grievance is dismissed</v>
      </c>
      <c r="V29" s="49" t="str">
        <f t="array" ref="V29">IFERROR(INDEX('Factor Analysis'!$G$4:$G$378,_xlfn.AGGREGATE(15,6,(ROW('Factor Analysis'!$F$4:$F$378)-ROW('Factor Analysis'!$F$4)+1)/('Factor Analysis'!$F$4:$F$378="COR"),25)),"")</f>
        <v>Integrate CT picture into NEO and port security</v>
      </c>
      <c r="W29" s="49" t="str">
        <f t="array" ref="W29">IFERROR(INDEX('Factor Analysis'!$G$4:$G$378,_xlfn.AGGREGATE(15,6,(ROW('Factor Analysis'!$F$4:$F$378)-ROW('Factor Analysis'!$F$4)+1)/('Factor Analysis'!$F$4:$F$378="REQT"),25)),"")</f>
        <v>MDA, finance intelligence, customs and partner liaison required</v>
      </c>
      <c r="X29" s="49" t="str">
        <f t="array" ref="X29">IFERROR(INDEX('Factor Analysis'!$G$4:$G$378,_xlfn.AGGREGATE(15,6,(ROW('Factor Analysis'!$F$4:$F$378)-ROW('Factor Analysis'!$F$4)+1)/('Factor Analysis'!$F$4:$F$378="REST"),25)),"")</f>
        <v/>
      </c>
      <c r="Y29" s="49" t="str">
        <f t="array" ref="Y29">IFERROR(INDEX('Factor Analysis'!$G$4:$G$378,_xlfn.AGGREGATE(15,6,(ROW('Factor Analysis'!$F$4:$F$378)-ROW('Factor Analysis'!$F$4)+1)/('Factor Analysis'!$F$4:$F$378="KCD-MUST"),25)),"")</f>
        <v>Split legitimate grievance from Hasan's armed project</v>
      </c>
      <c r="Z29" s="49" t="str">
        <f t="array" ref="Z29">IFERROR(INDEX('Factor Analysis'!$G$4:$G$378,_xlfn.AGGREGATE(15,6,(ROW('Factor Analysis'!$F$4:$F$378)-ROW('Factor Analysis'!$F$4)+1)/('Factor Analysis'!$F$4:$F$378="KCD-SHOULD"),25)),"")</f>
        <v>Avoid adding DCs not traceable to decisive problem</v>
      </c>
      <c r="AA29" s="49" t="str">
        <f t="array" ref="AA29">IFERROR(INDEX('Factor Analysis'!$G$4:$G$378,_xlfn.AGGREGATE(15,6,(ROW('Factor Analysis'!$F$4:$F$378)-ROW('Factor Analysis'!$F$4)+1)/('Factor Analysis'!$F$4:$F$378="KCD-SHOULD NOT"),25)),"")</f>
        <v/>
      </c>
      <c r="AB29" s="49" t="str">
        <f t="array" ref="AB29">IFERROR(INDEX('Factor Analysis'!$G$4:$G$378,_xlfn.AGGREGATE(15,6,(ROW('Factor Analysis'!$F$4:$F$378)-ROW('Factor Analysis'!$F$4)+1)/('Factor Analysis'!$F$4:$F$378="KCD-CANNOT"),25)),"")</f>
        <v/>
      </c>
      <c r="AC29" s="49" t="str">
        <f t="array" ref="AC29">IFERROR(INDEX('Factor Analysis'!$G$4:$G$378,_xlfn.AGGREGATE(15,6,(ROW('Factor Analysis'!$F$4:$F$378)-ROW('Factor Analysis'!$F$4)+1)/('Factor Analysis'!$F$4:$F$378="DECISION"),25)),"")</f>
        <v/>
      </c>
      <c r="AD29" s="49" t="str">
        <f t="array" ref="AD29">IFERROR(INDEX('Factor Analysis'!$G$4:$G$378,_xlfn.AGGREGATE(15,6,(ROW('Factor Analysis'!$F$4:$F$378)-ROW('Factor Analysis'!$F$4)+1)/('Factor Analysis'!$F$4:$F$378="ASSUMPTION"),25)),"")</f>
        <v/>
      </c>
      <c r="AE29" s="49" t="str">
        <f t="array" ref="AE29">IFERROR(INDEX('Factor Analysis'!$G$4:$G$378,_xlfn.AGGREGATE(15,6,(ROW('Factor Analysis'!$F$4:$F$378)-ROW('Factor Analysis'!$F$4)+1)/('Factor Analysis'!$F$4:$F$378="CONSTRAINT"),25)),"")</f>
        <v/>
      </c>
      <c r="AF29" s="49" t="str">
        <f t="array" ref="AF29">IFERROR(INDEX('Factor Analysis'!$G$4:$G$378,_xlfn.AGGREGATE(15,6,(ROW('Factor Analysis'!$F$4:$F$378)-ROW('Factor Analysis'!$F$4)+1)/('Factor Analysis'!$F$4:$F$378="LIMITATION"),25)),"")</f>
        <v/>
      </c>
      <c r="AG29" s="49" t="str">
        <f t="array" ref="AG29">IFERROR(INDEX('Factor Analysis'!$G$4:$G$378,_xlfn.AGGREGATE(15,6,(ROW('Factor Analysis'!$F$4:$F$378)-ROW('Factor Analysis'!$F$4)+1)/('Factor Analysis'!$F$4:$F$378="CC"),25)),"")</f>
        <v/>
      </c>
      <c r="AH29" s="49" t="str">
        <f t="array" ref="AH29">IFERROR(INDEX('Factor Analysis'!$G$4:$G$378,_xlfn.AGGREGATE(15,6,(ROW('Factor Analysis'!$F$4:$F$378)-ROW('Factor Analysis'!$F$4)+1)/('Factor Analysis'!$F$4:$F$378="CR"),25)),"")</f>
        <v/>
      </c>
      <c r="AI29" s="92" t="str">
        <f t="array" ref="AI29">IFERROR(INDEX('Factor Analysis'!$G$4:$G$378,_xlfn.AGGREGATE(15,6,(ROW('Factor Analysis'!$F$4:$F$378)-ROW('Factor Analysis'!$F$4)+1)/('Factor Analysis'!$F$4:$F$378="PCS"),25)),"")</f>
        <v/>
      </c>
    </row>
    <row r="30" spans="1:35" ht="39.75" customHeight="1">
      <c r="A30" s="38"/>
      <c r="B30" s="39" t="str">
        <f t="array" ref="B30">IFERROR(INDEX('Factor Analysis'!$G$4:$G$378,_xlfn.AGGREGATE(15,6,(ROW('Factor Analysis'!$F$4:$F$378)-ROW('Factor Analysis'!$F$4)+1)/('Factor Analysis'!$F$4:$F$378="MSO"),26)),"")</f>
        <v/>
      </c>
      <c r="C30" s="40" t="str">
        <f t="array" ref="C30">IFERROR(INDEX('Factor Analysis'!$A$4:$A$378,_xlfn.AGGREGATE(15,6,(ROW('Factor Analysis'!$F$4:$F$378)-ROW('Factor Analysis'!$F$4)+1)/('Factor Analysis'!$F$4:$F$378="MSO"),26)),"")</f>
        <v/>
      </c>
      <c r="D30" s="41"/>
      <c r="E30" s="42"/>
      <c r="F30" s="42"/>
      <c r="G30" s="42" t="str">
        <f t="shared" si="0"/>
        <v/>
      </c>
      <c r="H30" s="43" t="str">
        <f t="array" ref="H30">IFERROR(INDEX('Factor Analysis'!$G$4:$G$378,_xlfn.AGGREGATE(15,6,(ROW('Factor Analysis'!$F$4:$F$378)-ROW('Factor Analysis'!$F$4)+1)/('Factor Analysis'!$F$4:$F$378="OO"),26)),"")</f>
        <v/>
      </c>
      <c r="I30" s="44" t="str">
        <f t="array" ref="I30">IFERROR(INDEX('Factor Analysis'!$A$4:$A$378,_xlfn.AGGREGATE(15,6,(ROW('Factor Analysis'!$F$4:$F$378)-ROW('Factor Analysis'!$F$4)+1)/('Factor Analysis'!$F$4:$F$378="OO"),26)),"")</f>
        <v/>
      </c>
      <c r="J30" s="41"/>
      <c r="K30" s="45"/>
      <c r="L30" s="45"/>
      <c r="M30" s="45"/>
      <c r="N30" s="45" t="str">
        <f t="shared" si="1"/>
        <v/>
      </c>
      <c r="O30" s="46" t="str">
        <f t="array" ref="O30">IFERROR(INDEX('Factor Analysis'!$G$4:$G$378,_xlfn.AGGREGATE(15,6,(ROW('Factor Analysis'!$F$4:$F$378)-ROW('Factor Analysis'!$F$4)+1)/('Factor Analysis'!$F$4:$F$378="DC"),26)),"")</f>
        <v/>
      </c>
      <c r="P30" s="47" t="str">
        <f t="array" ref="P30">IFERROR(INDEX('Factor Analysis'!$A$4:$A$378,_xlfn.AGGREGATE(15,6,(ROW('Factor Analysis'!$F$4:$F$378)-ROW('Factor Analysis'!$F$4)+1)/('Factor Analysis'!$F$4:$F$378="DC"),26)),"")</f>
        <v/>
      </c>
      <c r="Q30" s="48"/>
      <c r="R30" s="49" t="str">
        <f t="array" ref="R30">IFERROR(INDEX('Factor Analysis'!$G$4:$G$378,_xlfn.AGGREGATE(15,6,(ROW('Factor Analysis'!$F$4:$F$378)-ROW('Factor Analysis'!$F$4)+1)/('Factor Analysis'!$F$4:$F$378="OE"),26)),"")</f>
        <v/>
      </c>
      <c r="S30" s="49" t="str">
        <f t="array" ref="S30">IFERROR(INDEX('Factor Analysis'!$G$4:$G$378,_xlfn.AGGREGATE(15,6,(ROW('Factor Analysis'!$F$4:$F$378)-ROW('Factor Analysis'!$F$4)+1)/('Factor Analysis'!$F$4:$F$378="OA"),26)),"")</f>
        <v/>
      </c>
      <c r="T30" s="49" t="str">
        <f t="array" ref="T30">IFERROR(INDEX('Factor Analysis'!$G$4:$G$378,_xlfn.AGGREGATE(15,6,(ROW('Factor Analysis'!$F$4:$F$378)-ROW('Factor Analysis'!$F$4)+1)/('Factor Analysis'!$F$4:$F$378="RISK"),26)),"")</f>
        <v>Disease casualties reduce tempo without enemy contact</v>
      </c>
      <c r="U30" s="49" t="str">
        <f t="array" ref="U30">IFERROR(INDEX('Factor Analysis'!$G$4:$G$378,_xlfn.AGGREGATE(15,6,(ROW('Factor Analysis'!$F$4:$F$378)-ROW('Factor Analysis'!$F$4)+1)/('Factor Analysis'!$F$4:$F$378="CV"),26)),"")</f>
        <v>IRS coalition includes nationalists, Islamists, leftists and liberals</v>
      </c>
      <c r="V30" s="49" t="str">
        <f t="array" ref="V30">IFERROR(INDEX('Factor Analysis'!$G$4:$G$378,_xlfn.AGGREGATE(15,6,(ROW('Factor Analysis'!$F$4:$F$378)-ROW('Factor Analysis'!$F$4)+1)/('Factor Analysis'!$F$4:$F$378="COR"),26)),"")</f>
        <v>Coordinate regional intelligence beyond military AO</v>
      </c>
      <c r="W30" s="49" t="str">
        <f t="array" ref="W30">IFERROR(INDEX('Factor Analysis'!$G$4:$G$378,_xlfn.AGGREGATE(15,6,(ROW('Factor Analysis'!$F$4:$F$378)-ROW('Factor Analysis'!$F$4)+1)/('Factor Analysis'!$F$4:$F$378="REQT"),26)),"")</f>
        <v>Legal authority for boarding, diversion and evidence preservation</v>
      </c>
      <c r="X30" s="49" t="str">
        <f t="array" ref="X30">IFERROR(INDEX('Factor Analysis'!$G$4:$G$378,_xlfn.AGGREGATE(15,6,(ROW('Factor Analysis'!$F$4:$F$378)-ROW('Factor Analysis'!$F$4)+1)/('Factor Analysis'!$F$4:$F$378="REST"),26)),"")</f>
        <v/>
      </c>
      <c r="Y30" s="49" t="str">
        <f t="array" ref="Y30">IFERROR(INDEX('Factor Analysis'!$G$4:$G$378,_xlfn.AGGREGATE(15,6,(ROW('Factor Analysis'!$F$4:$F$378)-ROW('Factor Analysis'!$F$4)+1)/('Factor Analysis'!$F$4:$F$378="KCD-MUST"),26)),"")</f>
        <v>Release credible first account quickly</v>
      </c>
      <c r="Z30" s="49" t="str">
        <f t="array" ref="Z30">IFERROR(INDEX('Factor Analysis'!$G$4:$G$378,_xlfn.AGGREGATE(15,6,(ROW('Factor Analysis'!$F$4:$F$378)-ROW('Factor Analysis'!$F$4)+1)/('Factor Analysis'!$F$4:$F$378="KCD-SHOULD"),26)),"")</f>
        <v/>
      </c>
      <c r="AA30" s="49" t="str">
        <f t="array" ref="AA30">IFERROR(INDEX('Factor Analysis'!$G$4:$G$378,_xlfn.AGGREGATE(15,6,(ROW('Factor Analysis'!$F$4:$F$378)-ROW('Factor Analysis'!$F$4)+1)/('Factor Analysis'!$F$4:$F$378="KCD-SHOULD NOT"),26)),"")</f>
        <v/>
      </c>
      <c r="AB30" s="49" t="str">
        <f t="array" ref="AB30">IFERROR(INDEX('Factor Analysis'!$G$4:$G$378,_xlfn.AGGREGATE(15,6,(ROW('Factor Analysis'!$F$4:$F$378)-ROW('Factor Analysis'!$F$4)+1)/('Factor Analysis'!$F$4:$F$378="KCD-CANNOT"),26)),"")</f>
        <v/>
      </c>
      <c r="AC30" s="49" t="str">
        <f t="array" ref="AC30">IFERROR(INDEX('Factor Analysis'!$G$4:$G$378,_xlfn.AGGREGATE(15,6,(ROW('Factor Analysis'!$F$4:$F$378)-ROW('Factor Analysis'!$F$4)+1)/('Factor Analysis'!$F$4:$F$378="DECISION"),26)),"")</f>
        <v/>
      </c>
      <c r="AD30" s="49" t="str">
        <f t="array" ref="AD30">IFERROR(INDEX('Factor Analysis'!$G$4:$G$378,_xlfn.AGGREGATE(15,6,(ROW('Factor Analysis'!$F$4:$F$378)-ROW('Factor Analysis'!$F$4)+1)/('Factor Analysis'!$F$4:$F$378="ASSUMPTION"),26)),"")</f>
        <v/>
      </c>
      <c r="AE30" s="49" t="str">
        <f t="array" ref="AE30">IFERROR(INDEX('Factor Analysis'!$G$4:$G$378,_xlfn.AGGREGATE(15,6,(ROW('Factor Analysis'!$F$4:$F$378)-ROW('Factor Analysis'!$F$4)+1)/('Factor Analysis'!$F$4:$F$378="CONSTRAINT"),26)),"")</f>
        <v/>
      </c>
      <c r="AF30" s="49" t="str">
        <f t="array" ref="AF30">IFERROR(INDEX('Factor Analysis'!$G$4:$G$378,_xlfn.AGGREGATE(15,6,(ROW('Factor Analysis'!$F$4:$F$378)-ROW('Factor Analysis'!$F$4)+1)/('Factor Analysis'!$F$4:$F$378="LIMITATION"),26)),"")</f>
        <v/>
      </c>
      <c r="AG30" s="49" t="str">
        <f t="array" ref="AG30">IFERROR(INDEX('Factor Analysis'!$G$4:$G$378,_xlfn.AGGREGATE(15,6,(ROW('Factor Analysis'!$F$4:$F$378)-ROW('Factor Analysis'!$F$4)+1)/('Factor Analysis'!$F$4:$F$378="CC"),26)),"")</f>
        <v/>
      </c>
      <c r="AH30" s="49" t="str">
        <f t="array" ref="AH30">IFERROR(INDEX('Factor Analysis'!$G$4:$G$378,_xlfn.AGGREGATE(15,6,(ROW('Factor Analysis'!$F$4:$F$378)-ROW('Factor Analysis'!$F$4)+1)/('Factor Analysis'!$F$4:$F$378="CR"),26)),"")</f>
        <v/>
      </c>
      <c r="AI30" s="92" t="str">
        <f t="array" ref="AI30">IFERROR(INDEX('Factor Analysis'!$G$4:$G$378,_xlfn.AGGREGATE(15,6,(ROW('Factor Analysis'!$F$4:$F$378)-ROW('Factor Analysis'!$F$4)+1)/('Factor Analysis'!$F$4:$F$378="PCS"),26)),"")</f>
        <v/>
      </c>
    </row>
    <row r="31" spans="1:35" ht="39.75" customHeight="1">
      <c r="A31" s="38"/>
      <c r="B31" s="39" t="str">
        <f t="array" ref="B31">IFERROR(INDEX('Factor Analysis'!$G$4:$G$378,_xlfn.AGGREGATE(15,6,(ROW('Factor Analysis'!$F$4:$F$378)-ROW('Factor Analysis'!$F$4)+1)/('Factor Analysis'!$F$4:$F$378="MSO"),27)),"")</f>
        <v/>
      </c>
      <c r="C31" s="40" t="str">
        <f t="array" ref="C31">IFERROR(INDEX('Factor Analysis'!$A$4:$A$378,_xlfn.AGGREGATE(15,6,(ROW('Factor Analysis'!$F$4:$F$378)-ROW('Factor Analysis'!$F$4)+1)/('Factor Analysis'!$F$4:$F$378="MSO"),27)),"")</f>
        <v/>
      </c>
      <c r="D31" s="41"/>
      <c r="E31" s="42"/>
      <c r="F31" s="42"/>
      <c r="G31" s="42" t="str">
        <f t="shared" si="0"/>
        <v/>
      </c>
      <c r="H31" s="43" t="str">
        <f t="array" ref="H31">IFERROR(INDEX('Factor Analysis'!$G$4:$G$378,_xlfn.AGGREGATE(15,6,(ROW('Factor Analysis'!$F$4:$F$378)-ROW('Factor Analysis'!$F$4)+1)/('Factor Analysis'!$F$4:$F$378="OO"),27)),"")</f>
        <v/>
      </c>
      <c r="I31" s="44" t="str">
        <f t="array" ref="I31">IFERROR(INDEX('Factor Analysis'!$A$4:$A$378,_xlfn.AGGREGATE(15,6,(ROW('Factor Analysis'!$F$4:$F$378)-ROW('Factor Analysis'!$F$4)+1)/('Factor Analysis'!$F$4:$F$378="OO"),27)),"")</f>
        <v/>
      </c>
      <c r="J31" s="41"/>
      <c r="K31" s="45"/>
      <c r="L31" s="45"/>
      <c r="M31" s="45"/>
      <c r="N31" s="45" t="str">
        <f t="shared" si="1"/>
        <v/>
      </c>
      <c r="O31" s="46" t="str">
        <f t="array" ref="O31">IFERROR(INDEX('Factor Analysis'!$G$4:$G$378,_xlfn.AGGREGATE(15,6,(ROW('Factor Analysis'!$F$4:$F$378)-ROW('Factor Analysis'!$F$4)+1)/('Factor Analysis'!$F$4:$F$378="DC"),27)),"")</f>
        <v/>
      </c>
      <c r="P31" s="47" t="str">
        <f t="array" ref="P31">IFERROR(INDEX('Factor Analysis'!$A$4:$A$378,_xlfn.AGGREGATE(15,6,(ROW('Factor Analysis'!$F$4:$F$378)-ROW('Factor Analysis'!$F$4)+1)/('Factor Analysis'!$F$4:$F$378="DC"),27)),"")</f>
        <v/>
      </c>
      <c r="Q31" s="48"/>
      <c r="R31" s="49" t="str">
        <f t="array" ref="R31">IFERROR(INDEX('Factor Analysis'!$G$4:$G$378,_xlfn.AGGREGATE(15,6,(ROW('Factor Analysis'!$F$4:$F$378)-ROW('Factor Analysis'!$F$4)+1)/('Factor Analysis'!$F$4:$F$378="OE"),27)),"")</f>
        <v/>
      </c>
      <c r="S31" s="49" t="str">
        <f t="array" ref="S31">IFERROR(INDEX('Factor Analysis'!$G$4:$G$378,_xlfn.AGGREGATE(15,6,(ROW('Factor Analysis'!$F$4:$F$378)-ROW('Factor Analysis'!$F$4)+1)/('Factor Analysis'!$F$4:$F$378="OA"),27)),"")</f>
        <v/>
      </c>
      <c r="T31" s="49" t="str">
        <f t="array" ref="T31">IFERROR(INDEX('Factor Analysis'!$G$4:$G$378,_xlfn.AGGREGATE(15,6,(ROW('Factor Analysis'!$F$4:$F$378)-ROW('Factor Analysis'!$F$4)+1)/('Factor Analysis'!$F$4:$F$378="RISK"),27)),"")</f>
        <v>Pursuit into terrain dissipates combat power</v>
      </c>
      <c r="U31" s="49" t="str">
        <f t="array" ref="U31">IFERROR(INDEX('Factor Analysis'!$G$4:$G$378,_xlfn.AGGREGATE(15,6,(ROW('Factor Analysis'!$F$4:$F$378)-ROW('Factor Analysis'!$F$4)+1)/('Factor Analysis'!$F$4:$F$378="CV"),27)),"")</f>
        <v>IRS coalition incompatibility is a real but fragile vulnerability; crude targeting unifies it</v>
      </c>
      <c r="V31" s="49" t="str">
        <f t="array" ref="V31">IFERROR(INDEX('Factor Analysis'!$G$4:$G$378,_xlfn.AGGREGATE(15,6,(ROW('Factor Analysis'!$F$4:$F$378)-ROW('Factor Analysis'!$F$4)+1)/('Factor Analysis'!$F$4:$F$378="COR"),27)),"")</f>
        <v>Plan branches for shift from A2/AD to terrorism</v>
      </c>
      <c r="W31" s="49" t="str">
        <f t="array" ref="W31">IFERROR(INDEX('Factor Analysis'!$G$4:$G$378,_xlfn.AGGREGATE(15,6,(ROW('Factor Analysis'!$F$4:$F$378)-ROW('Factor Analysis'!$F$4)+1)/('Factor Analysis'!$F$4:$F$378="REQT"),27)),"")</f>
        <v>J2/J9/legal/finance fusion cell required</v>
      </c>
      <c r="X31" s="49" t="str">
        <f t="array" ref="X31">IFERROR(INDEX('Factor Analysis'!$G$4:$G$378,_xlfn.AGGREGATE(15,6,(ROW('Factor Analysis'!$F$4:$F$378)-ROW('Factor Analysis'!$F$4)+1)/('Factor Analysis'!$F$4:$F$378="REST"),27)),"")</f>
        <v/>
      </c>
      <c r="Y31" s="49" t="str">
        <f t="array" ref="Y31">IFERROR(INDEX('Factor Analysis'!$G$4:$G$378,_xlfn.AGGREGATE(15,6,(ROW('Factor Analysis'!$F$4:$F$378)-ROW('Factor Analysis'!$F$4)+1)/('Factor Analysis'!$F$4:$F$378="KCD-MUST"),27)),"")</f>
        <v>Integrate HA access into first operational design</v>
      </c>
      <c r="Z31" s="49" t="str">
        <f t="array" ref="Z31">IFERROR(INDEX('Factor Analysis'!$G$4:$G$378,_xlfn.AGGREGATE(15,6,(ROW('Factor Analysis'!$F$4:$F$378)-ROW('Factor Analysis'!$F$4)+1)/('Factor Analysis'!$F$4:$F$378="KCD-SHOULD"),27)),"")</f>
        <v/>
      </c>
      <c r="AA31" s="49" t="str">
        <f t="array" ref="AA31">IFERROR(INDEX('Factor Analysis'!$G$4:$G$378,_xlfn.AGGREGATE(15,6,(ROW('Factor Analysis'!$F$4:$F$378)-ROW('Factor Analysis'!$F$4)+1)/('Factor Analysis'!$F$4:$F$378="KCD-SHOULD NOT"),27)),"")</f>
        <v/>
      </c>
      <c r="AB31" s="49" t="str">
        <f t="array" ref="AB31">IFERROR(INDEX('Factor Analysis'!$G$4:$G$378,_xlfn.AGGREGATE(15,6,(ROW('Factor Analysis'!$F$4:$F$378)-ROW('Factor Analysis'!$F$4)+1)/('Factor Analysis'!$F$4:$F$378="KCD-CANNOT"),27)),"")</f>
        <v/>
      </c>
      <c r="AC31" s="49" t="str">
        <f t="array" ref="AC31">IFERROR(INDEX('Factor Analysis'!$G$4:$G$378,_xlfn.AGGREGATE(15,6,(ROW('Factor Analysis'!$F$4:$F$378)-ROW('Factor Analysis'!$F$4)+1)/('Factor Analysis'!$F$4:$F$378="DECISION"),27)),"")</f>
        <v/>
      </c>
      <c r="AD31" s="49" t="str">
        <f t="array" ref="AD31">IFERROR(INDEX('Factor Analysis'!$G$4:$G$378,_xlfn.AGGREGATE(15,6,(ROW('Factor Analysis'!$F$4:$F$378)-ROW('Factor Analysis'!$F$4)+1)/('Factor Analysis'!$F$4:$F$378="ASSUMPTION"),27)),"")</f>
        <v/>
      </c>
      <c r="AE31" s="49" t="str">
        <f t="array" ref="AE31">IFERROR(INDEX('Factor Analysis'!$G$4:$G$378,_xlfn.AGGREGATE(15,6,(ROW('Factor Analysis'!$F$4:$F$378)-ROW('Factor Analysis'!$F$4)+1)/('Factor Analysis'!$F$4:$F$378="CONSTRAINT"),27)),"")</f>
        <v/>
      </c>
      <c r="AF31" s="49" t="str">
        <f t="array" ref="AF31">IFERROR(INDEX('Factor Analysis'!$G$4:$G$378,_xlfn.AGGREGATE(15,6,(ROW('Factor Analysis'!$F$4:$F$378)-ROW('Factor Analysis'!$F$4)+1)/('Factor Analysis'!$F$4:$F$378="LIMITATION"),27)),"")</f>
        <v/>
      </c>
      <c r="AG31" s="49" t="str">
        <f t="array" ref="AG31">IFERROR(INDEX('Factor Analysis'!$G$4:$G$378,_xlfn.AGGREGATE(15,6,(ROW('Factor Analysis'!$F$4:$F$378)-ROW('Factor Analysis'!$F$4)+1)/('Factor Analysis'!$F$4:$F$378="CC"),27)),"")</f>
        <v/>
      </c>
      <c r="AH31" s="49" t="str">
        <f t="array" ref="AH31">IFERROR(INDEX('Factor Analysis'!$G$4:$G$378,_xlfn.AGGREGATE(15,6,(ROW('Factor Analysis'!$F$4:$F$378)-ROW('Factor Analysis'!$F$4)+1)/('Factor Analysis'!$F$4:$F$378="CR"),27)),"")</f>
        <v/>
      </c>
      <c r="AI31" s="92" t="str">
        <f t="array" ref="AI31">IFERROR(INDEX('Factor Analysis'!$G$4:$G$378,_xlfn.AGGREGATE(15,6,(ROW('Factor Analysis'!$F$4:$F$378)-ROW('Factor Analysis'!$F$4)+1)/('Factor Analysis'!$F$4:$F$378="PCS"),27)),"")</f>
        <v/>
      </c>
    </row>
    <row r="32" spans="1:35" ht="39.75" customHeight="1">
      <c r="A32" s="38"/>
      <c r="B32" s="39" t="str">
        <f t="array" ref="B32">IFERROR(INDEX('Factor Analysis'!$G$4:$G$378,_xlfn.AGGREGATE(15,6,(ROW('Factor Analysis'!$F$4:$F$378)-ROW('Factor Analysis'!$F$4)+1)/('Factor Analysis'!$F$4:$F$378="MSO"),28)),"")</f>
        <v/>
      </c>
      <c r="C32" s="40" t="str">
        <f t="array" ref="C32">IFERROR(INDEX('Factor Analysis'!$A$4:$A$378,_xlfn.AGGREGATE(15,6,(ROW('Factor Analysis'!$F$4:$F$378)-ROW('Factor Analysis'!$F$4)+1)/('Factor Analysis'!$F$4:$F$378="MSO"),28)),"")</f>
        <v/>
      </c>
      <c r="D32" s="41"/>
      <c r="E32" s="42"/>
      <c r="F32" s="42"/>
      <c r="G32" s="42" t="str">
        <f t="shared" si="0"/>
        <v/>
      </c>
      <c r="H32" s="43" t="str">
        <f t="array" ref="H32">IFERROR(INDEX('Factor Analysis'!$G$4:$G$378,_xlfn.AGGREGATE(15,6,(ROW('Factor Analysis'!$F$4:$F$378)-ROW('Factor Analysis'!$F$4)+1)/('Factor Analysis'!$F$4:$F$378="OO"),28)),"")</f>
        <v/>
      </c>
      <c r="I32" s="44" t="str">
        <f t="array" ref="I32">IFERROR(INDEX('Factor Analysis'!$A$4:$A$378,_xlfn.AGGREGATE(15,6,(ROW('Factor Analysis'!$F$4:$F$378)-ROW('Factor Analysis'!$F$4)+1)/('Factor Analysis'!$F$4:$F$378="OO"),28)),"")</f>
        <v/>
      </c>
      <c r="J32" s="41"/>
      <c r="K32" s="45"/>
      <c r="L32" s="45"/>
      <c r="M32" s="45"/>
      <c r="N32" s="45" t="str">
        <f t="shared" si="1"/>
        <v/>
      </c>
      <c r="O32" s="46" t="str">
        <f t="array" ref="O32">IFERROR(INDEX('Factor Analysis'!$G$4:$G$378,_xlfn.AGGREGATE(15,6,(ROW('Factor Analysis'!$F$4:$F$378)-ROW('Factor Analysis'!$F$4)+1)/('Factor Analysis'!$F$4:$F$378="DC"),28)),"")</f>
        <v/>
      </c>
      <c r="P32" s="47" t="str">
        <f t="array" ref="P32">IFERROR(INDEX('Factor Analysis'!$A$4:$A$378,_xlfn.AGGREGATE(15,6,(ROW('Factor Analysis'!$F$4:$F$378)-ROW('Factor Analysis'!$F$4)+1)/('Factor Analysis'!$F$4:$F$378="DC"),28)),"")</f>
        <v/>
      </c>
      <c r="Q32" s="48"/>
      <c r="R32" s="49" t="str">
        <f t="array" ref="R32">IFERROR(INDEX('Factor Analysis'!$G$4:$G$378,_xlfn.AGGREGATE(15,6,(ROW('Factor Analysis'!$F$4:$F$378)-ROW('Factor Analysis'!$F$4)+1)/('Factor Analysis'!$F$4:$F$378="OE"),28)),"")</f>
        <v/>
      </c>
      <c r="S32" s="49" t="str">
        <f t="array" ref="S32">IFERROR(INDEX('Factor Analysis'!$G$4:$G$378,_xlfn.AGGREGATE(15,6,(ROW('Factor Analysis'!$F$4:$F$378)-ROW('Factor Analysis'!$F$4)+1)/('Factor Analysis'!$F$4:$F$378="OA"),28)),"")</f>
        <v/>
      </c>
      <c r="T32" s="49" t="str">
        <f t="array" ref="T32">IFERROR(INDEX('Factor Analysis'!$G$4:$G$378,_xlfn.AGGREGATE(15,6,(ROW('Factor Analysis'!$F$4:$F$378)-ROW('Factor Analysis'!$F$4)+1)/('Factor Analysis'!$F$4:$F$378="RISK"),28)),"")</f>
        <v>One successful strike generates strategic failure pressure</v>
      </c>
      <c r="U32" s="49" t="str">
        <f t="array" ref="U32">IFERROR(INDEX('Factor Analysis'!$G$4:$G$378,_xlfn.AGGREGATE(15,6,(ROW('Factor Analysis'!$F$4:$F$378)-ROW('Factor Analysis'!$F$4)+1)/('Factor Analysis'!$F$4:$F$378="CV"),28)),"")</f>
        <v>Poor water and disease affect civilians and force health</v>
      </c>
      <c r="V32" s="49" t="str">
        <f t="array" ref="V32">IFERROR(INDEX('Factor Analysis'!$G$4:$G$378,_xlfn.AGGREGATE(15,6,(ROW('Factor Analysis'!$F$4:$F$378)-ROW('Factor Analysis'!$F$4)+1)/('Factor Analysis'!$F$4:$F$378="COR"),28)),"")</f>
        <v>Expose and interdict external supply without triggering state-on-state escalation</v>
      </c>
      <c r="W32" s="49" t="str">
        <f t="array" ref="W32">IFERROR(INDEX('Factor Analysis'!$G$4:$G$378,_xlfn.AGGREGATE(15,6,(ROW('Factor Analysis'!$F$4:$F$378)-ROW('Factor Analysis'!$F$4)+1)/('Factor Analysis'!$F$4:$F$378="REQT"),28)),"")</f>
        <v>Cyber defence, SATCOM resilience and incident response required</v>
      </c>
      <c r="X32" s="49" t="str">
        <f t="array" ref="X32">IFERROR(INDEX('Factor Analysis'!$G$4:$G$378,_xlfn.AGGREGATE(15,6,(ROW('Factor Analysis'!$F$4:$F$378)-ROW('Factor Analysis'!$F$4)+1)/('Factor Analysis'!$F$4:$F$378="REST"),28)),"")</f>
        <v/>
      </c>
      <c r="Y32" s="49" t="str">
        <f t="array" ref="Y32">IFERROR(INDEX('Factor Analysis'!$G$4:$G$378,_xlfn.AGGREGATE(15,6,(ROW('Factor Analysis'!$F$4:$F$378)-ROW('Factor Analysis'!$F$4)+1)/('Factor Analysis'!$F$4:$F$378="KCD-MUST"),28)),"")</f>
        <v>NEO enabling conditions achieved before any escalation that raises hostage risk</v>
      </c>
      <c r="Z32" s="49" t="str">
        <f t="array" ref="Z32">IFERROR(INDEX('Factor Analysis'!$G$4:$G$378,_xlfn.AGGREGATE(15,6,(ROW('Factor Analysis'!$F$4:$F$378)-ROW('Factor Analysis'!$F$4)+1)/('Factor Analysis'!$F$4:$F$378="KCD-SHOULD"),28)),"")</f>
        <v/>
      </c>
      <c r="AA32" s="49" t="str">
        <f t="array" ref="AA32">IFERROR(INDEX('Factor Analysis'!$G$4:$G$378,_xlfn.AGGREGATE(15,6,(ROW('Factor Analysis'!$F$4:$F$378)-ROW('Factor Analysis'!$F$4)+1)/('Factor Analysis'!$F$4:$F$378="KCD-SHOULD NOT"),28)),"")</f>
        <v/>
      </c>
      <c r="AB32" s="49" t="str">
        <f t="array" ref="AB32">IFERROR(INDEX('Factor Analysis'!$G$4:$G$378,_xlfn.AGGREGATE(15,6,(ROW('Factor Analysis'!$F$4:$F$378)-ROW('Factor Analysis'!$F$4)+1)/('Factor Analysis'!$F$4:$F$378="KCD-CANNOT"),28)),"")</f>
        <v/>
      </c>
      <c r="AC32" s="49" t="str">
        <f t="array" ref="AC32">IFERROR(INDEX('Factor Analysis'!$G$4:$G$378,_xlfn.AGGREGATE(15,6,(ROW('Factor Analysis'!$F$4:$F$378)-ROW('Factor Analysis'!$F$4)+1)/('Factor Analysis'!$F$4:$F$378="DECISION"),28)),"")</f>
        <v/>
      </c>
      <c r="AD32" s="49" t="str">
        <f t="array" ref="AD32">IFERROR(INDEX('Factor Analysis'!$G$4:$G$378,_xlfn.AGGREGATE(15,6,(ROW('Factor Analysis'!$F$4:$F$378)-ROW('Factor Analysis'!$F$4)+1)/('Factor Analysis'!$F$4:$F$378="ASSUMPTION"),28)),"")</f>
        <v/>
      </c>
      <c r="AE32" s="49" t="str">
        <f t="array" ref="AE32">IFERROR(INDEX('Factor Analysis'!$G$4:$G$378,_xlfn.AGGREGATE(15,6,(ROW('Factor Analysis'!$F$4:$F$378)-ROW('Factor Analysis'!$F$4)+1)/('Factor Analysis'!$F$4:$F$378="CONSTRAINT"),28)),"")</f>
        <v/>
      </c>
      <c r="AF32" s="49" t="str">
        <f t="array" ref="AF32">IFERROR(INDEX('Factor Analysis'!$G$4:$G$378,_xlfn.AGGREGATE(15,6,(ROW('Factor Analysis'!$F$4:$F$378)-ROW('Factor Analysis'!$F$4)+1)/('Factor Analysis'!$F$4:$F$378="LIMITATION"),28)),"")</f>
        <v/>
      </c>
      <c r="AG32" s="49" t="str">
        <f t="array" ref="AG32">IFERROR(INDEX('Factor Analysis'!$G$4:$G$378,_xlfn.AGGREGATE(15,6,(ROW('Factor Analysis'!$F$4:$F$378)-ROW('Factor Analysis'!$F$4)+1)/('Factor Analysis'!$F$4:$F$378="CC"),28)),"")</f>
        <v/>
      </c>
      <c r="AH32" s="49" t="str">
        <f t="array" ref="AH32">IFERROR(INDEX('Factor Analysis'!$G$4:$G$378,_xlfn.AGGREGATE(15,6,(ROW('Factor Analysis'!$F$4:$F$378)-ROW('Factor Analysis'!$F$4)+1)/('Factor Analysis'!$F$4:$F$378="CR"),28)),"")</f>
        <v/>
      </c>
      <c r="AI32" s="92" t="str">
        <f t="array" ref="AI32">IFERROR(INDEX('Factor Analysis'!$G$4:$G$378,_xlfn.AGGREGATE(15,6,(ROW('Factor Analysis'!$F$4:$F$378)-ROW('Factor Analysis'!$F$4)+1)/('Factor Analysis'!$F$4:$F$378="PCS"),28)),"")</f>
        <v/>
      </c>
    </row>
    <row r="33" spans="1:35" ht="39.75" customHeight="1">
      <c r="A33" s="38"/>
      <c r="B33" s="39" t="str">
        <f t="array" ref="B33">IFERROR(INDEX('Factor Analysis'!$G$4:$G$378,_xlfn.AGGREGATE(15,6,(ROW('Factor Analysis'!$F$4:$F$378)-ROW('Factor Analysis'!$F$4)+1)/('Factor Analysis'!$F$4:$F$378="MSO"),29)),"")</f>
        <v/>
      </c>
      <c r="C33" s="40" t="str">
        <f t="array" ref="C33">IFERROR(INDEX('Factor Analysis'!$A$4:$A$378,_xlfn.AGGREGATE(15,6,(ROW('Factor Analysis'!$F$4:$F$378)-ROW('Factor Analysis'!$F$4)+1)/('Factor Analysis'!$F$4:$F$378="MSO"),29)),"")</f>
        <v/>
      </c>
      <c r="D33" s="41"/>
      <c r="E33" s="42"/>
      <c r="F33" s="42"/>
      <c r="G33" s="42" t="str">
        <f t="shared" si="0"/>
        <v/>
      </c>
      <c r="H33" s="43" t="str">
        <f t="array" ref="H33">IFERROR(INDEX('Factor Analysis'!$G$4:$G$378,_xlfn.AGGREGATE(15,6,(ROW('Factor Analysis'!$F$4:$F$378)-ROW('Factor Analysis'!$F$4)+1)/('Factor Analysis'!$F$4:$F$378="OO"),29)),"")</f>
        <v/>
      </c>
      <c r="I33" s="44" t="str">
        <f t="array" ref="I33">IFERROR(INDEX('Factor Analysis'!$A$4:$A$378,_xlfn.AGGREGATE(15,6,(ROW('Factor Analysis'!$F$4:$F$378)-ROW('Factor Analysis'!$F$4)+1)/('Factor Analysis'!$F$4:$F$378="OO"),29)),"")</f>
        <v/>
      </c>
      <c r="J33" s="41"/>
      <c r="K33" s="45"/>
      <c r="L33" s="45"/>
      <c r="M33" s="45"/>
      <c r="N33" s="45" t="str">
        <f t="shared" si="1"/>
        <v/>
      </c>
      <c r="O33" s="46" t="str">
        <f t="array" ref="O33">IFERROR(INDEX('Factor Analysis'!$G$4:$G$378,_xlfn.AGGREGATE(15,6,(ROW('Factor Analysis'!$F$4:$F$378)-ROW('Factor Analysis'!$F$4)+1)/('Factor Analysis'!$F$4:$F$378="DC"),29)),"")</f>
        <v/>
      </c>
      <c r="P33" s="47" t="str">
        <f t="array" ref="P33">IFERROR(INDEX('Factor Analysis'!$A$4:$A$378,_xlfn.AGGREGATE(15,6,(ROW('Factor Analysis'!$F$4:$F$378)-ROW('Factor Analysis'!$F$4)+1)/('Factor Analysis'!$F$4:$F$378="DC"),29)),"")</f>
        <v/>
      </c>
      <c r="Q33" s="48"/>
      <c r="R33" s="49" t="str">
        <f t="array" ref="R33">IFERROR(INDEX('Factor Analysis'!$G$4:$G$378,_xlfn.AGGREGATE(15,6,(ROW('Factor Analysis'!$F$4:$F$378)-ROW('Factor Analysis'!$F$4)+1)/('Factor Analysis'!$F$4:$F$378="OE"),29)),"")</f>
        <v/>
      </c>
      <c r="S33" s="49" t="str">
        <f t="array" ref="S33">IFERROR(INDEX('Factor Analysis'!$G$4:$G$378,_xlfn.AGGREGATE(15,6,(ROW('Factor Analysis'!$F$4:$F$378)-ROW('Factor Analysis'!$F$4)+1)/('Factor Analysis'!$F$4:$F$378="OA"),29)),"")</f>
        <v/>
      </c>
      <c r="T33" s="49" t="str">
        <f t="array" ref="T33">IFERROR(INDEX('Factor Analysis'!$G$4:$G$378,_xlfn.AGGREGATE(15,6,(ROW('Factor Analysis'!$F$4:$F$378)-ROW('Factor Analysis'!$F$4)+1)/('Factor Analysis'!$F$4:$F$378="RISK"),29)),"")</f>
        <v>Launcher hunting alone produces false confidence</v>
      </c>
      <c r="U33" s="49" t="str">
        <f t="array" ref="U33">IFERROR(INDEX('Factor Analysis'!$G$4:$G$378,_xlfn.AGGREGATE(15,6,(ROW('Factor Analysis'!$F$4:$F$378)-ROW('Factor Analysis'!$F$4)+1)/('Factor Analysis'!$F$4:$F$378="CV"),29)),"")</f>
        <v>C2, SATCOM and port systems are cyber-dependent</v>
      </c>
      <c r="V33" s="49" t="str">
        <f t="array" ref="V33">IFERROR(INDEX('Factor Analysis'!$G$4:$G$378,_xlfn.AGGREGATE(15,6,(ROW('Factor Analysis'!$F$4:$F$378)-ROW('Factor Analysis'!$F$4)+1)/('Factor Analysis'!$F$4:$F$378="COR"),29)),"")</f>
        <v>Use evidentiary threshold before public attribution</v>
      </c>
      <c r="W33" s="49" t="str">
        <f t="array" ref="W33">IFERROR(INDEX('Factor Analysis'!$G$4:$G$378,_xlfn.AGGREGATE(15,6,(ROW('Factor Analysis'!$F$4:$F$378)-ROW('Factor Analysis'!$F$4)+1)/('Factor Analysis'!$F$4:$F$378="REQT"),29)),"")</f>
        <v>Audience analysis, MOE and message discipline required</v>
      </c>
      <c r="X33" s="49" t="str">
        <f t="array" ref="X33">IFERROR(INDEX('Factor Analysis'!$G$4:$G$378,_xlfn.AGGREGATE(15,6,(ROW('Factor Analysis'!$F$4:$F$378)-ROW('Factor Analysis'!$F$4)+1)/('Factor Analysis'!$F$4:$F$378="REST"),29)),"")</f>
        <v/>
      </c>
      <c r="Y33" s="49" t="str">
        <f t="array" ref="Y33">IFERROR(INDEX('Factor Analysis'!$G$4:$G$378,_xlfn.AGGREGATE(15,6,(ROW('Factor Analysis'!$F$4:$F$378)-ROW('Factor Analysis'!$F$4)+1)/('Factor Analysis'!$F$4:$F$378="KCD-MUST"),29)),"")</f>
        <v>NEO planning starts before open force entry</v>
      </c>
      <c r="Z33" s="49" t="str">
        <f t="array" ref="Z33">IFERROR(INDEX('Factor Analysis'!$G$4:$G$378,_xlfn.AGGREGATE(15,6,(ROW('Factor Analysis'!$F$4:$F$378)-ROW('Factor Analysis'!$F$4)+1)/('Factor Analysis'!$F$4:$F$378="KCD-SHOULD"),29)),"")</f>
        <v/>
      </c>
      <c r="AA33" s="49" t="str">
        <f t="array" ref="AA33">IFERROR(INDEX('Factor Analysis'!$G$4:$G$378,_xlfn.AGGREGATE(15,6,(ROW('Factor Analysis'!$F$4:$F$378)-ROW('Factor Analysis'!$F$4)+1)/('Factor Analysis'!$F$4:$F$378="KCD-SHOULD NOT"),29)),"")</f>
        <v/>
      </c>
      <c r="AB33" s="49" t="str">
        <f t="array" ref="AB33">IFERROR(INDEX('Factor Analysis'!$G$4:$G$378,_xlfn.AGGREGATE(15,6,(ROW('Factor Analysis'!$F$4:$F$378)-ROW('Factor Analysis'!$F$4)+1)/('Factor Analysis'!$F$4:$F$378="KCD-CANNOT"),29)),"")</f>
        <v/>
      </c>
      <c r="AC33" s="49" t="str">
        <f t="array" ref="AC33">IFERROR(INDEX('Factor Analysis'!$G$4:$G$378,_xlfn.AGGREGATE(15,6,(ROW('Factor Analysis'!$F$4:$F$378)-ROW('Factor Analysis'!$F$4)+1)/('Factor Analysis'!$F$4:$F$378="DECISION"),29)),"")</f>
        <v/>
      </c>
      <c r="AD33" s="49" t="str">
        <f t="array" ref="AD33">IFERROR(INDEX('Factor Analysis'!$G$4:$G$378,_xlfn.AGGREGATE(15,6,(ROW('Factor Analysis'!$F$4:$F$378)-ROW('Factor Analysis'!$F$4)+1)/('Factor Analysis'!$F$4:$F$378="ASSUMPTION"),29)),"")</f>
        <v/>
      </c>
      <c r="AE33" s="49" t="str">
        <f t="array" ref="AE33">IFERROR(INDEX('Factor Analysis'!$G$4:$G$378,_xlfn.AGGREGATE(15,6,(ROW('Factor Analysis'!$F$4:$F$378)-ROW('Factor Analysis'!$F$4)+1)/('Factor Analysis'!$F$4:$F$378="CONSTRAINT"),29)),"")</f>
        <v/>
      </c>
      <c r="AF33" s="49" t="str">
        <f t="array" ref="AF33">IFERROR(INDEX('Factor Analysis'!$G$4:$G$378,_xlfn.AGGREGATE(15,6,(ROW('Factor Analysis'!$F$4:$F$378)-ROW('Factor Analysis'!$F$4)+1)/('Factor Analysis'!$F$4:$F$378="LIMITATION"),29)),"")</f>
        <v/>
      </c>
      <c r="AG33" s="49" t="str">
        <f t="array" ref="AG33">IFERROR(INDEX('Factor Analysis'!$G$4:$G$378,_xlfn.AGGREGATE(15,6,(ROW('Factor Analysis'!$F$4:$F$378)-ROW('Factor Analysis'!$F$4)+1)/('Factor Analysis'!$F$4:$F$378="CC"),29)),"")</f>
        <v/>
      </c>
      <c r="AH33" s="49" t="str">
        <f t="array" ref="AH33">IFERROR(INDEX('Factor Analysis'!$G$4:$G$378,_xlfn.AGGREGATE(15,6,(ROW('Factor Analysis'!$F$4:$F$378)-ROW('Factor Analysis'!$F$4)+1)/('Factor Analysis'!$F$4:$F$378="CR"),29)),"")</f>
        <v/>
      </c>
      <c r="AI33" s="92" t="str">
        <f t="array" ref="AI33">IFERROR(INDEX('Factor Analysis'!$G$4:$G$378,_xlfn.AGGREGATE(15,6,(ROW('Factor Analysis'!$F$4:$F$378)-ROW('Factor Analysis'!$F$4)+1)/('Factor Analysis'!$F$4:$F$378="PCS"),29)),"")</f>
        <v/>
      </c>
    </row>
    <row r="34" spans="1:35" ht="39.75" customHeight="1">
      <c r="A34" s="38"/>
      <c r="B34" s="39" t="str">
        <f t="array" ref="B34">IFERROR(INDEX('Factor Analysis'!$G$4:$G$378,_xlfn.AGGREGATE(15,6,(ROW('Factor Analysis'!$F$4:$F$378)-ROW('Factor Analysis'!$F$4)+1)/('Factor Analysis'!$F$4:$F$378="MSO"),30)),"")</f>
        <v/>
      </c>
      <c r="C34" s="40" t="str">
        <f t="array" ref="C34">IFERROR(INDEX('Factor Analysis'!$A$4:$A$378,_xlfn.AGGREGATE(15,6,(ROW('Factor Analysis'!$F$4:$F$378)-ROW('Factor Analysis'!$F$4)+1)/('Factor Analysis'!$F$4:$F$378="MSO"),30)),"")</f>
        <v/>
      </c>
      <c r="D34" s="41"/>
      <c r="E34" s="42"/>
      <c r="F34" s="42"/>
      <c r="G34" s="42" t="str">
        <f t="shared" si="0"/>
        <v/>
      </c>
      <c r="H34" s="43" t="str">
        <f t="array" ref="H34">IFERROR(INDEX('Factor Analysis'!$G$4:$G$378,_xlfn.AGGREGATE(15,6,(ROW('Factor Analysis'!$F$4:$F$378)-ROW('Factor Analysis'!$F$4)+1)/('Factor Analysis'!$F$4:$F$378="OO"),30)),"")</f>
        <v/>
      </c>
      <c r="I34" s="44" t="str">
        <f t="array" ref="I34">IFERROR(INDEX('Factor Analysis'!$A$4:$A$378,_xlfn.AGGREGATE(15,6,(ROW('Factor Analysis'!$F$4:$F$378)-ROW('Factor Analysis'!$F$4)+1)/('Factor Analysis'!$F$4:$F$378="OO"),30)),"")</f>
        <v/>
      </c>
      <c r="J34" s="41"/>
      <c r="K34" s="45"/>
      <c r="L34" s="45"/>
      <c r="M34" s="45"/>
      <c r="N34" s="45" t="str">
        <f t="shared" si="1"/>
        <v/>
      </c>
      <c r="O34" s="46" t="str">
        <f t="array" ref="O34">IFERROR(INDEX('Factor Analysis'!$G$4:$G$378,_xlfn.AGGREGATE(15,6,(ROW('Factor Analysis'!$F$4:$F$378)-ROW('Factor Analysis'!$F$4)+1)/('Factor Analysis'!$F$4:$F$378="DC"),30)),"")</f>
        <v/>
      </c>
      <c r="P34" s="47" t="str">
        <f t="array" ref="P34">IFERROR(INDEX('Factor Analysis'!$A$4:$A$378,_xlfn.AGGREGATE(15,6,(ROW('Factor Analysis'!$F$4:$F$378)-ROW('Factor Analysis'!$F$4)+1)/('Factor Analysis'!$F$4:$F$378="DC"),30)),"")</f>
        <v/>
      </c>
      <c r="Q34" s="48"/>
      <c r="R34" s="49" t="str">
        <f t="array" ref="R34">IFERROR(INDEX('Factor Analysis'!$G$4:$G$378,_xlfn.AGGREGATE(15,6,(ROW('Factor Analysis'!$F$4:$F$378)-ROW('Factor Analysis'!$F$4)+1)/('Factor Analysis'!$F$4:$F$378="OE"),30)),"")</f>
        <v/>
      </c>
      <c r="S34" s="49" t="str">
        <f t="array" ref="S34">IFERROR(INDEX('Factor Analysis'!$G$4:$G$378,_xlfn.AGGREGATE(15,6,(ROW('Factor Analysis'!$F$4:$F$378)-ROW('Factor Analysis'!$F$4)+1)/('Factor Analysis'!$F$4:$F$378="OA"),30)),"")</f>
        <v/>
      </c>
      <c r="T34" s="49" t="str">
        <f t="array" ref="T34">IFERROR(INDEX('Factor Analysis'!$G$4:$G$378,_xlfn.AGGREGATE(15,6,(ROW('Factor Analysis'!$F$4:$F$378)-ROW('Factor Analysis'!$F$4)+1)/('Factor Analysis'!$F$4:$F$378="RISK"),30)),"")</f>
        <v>Aircraft loss shifts political risk tolerance</v>
      </c>
      <c r="U34" s="49" t="str">
        <f t="array" ref="U34">IFERROR(INDEX('Factor Analysis'!$G$4:$G$378,_xlfn.AGGREGATE(15,6,(ROW('Factor Analysis'!$F$4:$F$378)-ROW('Factor Analysis'!$F$4)+1)/('Factor Analysis'!$F$4:$F$378="CV"),30)),"")</f>
        <v/>
      </c>
      <c r="V34" s="49" t="str">
        <f t="array" ref="V34">IFERROR(INDEX('Factor Analysis'!$G$4:$G$378,_xlfn.AGGREGATE(15,6,(ROW('Factor Analysis'!$F$4:$F$378)-ROW('Factor Analysis'!$F$4)+1)/('Factor Analysis'!$F$4:$F$378="COR"),30)),"")</f>
        <v>Exploit UNSCR/sanctions mechanisms and maritime inspection</v>
      </c>
      <c r="W34" s="49" t="str">
        <f t="array" ref="W34">IFERROR(INDEX('Factor Analysis'!$G$4:$G$378,_xlfn.AGGREGATE(15,6,(ROW('Factor Analysis'!$F$4:$F$378)-ROW('Factor Analysis'!$F$4)+1)/('Factor Analysis'!$F$4:$F$378="REQT"),30)),"")</f>
        <v>PA, LEGAD, targeting, CIMIC and J2 fusion required</v>
      </c>
      <c r="X34" s="49" t="str">
        <f t="array" ref="X34">IFERROR(INDEX('Factor Analysis'!$G$4:$G$378,_xlfn.AGGREGATE(15,6,(ROW('Factor Analysis'!$F$4:$F$378)-ROW('Factor Analysis'!$F$4)+1)/('Factor Analysis'!$F$4:$F$378="REST"),30)),"")</f>
        <v/>
      </c>
      <c r="Y34" s="49" t="str">
        <f t="array" ref="Y34">IFERROR(INDEX('Factor Analysis'!$G$4:$G$378,_xlfn.AGGREGATE(15,6,(ROW('Factor Analysis'!$F$4:$F$378)-ROW('Factor Analysis'!$F$4)+1)/('Factor Analysis'!$F$4:$F$378="KCD-MUST"),30)),"")</f>
        <v>Protect essential services at secured nodes</v>
      </c>
      <c r="Z34" s="49" t="str">
        <f t="array" ref="Z34">IFERROR(INDEX('Factor Analysis'!$G$4:$G$378,_xlfn.AGGREGATE(15,6,(ROW('Factor Analysis'!$F$4:$F$378)-ROW('Factor Analysis'!$F$4)+1)/('Factor Analysis'!$F$4:$F$378="KCD-SHOULD"),30)),"")</f>
        <v/>
      </c>
      <c r="AA34" s="49" t="str">
        <f t="array" ref="AA34">IFERROR(INDEX('Factor Analysis'!$G$4:$G$378,_xlfn.AGGREGATE(15,6,(ROW('Factor Analysis'!$F$4:$F$378)-ROW('Factor Analysis'!$F$4)+1)/('Factor Analysis'!$F$4:$F$378="KCD-SHOULD NOT"),30)),"")</f>
        <v/>
      </c>
      <c r="AB34" s="49" t="str">
        <f t="array" ref="AB34">IFERROR(INDEX('Factor Analysis'!$G$4:$G$378,_xlfn.AGGREGATE(15,6,(ROW('Factor Analysis'!$F$4:$F$378)-ROW('Factor Analysis'!$F$4)+1)/('Factor Analysis'!$F$4:$F$378="KCD-CANNOT"),30)),"")</f>
        <v/>
      </c>
      <c r="AC34" s="49" t="str">
        <f t="array" ref="AC34">IFERROR(INDEX('Factor Analysis'!$G$4:$G$378,_xlfn.AGGREGATE(15,6,(ROW('Factor Analysis'!$F$4:$F$378)-ROW('Factor Analysis'!$F$4)+1)/('Factor Analysis'!$F$4:$F$378="DECISION"),30)),"")</f>
        <v/>
      </c>
      <c r="AD34" s="49" t="str">
        <f t="array" ref="AD34">IFERROR(INDEX('Factor Analysis'!$G$4:$G$378,_xlfn.AGGREGATE(15,6,(ROW('Factor Analysis'!$F$4:$F$378)-ROW('Factor Analysis'!$F$4)+1)/('Factor Analysis'!$F$4:$F$378="ASSUMPTION"),30)),"")</f>
        <v/>
      </c>
      <c r="AE34" s="49" t="str">
        <f t="array" ref="AE34">IFERROR(INDEX('Factor Analysis'!$G$4:$G$378,_xlfn.AGGREGATE(15,6,(ROW('Factor Analysis'!$F$4:$F$378)-ROW('Factor Analysis'!$F$4)+1)/('Factor Analysis'!$F$4:$F$378="CONSTRAINT"),30)),"")</f>
        <v/>
      </c>
      <c r="AF34" s="49" t="str">
        <f t="array" ref="AF34">IFERROR(INDEX('Factor Analysis'!$G$4:$G$378,_xlfn.AGGREGATE(15,6,(ROW('Factor Analysis'!$F$4:$F$378)-ROW('Factor Analysis'!$F$4)+1)/('Factor Analysis'!$F$4:$F$378="LIMITATION"),30)),"")</f>
        <v/>
      </c>
      <c r="AG34" s="49" t="str">
        <f t="array" ref="AG34">IFERROR(INDEX('Factor Analysis'!$G$4:$G$378,_xlfn.AGGREGATE(15,6,(ROW('Factor Analysis'!$F$4:$F$378)-ROW('Factor Analysis'!$F$4)+1)/('Factor Analysis'!$F$4:$F$378="CC"),30)),"")</f>
        <v/>
      </c>
      <c r="AH34" s="49" t="str">
        <f t="array" ref="AH34">IFERROR(INDEX('Factor Analysis'!$G$4:$G$378,_xlfn.AGGREGATE(15,6,(ROW('Factor Analysis'!$F$4:$F$378)-ROW('Factor Analysis'!$F$4)+1)/('Factor Analysis'!$F$4:$F$378="CR"),30)),"")</f>
        <v/>
      </c>
      <c r="AI34" s="92" t="str">
        <f t="array" ref="AI34">IFERROR(INDEX('Factor Analysis'!$G$4:$G$378,_xlfn.AGGREGATE(15,6,(ROW('Factor Analysis'!$F$4:$F$378)-ROW('Factor Analysis'!$F$4)+1)/('Factor Analysis'!$F$4:$F$378="PCS"),30)),"")</f>
        <v/>
      </c>
    </row>
    <row r="35" spans="1:35" ht="39.75" customHeight="1">
      <c r="A35" s="38"/>
      <c r="B35" s="39" t="str">
        <f t="array" ref="B35">IFERROR(INDEX('Factor Analysis'!$G$4:$G$378,_xlfn.AGGREGATE(15,6,(ROW('Factor Analysis'!$F$4:$F$378)-ROW('Factor Analysis'!$F$4)+1)/('Factor Analysis'!$F$4:$F$378="MSO"),31)),"")</f>
        <v/>
      </c>
      <c r="C35" s="40" t="str">
        <f t="array" ref="C35">IFERROR(INDEX('Factor Analysis'!$A$4:$A$378,_xlfn.AGGREGATE(15,6,(ROW('Factor Analysis'!$F$4:$F$378)-ROW('Factor Analysis'!$F$4)+1)/('Factor Analysis'!$F$4:$F$378="MSO"),31)),"")</f>
        <v/>
      </c>
      <c r="D35" s="41"/>
      <c r="E35" s="42"/>
      <c r="F35" s="42"/>
      <c r="G35" s="42" t="str">
        <f t="shared" si="0"/>
        <v/>
      </c>
      <c r="H35" s="43" t="str">
        <f t="array" ref="H35">IFERROR(INDEX('Factor Analysis'!$G$4:$G$378,_xlfn.AGGREGATE(15,6,(ROW('Factor Analysis'!$F$4:$F$378)-ROW('Factor Analysis'!$F$4)+1)/('Factor Analysis'!$F$4:$F$378="OO"),31)),"")</f>
        <v/>
      </c>
      <c r="I35" s="44" t="str">
        <f t="array" ref="I35">IFERROR(INDEX('Factor Analysis'!$A$4:$A$378,_xlfn.AGGREGATE(15,6,(ROW('Factor Analysis'!$F$4:$F$378)-ROW('Factor Analysis'!$F$4)+1)/('Factor Analysis'!$F$4:$F$378="OO"),31)),"")</f>
        <v/>
      </c>
      <c r="J35" s="41"/>
      <c r="K35" s="45"/>
      <c r="L35" s="45"/>
      <c r="M35" s="45"/>
      <c r="N35" s="45" t="str">
        <f t="shared" si="1"/>
        <v/>
      </c>
      <c r="O35" s="46" t="str">
        <f t="array" ref="O35">IFERROR(INDEX('Factor Analysis'!$G$4:$G$378,_xlfn.AGGREGATE(15,6,(ROW('Factor Analysis'!$F$4:$F$378)-ROW('Factor Analysis'!$F$4)+1)/('Factor Analysis'!$F$4:$F$378="DC"),31)),"")</f>
        <v/>
      </c>
      <c r="P35" s="47" t="str">
        <f t="array" ref="P35">IFERROR(INDEX('Factor Analysis'!$A$4:$A$378,_xlfn.AGGREGATE(15,6,(ROW('Factor Analysis'!$F$4:$F$378)-ROW('Factor Analysis'!$F$4)+1)/('Factor Analysis'!$F$4:$F$378="DC"),31)),"")</f>
        <v/>
      </c>
      <c r="Q35" s="48"/>
      <c r="R35" s="49" t="str">
        <f t="array" ref="R35">IFERROR(INDEX('Factor Analysis'!$G$4:$G$378,_xlfn.AGGREGATE(15,6,(ROW('Factor Analysis'!$F$4:$F$378)-ROW('Factor Analysis'!$F$4)+1)/('Factor Analysis'!$F$4:$F$378="OE"),31)),"")</f>
        <v/>
      </c>
      <c r="S35" s="49" t="str">
        <f t="array" ref="S35">IFERROR(INDEX('Factor Analysis'!$G$4:$G$378,_xlfn.AGGREGATE(15,6,(ROW('Factor Analysis'!$F$4:$F$378)-ROW('Factor Analysis'!$F$4)+1)/('Factor Analysis'!$F$4:$F$378="OA"),31)),"")</f>
        <v/>
      </c>
      <c r="T35" s="49" t="str">
        <f t="array" ref="T35">IFERROR(INDEX('Factor Analysis'!$G$4:$G$378,_xlfn.AGGREGATE(15,6,(ROW('Factor Analysis'!$F$4:$F$378)-ROW('Factor Analysis'!$F$4)+1)/('Factor Analysis'!$F$4:$F$378="RISK"),31)),"")</f>
        <v>Civilian shipping proximity increases collateral and legal risk</v>
      </c>
      <c r="U35" s="49" t="str">
        <f t="array" ref="U35">IFERROR(INDEX('Factor Analysis'!$G$4:$G$378,_xlfn.AGGREGATE(15,6,(ROW('Factor Analysis'!$F$4:$F$378)-ROW('Factor Analysis'!$F$4)+1)/('Factor Analysis'!$F$4:$F$378="CV"),31)),"")</f>
        <v/>
      </c>
      <c r="V35" s="49" t="str">
        <f t="array" ref="V35">IFERROR(INDEX('Factor Analysis'!$G$4:$G$378,_xlfn.AGGREGATE(15,6,(ROW('Factor Analysis'!$F$4:$F$378)-ROW('Factor Analysis'!$F$4)+1)/('Factor Analysis'!$F$4:$F$378="COR"),31)),"")</f>
        <v>Defend C2, port systems and information channels</v>
      </c>
      <c r="W35" s="49" t="str">
        <f t="array" ref="W35">IFERROR(INDEX('Factor Analysis'!$G$4:$G$378,_xlfn.AGGREGATE(15,6,(ROW('Factor Analysis'!$F$4:$F$378)-ROW('Factor Analysis'!$F$4)+1)/('Factor Analysis'!$F$4:$F$378="REQT"),31)),"")</f>
        <v>CIMIC, HA liaison, medical and movement control required</v>
      </c>
      <c r="X35" s="49" t="str">
        <f t="array" ref="X35">IFERROR(INDEX('Factor Analysis'!$G$4:$G$378,_xlfn.AGGREGATE(15,6,(ROW('Factor Analysis'!$F$4:$F$378)-ROW('Factor Analysis'!$F$4)+1)/('Factor Analysis'!$F$4:$F$378="REST"),31)),"")</f>
        <v/>
      </c>
      <c r="Y35" s="49" t="str">
        <f t="array" ref="Y35">IFERROR(INDEX('Factor Analysis'!$G$4:$G$378,_xlfn.AGGREGATE(15,6,(ROW('Factor Analysis'!$F$4:$F$378)-ROW('Factor Analysis'!$F$4)+1)/('Factor Analysis'!$F$4:$F$378="KCD-MUST"),31)),"")</f>
        <v>Use carefule ROEs</v>
      </c>
      <c r="Z35" s="49" t="str">
        <f t="array" ref="Z35">IFERROR(INDEX('Factor Analysis'!$G$4:$G$378,_xlfn.AGGREGATE(15,6,(ROW('Factor Analysis'!$F$4:$F$378)-ROW('Factor Analysis'!$F$4)+1)/('Factor Analysis'!$F$4:$F$378="KCD-SHOULD"),31)),"")</f>
        <v/>
      </c>
      <c r="AA35" s="49" t="str">
        <f t="array" ref="AA35">IFERROR(INDEX('Factor Analysis'!$G$4:$G$378,_xlfn.AGGREGATE(15,6,(ROW('Factor Analysis'!$F$4:$F$378)-ROW('Factor Analysis'!$F$4)+1)/('Factor Analysis'!$F$4:$F$378="KCD-SHOULD NOT"),31)),"")</f>
        <v/>
      </c>
      <c r="AB35" s="49" t="str">
        <f t="array" ref="AB35">IFERROR(INDEX('Factor Analysis'!$G$4:$G$378,_xlfn.AGGREGATE(15,6,(ROW('Factor Analysis'!$F$4:$F$378)-ROW('Factor Analysis'!$F$4)+1)/('Factor Analysis'!$F$4:$F$378="KCD-CANNOT"),31)),"")</f>
        <v/>
      </c>
      <c r="AC35" s="49" t="str">
        <f t="array" ref="AC35">IFERROR(INDEX('Factor Analysis'!$G$4:$G$378,_xlfn.AGGREGATE(15,6,(ROW('Factor Analysis'!$F$4:$F$378)-ROW('Factor Analysis'!$F$4)+1)/('Factor Analysis'!$F$4:$F$378="DECISION"),31)),"")</f>
        <v/>
      </c>
      <c r="AD35" s="49" t="str">
        <f t="array" ref="AD35">IFERROR(INDEX('Factor Analysis'!$G$4:$G$378,_xlfn.AGGREGATE(15,6,(ROW('Factor Analysis'!$F$4:$F$378)-ROW('Factor Analysis'!$F$4)+1)/('Factor Analysis'!$F$4:$F$378="ASSUMPTION"),31)),"")</f>
        <v/>
      </c>
      <c r="AE35" s="49" t="str">
        <f t="array" ref="AE35">IFERROR(INDEX('Factor Analysis'!$G$4:$G$378,_xlfn.AGGREGATE(15,6,(ROW('Factor Analysis'!$F$4:$F$378)-ROW('Factor Analysis'!$F$4)+1)/('Factor Analysis'!$F$4:$F$378="CONSTRAINT"),31)),"")</f>
        <v/>
      </c>
      <c r="AF35" s="49" t="str">
        <f t="array" ref="AF35">IFERROR(INDEX('Factor Analysis'!$G$4:$G$378,_xlfn.AGGREGATE(15,6,(ROW('Factor Analysis'!$F$4:$F$378)-ROW('Factor Analysis'!$F$4)+1)/('Factor Analysis'!$F$4:$F$378="LIMITATION"),31)),"")</f>
        <v/>
      </c>
      <c r="AG35" s="49" t="str">
        <f t="array" ref="AG35">IFERROR(INDEX('Factor Analysis'!$G$4:$G$378,_xlfn.AGGREGATE(15,6,(ROW('Factor Analysis'!$F$4:$F$378)-ROW('Factor Analysis'!$F$4)+1)/('Factor Analysis'!$F$4:$F$378="CC"),31)),"")</f>
        <v/>
      </c>
      <c r="AH35" s="49" t="str">
        <f t="array" ref="AH35">IFERROR(INDEX('Factor Analysis'!$G$4:$G$378,_xlfn.AGGREGATE(15,6,(ROW('Factor Analysis'!$F$4:$F$378)-ROW('Factor Analysis'!$F$4)+1)/('Factor Analysis'!$F$4:$F$378="CR"),31)),"")</f>
        <v/>
      </c>
      <c r="AI35" s="92" t="str">
        <f t="array" ref="AI35">IFERROR(INDEX('Factor Analysis'!$G$4:$G$378,_xlfn.AGGREGATE(15,6,(ROW('Factor Analysis'!$F$4:$F$378)-ROW('Factor Analysis'!$F$4)+1)/('Factor Analysis'!$F$4:$F$378="PCS"),31)),"")</f>
        <v/>
      </c>
    </row>
    <row r="36" spans="1:35" ht="39.75" customHeight="1">
      <c r="A36" s="38"/>
      <c r="B36" s="39" t="str">
        <f t="array" ref="B36">IFERROR(INDEX('Factor Analysis'!$G$4:$G$378,_xlfn.AGGREGATE(15,6,(ROW('Factor Analysis'!$F$4:$F$378)-ROW('Factor Analysis'!$F$4)+1)/('Factor Analysis'!$F$4:$F$378="MSO"),32)),"")</f>
        <v/>
      </c>
      <c r="C36" s="40" t="str">
        <f t="array" ref="C36">IFERROR(INDEX('Factor Analysis'!$A$4:$A$378,_xlfn.AGGREGATE(15,6,(ROW('Factor Analysis'!$F$4:$F$378)-ROW('Factor Analysis'!$F$4)+1)/('Factor Analysis'!$F$4:$F$378="MSO"),32)),"")</f>
        <v/>
      </c>
      <c r="D36" s="41"/>
      <c r="E36" s="42"/>
      <c r="F36" s="42"/>
      <c r="G36" s="42" t="str">
        <f t="shared" si="0"/>
        <v/>
      </c>
      <c r="H36" s="43" t="str">
        <f t="array" ref="H36">IFERROR(INDEX('Factor Analysis'!$G$4:$G$378,_xlfn.AGGREGATE(15,6,(ROW('Factor Analysis'!$F$4:$F$378)-ROW('Factor Analysis'!$F$4)+1)/('Factor Analysis'!$F$4:$F$378="OO"),32)),"")</f>
        <v/>
      </c>
      <c r="I36" s="44" t="str">
        <f t="array" ref="I36">IFERROR(INDEX('Factor Analysis'!$A$4:$A$378,_xlfn.AGGREGATE(15,6,(ROW('Factor Analysis'!$F$4:$F$378)-ROW('Factor Analysis'!$F$4)+1)/('Factor Analysis'!$F$4:$F$378="OO"),32)),"")</f>
        <v/>
      </c>
      <c r="J36" s="41"/>
      <c r="K36" s="45"/>
      <c r="L36" s="45"/>
      <c r="M36" s="45"/>
      <c r="N36" s="45" t="str">
        <f t="shared" si="1"/>
        <v/>
      </c>
      <c r="O36" s="46" t="str">
        <f t="array" ref="O36">IFERROR(INDEX('Factor Analysis'!$G$4:$G$378,_xlfn.AGGREGATE(15,6,(ROW('Factor Analysis'!$F$4:$F$378)-ROW('Factor Analysis'!$F$4)+1)/('Factor Analysis'!$F$4:$F$378="DC"),32)),"")</f>
        <v/>
      </c>
      <c r="P36" s="47" t="str">
        <f t="array" ref="P36">IFERROR(INDEX('Factor Analysis'!$A$4:$A$378,_xlfn.AGGREGATE(15,6,(ROW('Factor Analysis'!$F$4:$F$378)-ROW('Factor Analysis'!$F$4)+1)/('Factor Analysis'!$F$4:$F$378="DC"),32)),"")</f>
        <v/>
      </c>
      <c r="Q36" s="48"/>
      <c r="R36" s="49" t="str">
        <f t="array" ref="R36">IFERROR(INDEX('Factor Analysis'!$G$4:$G$378,_xlfn.AGGREGATE(15,6,(ROW('Factor Analysis'!$F$4:$F$378)-ROW('Factor Analysis'!$F$4)+1)/('Factor Analysis'!$F$4:$F$378="OE"),32)),"")</f>
        <v/>
      </c>
      <c r="S36" s="49" t="str">
        <f t="array" ref="S36">IFERROR(INDEX('Factor Analysis'!$G$4:$G$378,_xlfn.AGGREGATE(15,6,(ROW('Factor Analysis'!$F$4:$F$378)-ROW('Factor Analysis'!$F$4)+1)/('Factor Analysis'!$F$4:$F$378="OA"),32)),"")</f>
        <v/>
      </c>
      <c r="T36" s="49" t="str">
        <f t="array" ref="T36">IFERROR(INDEX('Factor Analysis'!$G$4:$G$378,_xlfn.AGGREGATE(15,6,(ROW('Factor Analysis'!$F$4:$F$378)-ROW('Factor Analysis'!$F$4)+1)/('Factor Analysis'!$F$4:$F$378="RISK"),32)),"")</f>
        <v>Terror incident can derail maritime and NEO operations</v>
      </c>
      <c r="U36" s="49" t="str">
        <f t="array" ref="U36">IFERROR(INDEX('Factor Analysis'!$G$4:$G$378,_xlfn.AGGREGATE(15,6,(ROW('Factor Analysis'!$F$4:$F$378)-ROW('Factor Analysis'!$F$4)+1)/('Factor Analysis'!$F$4:$F$378="CV"),32)),"")</f>
        <v/>
      </c>
      <c r="V36" s="49" t="str">
        <f t="array" ref="V36">IFERROR(INDEX('Factor Analysis'!$G$4:$G$378,_xlfn.AGGREGATE(15,6,(ROW('Factor Analysis'!$F$4:$F$378)-ROW('Factor Analysis'!$F$4)+1)/('Factor Analysis'!$F$4:$F$378="COR"),32)),"")</f>
        <v>Acknowledge grievance; deny violent secession and coercion</v>
      </c>
      <c r="W36" s="49" t="str">
        <f t="array" ref="W36">IFERROR(INDEX('Factor Analysis'!$G$4:$G$378,_xlfn.AGGREGATE(15,6,(ROW('Factor Analysis'!$F$4:$F$378)-ROW('Factor Analysis'!$F$4)+1)/('Factor Analysis'!$F$4:$F$378="REQT"),32)),"")</f>
        <v>Consular databases, SOF and HUMINT required to locate and verify national locations</v>
      </c>
      <c r="X36" s="49" t="str">
        <f t="array" ref="X36">IFERROR(INDEX('Factor Analysis'!$G$4:$G$378,_xlfn.AGGREGATE(15,6,(ROW('Factor Analysis'!$F$4:$F$378)-ROW('Factor Analysis'!$F$4)+1)/('Factor Analysis'!$F$4:$F$378="REST"),32)),"")</f>
        <v/>
      </c>
      <c r="Y36" s="49" t="str">
        <f t="array" ref="Y36">IFERROR(INDEX('Factor Analysis'!$G$4:$G$378,_xlfn.AGGREGATE(15,6,(ROW('Factor Analysis'!$F$4:$F$378)-ROW('Factor Analysis'!$F$4)+1)/('Factor Analysis'!$F$4:$F$378="KCD-MUST"),32)),"")</f>
        <v>Protect C2 before expanding joint tempo</v>
      </c>
      <c r="Z36" s="49" t="str">
        <f t="array" ref="Z36">IFERROR(INDEX('Factor Analysis'!$G$4:$G$378,_xlfn.AGGREGATE(15,6,(ROW('Factor Analysis'!$F$4:$F$378)-ROW('Factor Analysis'!$F$4)+1)/('Factor Analysis'!$F$4:$F$378="KCD-SHOULD"),32)),"")</f>
        <v/>
      </c>
      <c r="AA36" s="49" t="str">
        <f t="array" ref="AA36">IFERROR(INDEX('Factor Analysis'!$G$4:$G$378,_xlfn.AGGREGATE(15,6,(ROW('Factor Analysis'!$F$4:$F$378)-ROW('Factor Analysis'!$F$4)+1)/('Factor Analysis'!$F$4:$F$378="KCD-SHOULD NOT"),32)),"")</f>
        <v/>
      </c>
      <c r="AB36" s="49" t="str">
        <f t="array" ref="AB36">IFERROR(INDEX('Factor Analysis'!$G$4:$G$378,_xlfn.AGGREGATE(15,6,(ROW('Factor Analysis'!$F$4:$F$378)-ROW('Factor Analysis'!$F$4)+1)/('Factor Analysis'!$F$4:$F$378="KCD-CANNOT"),32)),"")</f>
        <v/>
      </c>
      <c r="AC36" s="49" t="str">
        <f t="array" ref="AC36">IFERROR(INDEX('Factor Analysis'!$G$4:$G$378,_xlfn.AGGREGATE(15,6,(ROW('Factor Analysis'!$F$4:$F$378)-ROW('Factor Analysis'!$F$4)+1)/('Factor Analysis'!$F$4:$F$378="DECISION"),32)),"")</f>
        <v/>
      </c>
      <c r="AD36" s="49" t="str">
        <f t="array" ref="AD36">IFERROR(INDEX('Factor Analysis'!$G$4:$G$378,_xlfn.AGGREGATE(15,6,(ROW('Factor Analysis'!$F$4:$F$378)-ROW('Factor Analysis'!$F$4)+1)/('Factor Analysis'!$F$4:$F$378="ASSUMPTION"),32)),"")</f>
        <v/>
      </c>
      <c r="AE36" s="49" t="str">
        <f t="array" ref="AE36">IFERROR(INDEX('Factor Analysis'!$G$4:$G$378,_xlfn.AGGREGATE(15,6,(ROW('Factor Analysis'!$F$4:$F$378)-ROW('Factor Analysis'!$F$4)+1)/('Factor Analysis'!$F$4:$F$378="CONSTRAINT"),32)),"")</f>
        <v/>
      </c>
      <c r="AF36" s="49" t="str">
        <f t="array" ref="AF36">IFERROR(INDEX('Factor Analysis'!$G$4:$G$378,_xlfn.AGGREGATE(15,6,(ROW('Factor Analysis'!$F$4:$F$378)-ROW('Factor Analysis'!$F$4)+1)/('Factor Analysis'!$F$4:$F$378="LIMITATION"),32)),"")</f>
        <v/>
      </c>
      <c r="AG36" s="49" t="str">
        <f t="array" ref="AG36">IFERROR(INDEX('Factor Analysis'!$G$4:$G$378,_xlfn.AGGREGATE(15,6,(ROW('Factor Analysis'!$F$4:$F$378)-ROW('Factor Analysis'!$F$4)+1)/('Factor Analysis'!$F$4:$F$378="CC"),32)),"")</f>
        <v/>
      </c>
      <c r="AH36" s="49" t="str">
        <f t="array" ref="AH36">IFERROR(INDEX('Factor Analysis'!$G$4:$G$378,_xlfn.AGGREGATE(15,6,(ROW('Factor Analysis'!$F$4:$F$378)-ROW('Factor Analysis'!$F$4)+1)/('Factor Analysis'!$F$4:$F$378="CR"),32)),"")</f>
        <v/>
      </c>
      <c r="AI36" s="92" t="str">
        <f t="array" ref="AI36">IFERROR(INDEX('Factor Analysis'!$G$4:$G$378,_xlfn.AGGREGATE(15,6,(ROW('Factor Analysis'!$F$4:$F$378)-ROW('Factor Analysis'!$F$4)+1)/('Factor Analysis'!$F$4:$F$378="PCS"),32)),"")</f>
        <v/>
      </c>
    </row>
    <row r="37" spans="1:35" ht="39.75" customHeight="1">
      <c r="A37" s="38"/>
      <c r="B37" s="39" t="str">
        <f t="array" ref="B37">IFERROR(INDEX('Factor Analysis'!$G$4:$G$378,_xlfn.AGGREGATE(15,6,(ROW('Factor Analysis'!$F$4:$F$378)-ROW('Factor Analysis'!$F$4)+1)/('Factor Analysis'!$F$4:$F$378="MSO"),33)),"")</f>
        <v/>
      </c>
      <c r="C37" s="40" t="str">
        <f t="array" ref="C37">IFERROR(INDEX('Factor Analysis'!$A$4:$A$378,_xlfn.AGGREGATE(15,6,(ROW('Factor Analysis'!$F$4:$F$378)-ROW('Factor Analysis'!$F$4)+1)/('Factor Analysis'!$F$4:$F$378="MSO"),33)),"")</f>
        <v/>
      </c>
      <c r="D37" s="41"/>
      <c r="E37" s="42"/>
      <c r="F37" s="42"/>
      <c r="G37" s="42" t="str">
        <f t="shared" ref="G37:G54" si="2">IFERROR(IF(E37="","",TEXT(E37,"0")&amp;"."&amp;TEXT(F37,"0")),"")</f>
        <v/>
      </c>
      <c r="H37" s="43" t="str">
        <f t="array" ref="H37">IFERROR(INDEX('Factor Analysis'!$G$4:$G$378,_xlfn.AGGREGATE(15,6,(ROW('Factor Analysis'!$F$4:$F$378)-ROW('Factor Analysis'!$F$4)+1)/('Factor Analysis'!$F$4:$F$378="OO"),33)),"")</f>
        <v/>
      </c>
      <c r="I37" s="44" t="str">
        <f t="array" ref="I37">IFERROR(INDEX('Factor Analysis'!$A$4:$A$378,_xlfn.AGGREGATE(15,6,(ROW('Factor Analysis'!$F$4:$F$378)-ROW('Factor Analysis'!$F$4)+1)/('Factor Analysis'!$F$4:$F$378="OO"),33)),"")</f>
        <v/>
      </c>
      <c r="J37" s="41"/>
      <c r="K37" s="45"/>
      <c r="L37" s="45"/>
      <c r="M37" s="45"/>
      <c r="N37" s="45" t="str">
        <f t="shared" ref="N37:N54" si="3">IFERROR(IF(K37="","",TEXT(K37,"0")&amp;"."&amp;TEXT(L37,"0")&amp;"."&amp;TEXT(M37,"0")),"")</f>
        <v/>
      </c>
      <c r="O37" s="46" t="str">
        <f t="array" ref="O37">IFERROR(INDEX('Factor Analysis'!$G$4:$G$378,_xlfn.AGGREGATE(15,6,(ROW('Factor Analysis'!$F$4:$F$378)-ROW('Factor Analysis'!$F$4)+1)/('Factor Analysis'!$F$4:$F$378="DC"),33)),"")</f>
        <v/>
      </c>
      <c r="P37" s="47" t="str">
        <f t="array" ref="P37">IFERROR(INDEX('Factor Analysis'!$A$4:$A$378,_xlfn.AGGREGATE(15,6,(ROW('Factor Analysis'!$F$4:$F$378)-ROW('Factor Analysis'!$F$4)+1)/('Factor Analysis'!$F$4:$F$378="DC"),33)),"")</f>
        <v/>
      </c>
      <c r="Q37" s="48"/>
      <c r="R37" s="49" t="str">
        <f t="array" ref="R37">IFERROR(INDEX('Factor Analysis'!$G$4:$G$378,_xlfn.AGGREGATE(15,6,(ROW('Factor Analysis'!$F$4:$F$378)-ROW('Factor Analysis'!$F$4)+1)/('Factor Analysis'!$F$4:$F$378="OE"),33)),"")</f>
        <v/>
      </c>
      <c r="S37" s="49" t="str">
        <f t="array" ref="S37">IFERROR(INDEX('Factor Analysis'!$G$4:$G$378,_xlfn.AGGREGATE(15,6,(ROW('Factor Analysis'!$F$4:$F$378)-ROW('Factor Analysis'!$F$4)+1)/('Factor Analysis'!$F$4:$F$378="OA"),33)),"")</f>
        <v/>
      </c>
      <c r="T37" s="49" t="str">
        <f t="array" ref="T37">IFERROR(INDEX('Factor Analysis'!$G$4:$G$378,_xlfn.AGGREGATE(15,6,(ROW('Factor Analysis'!$F$4:$F$378)-ROW('Factor Analysis'!$F$4)+1)/('Factor Analysis'!$F$4:$F$378="RISK"),33)),"")</f>
        <v>Over-claiming terrorist links reduces credibility</v>
      </c>
      <c r="U37" s="49" t="str">
        <f t="array" ref="U37">IFERROR(INDEX('Factor Analysis'!$G$4:$G$378,_xlfn.AGGREGATE(15,6,(ROW('Factor Analysis'!$F$4:$F$378)-ROW('Factor Analysis'!$F$4)+1)/('Factor Analysis'!$F$4:$F$378="CV"),33)),"")</f>
        <v/>
      </c>
      <c r="V37" s="49" t="str">
        <f t="array" ref="V37">IFERROR(INDEX('Factor Analysis'!$G$4:$G$378,_xlfn.AGGREGATE(15,6,(ROW('Factor Analysis'!$F$4:$F$378)-ROW('Factor Analysis'!$F$4)+1)/('Factor Analysis'!$F$4:$F$378="COR"),33)),"")</f>
        <v>Segment GoIND, Sumatrans, IRS, ASEAN, shippers and NATO publics</v>
      </c>
      <c r="W37" s="49" t="str">
        <f t="array" ref="W37">IFERROR(INDEX('Factor Analysis'!$G$4:$G$378,_xlfn.AGGREGATE(15,6,(ROW('Factor Analysis'!$F$4:$F$378)-ROW('Factor Analysis'!$F$4)+1)/('Factor Analysis'!$F$4:$F$378="REQT"),33)),"")</f>
        <v>SOF, consular data, lift, medical and extraction sites required</v>
      </c>
      <c r="X37" s="49" t="str">
        <f t="array" ref="X37">IFERROR(INDEX('Factor Analysis'!$G$4:$G$378,_xlfn.AGGREGATE(15,6,(ROW('Factor Analysis'!$F$4:$F$378)-ROW('Factor Analysis'!$F$4)+1)/('Factor Analysis'!$F$4:$F$378="REST"),33)),"")</f>
        <v/>
      </c>
      <c r="Y37" s="49" t="str">
        <f t="array" ref="Y37">IFERROR(INDEX('Factor Analysis'!$G$4:$G$378,_xlfn.AGGREGATE(15,6,(ROW('Factor Analysis'!$F$4:$F$378)-ROW('Factor Analysis'!$F$4)+1)/('Factor Analysis'!$F$4:$F$378="KCD-MUST"),33)),"")</f>
        <v>Use analysis to drive force, access and decision requests</v>
      </c>
      <c r="Z37" s="49" t="str">
        <f t="array" ref="Z37">IFERROR(INDEX('Factor Analysis'!$G$4:$G$378,_xlfn.AGGREGATE(15,6,(ROW('Factor Analysis'!$F$4:$F$378)-ROW('Factor Analysis'!$F$4)+1)/('Factor Analysis'!$F$4:$F$378="KCD-SHOULD"),33)),"")</f>
        <v/>
      </c>
      <c r="AA37" s="49" t="str">
        <f t="array" ref="AA37">IFERROR(INDEX('Factor Analysis'!$G$4:$G$378,_xlfn.AGGREGATE(15,6,(ROW('Factor Analysis'!$F$4:$F$378)-ROW('Factor Analysis'!$F$4)+1)/('Factor Analysis'!$F$4:$F$378="KCD-SHOULD NOT"),33)),"")</f>
        <v/>
      </c>
      <c r="AB37" s="49" t="str">
        <f t="array" ref="AB37">IFERROR(INDEX('Factor Analysis'!$G$4:$G$378,_xlfn.AGGREGATE(15,6,(ROW('Factor Analysis'!$F$4:$F$378)-ROW('Factor Analysis'!$F$4)+1)/('Factor Analysis'!$F$4:$F$378="KCD-CANNOT"),33)),"")</f>
        <v/>
      </c>
      <c r="AC37" s="49" t="str">
        <f t="array" ref="AC37">IFERROR(INDEX('Factor Analysis'!$G$4:$G$378,_xlfn.AGGREGATE(15,6,(ROW('Factor Analysis'!$F$4:$F$378)-ROW('Factor Analysis'!$F$4)+1)/('Factor Analysis'!$F$4:$F$378="DECISION"),33)),"")</f>
        <v/>
      </c>
      <c r="AD37" s="49" t="str">
        <f t="array" ref="AD37">IFERROR(INDEX('Factor Analysis'!$G$4:$G$378,_xlfn.AGGREGATE(15,6,(ROW('Factor Analysis'!$F$4:$F$378)-ROW('Factor Analysis'!$F$4)+1)/('Factor Analysis'!$F$4:$F$378="ASSUMPTION"),33)),"")</f>
        <v/>
      </c>
      <c r="AE37" s="49" t="str">
        <f t="array" ref="AE37">IFERROR(INDEX('Factor Analysis'!$G$4:$G$378,_xlfn.AGGREGATE(15,6,(ROW('Factor Analysis'!$F$4:$F$378)-ROW('Factor Analysis'!$F$4)+1)/('Factor Analysis'!$F$4:$F$378="CONSTRAINT"),33)),"")</f>
        <v/>
      </c>
      <c r="AF37" s="49" t="str">
        <f t="array" ref="AF37">IFERROR(INDEX('Factor Analysis'!$G$4:$G$378,_xlfn.AGGREGATE(15,6,(ROW('Factor Analysis'!$F$4:$F$378)-ROW('Factor Analysis'!$F$4)+1)/('Factor Analysis'!$F$4:$F$378="LIMITATION"),33)),"")</f>
        <v/>
      </c>
      <c r="AG37" s="49" t="str">
        <f t="array" ref="AG37">IFERROR(INDEX('Factor Analysis'!$G$4:$G$378,_xlfn.AGGREGATE(15,6,(ROW('Factor Analysis'!$F$4:$F$378)-ROW('Factor Analysis'!$F$4)+1)/('Factor Analysis'!$F$4:$F$378="CC"),33)),"")</f>
        <v/>
      </c>
      <c r="AH37" s="49" t="str">
        <f t="array" ref="AH37">IFERROR(INDEX('Factor Analysis'!$G$4:$G$378,_xlfn.AGGREGATE(15,6,(ROW('Factor Analysis'!$F$4:$F$378)-ROW('Factor Analysis'!$F$4)+1)/('Factor Analysis'!$F$4:$F$378="CR"),33)),"")</f>
        <v/>
      </c>
      <c r="AI37" s="92" t="str">
        <f t="array" ref="AI37">IFERROR(INDEX('Factor Analysis'!$G$4:$G$378,_xlfn.AGGREGATE(15,6,(ROW('Factor Analysis'!$F$4:$F$378)-ROW('Factor Analysis'!$F$4)+1)/('Factor Analysis'!$F$4:$F$378="PCS"),33)),"")</f>
        <v/>
      </c>
    </row>
    <row r="38" spans="1:35" ht="39.75" customHeight="1">
      <c r="A38" s="38"/>
      <c r="B38" s="39" t="str">
        <f t="array" ref="B38">IFERROR(INDEX('Factor Analysis'!$G$4:$G$378,_xlfn.AGGREGATE(15,6,(ROW('Factor Analysis'!$F$4:$F$378)-ROW('Factor Analysis'!$F$4)+1)/('Factor Analysis'!$F$4:$F$378="MSO"),34)),"")</f>
        <v/>
      </c>
      <c r="C38" s="40" t="str">
        <f t="array" ref="C38">IFERROR(INDEX('Factor Analysis'!$A$4:$A$378,_xlfn.AGGREGATE(15,6,(ROW('Factor Analysis'!$F$4:$F$378)-ROW('Factor Analysis'!$F$4)+1)/('Factor Analysis'!$F$4:$F$378="MSO"),34)),"")</f>
        <v/>
      </c>
      <c r="D38" s="41"/>
      <c r="E38" s="42"/>
      <c r="F38" s="42"/>
      <c r="G38" s="42" t="str">
        <f t="shared" si="2"/>
        <v/>
      </c>
      <c r="H38" s="43" t="str">
        <f t="array" ref="H38">IFERROR(INDEX('Factor Analysis'!$G$4:$G$378,_xlfn.AGGREGATE(15,6,(ROW('Factor Analysis'!$F$4:$F$378)-ROW('Factor Analysis'!$F$4)+1)/('Factor Analysis'!$F$4:$F$378="OO"),34)),"")</f>
        <v/>
      </c>
      <c r="I38" s="44" t="str">
        <f t="array" ref="I38">IFERROR(INDEX('Factor Analysis'!$A$4:$A$378,_xlfn.AGGREGATE(15,6,(ROW('Factor Analysis'!$F$4:$F$378)-ROW('Factor Analysis'!$F$4)+1)/('Factor Analysis'!$F$4:$F$378="OO"),34)),"")</f>
        <v/>
      </c>
      <c r="J38" s="41"/>
      <c r="K38" s="45"/>
      <c r="L38" s="45"/>
      <c r="M38" s="45"/>
      <c r="N38" s="45" t="str">
        <f t="shared" si="3"/>
        <v/>
      </c>
      <c r="O38" s="46" t="str">
        <f t="array" ref="O38">IFERROR(INDEX('Factor Analysis'!$G$4:$G$378,_xlfn.AGGREGATE(15,6,(ROW('Factor Analysis'!$F$4:$F$378)-ROW('Factor Analysis'!$F$4)+1)/('Factor Analysis'!$F$4:$F$378="DC"),34)),"")</f>
        <v/>
      </c>
      <c r="P38" s="47" t="str">
        <f t="array" ref="P38">IFERROR(INDEX('Factor Analysis'!$A$4:$A$378,_xlfn.AGGREGATE(15,6,(ROW('Factor Analysis'!$F$4:$F$378)-ROW('Factor Analysis'!$F$4)+1)/('Factor Analysis'!$F$4:$F$378="DC"),34)),"")</f>
        <v/>
      </c>
      <c r="Q38" s="48"/>
      <c r="R38" s="49" t="str">
        <f t="array" ref="R38">IFERROR(INDEX('Factor Analysis'!$G$4:$G$378,_xlfn.AGGREGATE(15,6,(ROW('Factor Analysis'!$F$4:$F$378)-ROW('Factor Analysis'!$F$4)+1)/('Factor Analysis'!$F$4:$F$378="OE"),34)),"")</f>
        <v/>
      </c>
      <c r="S38" s="49" t="str">
        <f t="array" ref="S38">IFERROR(INDEX('Factor Analysis'!$G$4:$G$378,_xlfn.AGGREGATE(15,6,(ROW('Factor Analysis'!$F$4:$F$378)-ROW('Factor Analysis'!$F$4)+1)/('Factor Analysis'!$F$4:$F$378="OA"),34)),"")</f>
        <v/>
      </c>
      <c r="T38" s="49" t="str">
        <f t="array" ref="T38">IFERROR(INDEX('Factor Analysis'!$G$4:$G$378,_xlfn.AGGREGATE(15,6,(ROW('Factor Analysis'!$F$4:$F$378)-ROW('Factor Analysis'!$F$4)+1)/('Factor Analysis'!$F$4:$F$378="RISK"),34)),"")</f>
        <v>External cells retaliate outside Sumatra</v>
      </c>
      <c r="U38" s="49" t="str">
        <f t="array" ref="U38">IFERROR(INDEX('Factor Analysis'!$G$4:$G$378,_xlfn.AGGREGATE(15,6,(ROW('Factor Analysis'!$F$4:$F$378)-ROW('Factor Analysis'!$F$4)+1)/('Factor Analysis'!$F$4:$F$378="CV"),34)),"")</f>
        <v/>
      </c>
      <c r="V38" s="49" t="str">
        <f t="array" ref="V38">IFERROR(INDEX('Factor Analysis'!$G$4:$G$378,_xlfn.AGGREGATE(15,6,(ROW('Factor Analysis'!$F$4:$F$378)-ROW('Factor Analysis'!$F$4)+1)/('Factor Analysis'!$F$4:$F$378="COR"),34)),"")</f>
        <v>Pre-plan evidence capture and incident response</v>
      </c>
      <c r="W38" s="49" t="str">
        <f t="array" ref="W38">IFERROR(INDEX('Factor Analysis'!$G$4:$G$378,_xlfn.AGGREGATE(15,6,(ROW('Factor Analysis'!$F$4:$F$378)-ROW('Factor Analysis'!$F$4)+1)/('Factor Analysis'!$F$4:$F$378="REQT"),34)),"")</f>
        <v>EOD, QRF, medical, crowd control and LEGAD required</v>
      </c>
      <c r="X38" s="49" t="str">
        <f t="array" ref="X38">IFERROR(INDEX('Factor Analysis'!$G$4:$G$378,_xlfn.AGGREGATE(15,6,(ROW('Factor Analysis'!$F$4:$F$378)-ROW('Factor Analysis'!$F$4)+1)/('Factor Analysis'!$F$4:$F$378="REST"),34)),"")</f>
        <v/>
      </c>
      <c r="Y38" s="49" t="str">
        <f t="array" ref="Y38">IFERROR(INDEX('Factor Analysis'!$G$4:$G$378,_xlfn.AGGREGATE(15,6,(ROW('Factor Analysis'!$F$4:$F$378)-ROW('Factor Analysis'!$F$4)+1)/('Factor Analysis'!$F$4:$F$378="KCD-MUST"),34)),"")</f>
        <v/>
      </c>
      <c r="Z38" s="49" t="str">
        <f t="array" ref="Z38">IFERROR(INDEX('Factor Analysis'!$G$4:$G$378,_xlfn.AGGREGATE(15,6,(ROW('Factor Analysis'!$F$4:$F$378)-ROW('Factor Analysis'!$F$4)+1)/('Factor Analysis'!$F$4:$F$378="KCD-SHOULD"),34)),"")</f>
        <v/>
      </c>
      <c r="AA38" s="49" t="str">
        <f t="array" ref="AA38">IFERROR(INDEX('Factor Analysis'!$G$4:$G$378,_xlfn.AGGREGATE(15,6,(ROW('Factor Analysis'!$F$4:$F$378)-ROW('Factor Analysis'!$F$4)+1)/('Factor Analysis'!$F$4:$F$378="KCD-SHOULD NOT"),34)),"")</f>
        <v/>
      </c>
      <c r="AB38" s="49" t="str">
        <f t="array" ref="AB38">IFERROR(INDEX('Factor Analysis'!$G$4:$G$378,_xlfn.AGGREGATE(15,6,(ROW('Factor Analysis'!$F$4:$F$378)-ROW('Factor Analysis'!$F$4)+1)/('Factor Analysis'!$F$4:$F$378="KCD-CANNOT"),34)),"")</f>
        <v/>
      </c>
      <c r="AC38" s="49" t="str">
        <f t="array" ref="AC38">IFERROR(INDEX('Factor Analysis'!$G$4:$G$378,_xlfn.AGGREGATE(15,6,(ROW('Factor Analysis'!$F$4:$F$378)-ROW('Factor Analysis'!$F$4)+1)/('Factor Analysis'!$F$4:$F$378="DECISION"),34)),"")</f>
        <v/>
      </c>
      <c r="AD38" s="49" t="str">
        <f t="array" ref="AD38">IFERROR(INDEX('Factor Analysis'!$G$4:$G$378,_xlfn.AGGREGATE(15,6,(ROW('Factor Analysis'!$F$4:$F$378)-ROW('Factor Analysis'!$F$4)+1)/('Factor Analysis'!$F$4:$F$378="ASSUMPTION"),34)),"")</f>
        <v/>
      </c>
      <c r="AE38" s="49" t="str">
        <f t="array" ref="AE38">IFERROR(INDEX('Factor Analysis'!$G$4:$G$378,_xlfn.AGGREGATE(15,6,(ROW('Factor Analysis'!$F$4:$F$378)-ROW('Factor Analysis'!$F$4)+1)/('Factor Analysis'!$F$4:$F$378="CONSTRAINT"),34)),"")</f>
        <v/>
      </c>
      <c r="AF38" s="49" t="str">
        <f t="array" ref="AF38">IFERROR(INDEX('Factor Analysis'!$G$4:$G$378,_xlfn.AGGREGATE(15,6,(ROW('Factor Analysis'!$F$4:$F$378)-ROW('Factor Analysis'!$F$4)+1)/('Factor Analysis'!$F$4:$F$378="LIMITATION"),34)),"")</f>
        <v/>
      </c>
      <c r="AG38" s="49" t="str">
        <f t="array" ref="AG38">IFERROR(INDEX('Factor Analysis'!$G$4:$G$378,_xlfn.AGGREGATE(15,6,(ROW('Factor Analysis'!$F$4:$F$378)-ROW('Factor Analysis'!$F$4)+1)/('Factor Analysis'!$F$4:$F$378="CC"),34)),"")</f>
        <v/>
      </c>
      <c r="AH38" s="49" t="str">
        <f t="array" ref="AH38">IFERROR(INDEX('Factor Analysis'!$G$4:$G$378,_xlfn.AGGREGATE(15,6,(ROW('Factor Analysis'!$F$4:$F$378)-ROW('Factor Analysis'!$F$4)+1)/('Factor Analysis'!$F$4:$F$378="CR"),34)),"")</f>
        <v/>
      </c>
      <c r="AI38" s="92" t="str">
        <f t="array" ref="AI38">IFERROR(INDEX('Factor Analysis'!$G$4:$G$378,_xlfn.AGGREGATE(15,6,(ROW('Factor Analysis'!$F$4:$F$378)-ROW('Factor Analysis'!$F$4)+1)/('Factor Analysis'!$F$4:$F$378="PCS"),34)),"")</f>
        <v/>
      </c>
    </row>
    <row r="39" spans="1:35" ht="39.75" customHeight="1">
      <c r="A39" s="38"/>
      <c r="B39" s="39" t="str">
        <f t="array" ref="B39">IFERROR(INDEX('Factor Analysis'!$G$4:$G$378,_xlfn.AGGREGATE(15,6,(ROW('Factor Analysis'!$F$4:$F$378)-ROW('Factor Analysis'!$F$4)+1)/('Factor Analysis'!$F$4:$F$378="MSO"),35)),"")</f>
        <v/>
      </c>
      <c r="C39" s="40" t="str">
        <f t="array" ref="C39">IFERROR(INDEX('Factor Analysis'!$A$4:$A$378,_xlfn.AGGREGATE(15,6,(ROW('Factor Analysis'!$F$4:$F$378)-ROW('Factor Analysis'!$F$4)+1)/('Factor Analysis'!$F$4:$F$378="MSO"),35)),"")</f>
        <v/>
      </c>
      <c r="D39" s="41"/>
      <c r="E39" s="42"/>
      <c r="F39" s="42"/>
      <c r="G39" s="42" t="str">
        <f t="shared" si="2"/>
        <v/>
      </c>
      <c r="H39" s="43" t="str">
        <f t="array" ref="H39">IFERROR(INDEX('Factor Analysis'!$G$4:$G$378,_xlfn.AGGREGATE(15,6,(ROW('Factor Analysis'!$F$4:$F$378)-ROW('Factor Analysis'!$F$4)+1)/('Factor Analysis'!$F$4:$F$378="OO"),35)),"")</f>
        <v/>
      </c>
      <c r="I39" s="44" t="str">
        <f t="array" ref="I39">IFERROR(INDEX('Factor Analysis'!$A$4:$A$378,_xlfn.AGGREGATE(15,6,(ROW('Factor Analysis'!$F$4:$F$378)-ROW('Factor Analysis'!$F$4)+1)/('Factor Analysis'!$F$4:$F$378="OO"),35)),"")</f>
        <v/>
      </c>
      <c r="J39" s="41"/>
      <c r="K39" s="45"/>
      <c r="L39" s="45"/>
      <c r="M39" s="45"/>
      <c r="N39" s="45" t="str">
        <f t="shared" si="3"/>
        <v/>
      </c>
      <c r="O39" s="46" t="str">
        <f t="array" ref="O39">IFERROR(INDEX('Factor Analysis'!$G$4:$G$378,_xlfn.AGGREGATE(15,6,(ROW('Factor Analysis'!$F$4:$F$378)-ROW('Factor Analysis'!$F$4)+1)/('Factor Analysis'!$F$4:$F$378="DC"),35)),"")</f>
        <v/>
      </c>
      <c r="P39" s="47" t="str">
        <f t="array" ref="P39">IFERROR(INDEX('Factor Analysis'!$A$4:$A$378,_xlfn.AGGREGATE(15,6,(ROW('Factor Analysis'!$F$4:$F$378)-ROW('Factor Analysis'!$F$4)+1)/('Factor Analysis'!$F$4:$F$378="DC"),35)),"")</f>
        <v/>
      </c>
      <c r="Q39" s="48"/>
      <c r="R39" s="49" t="str">
        <f t="array" ref="R39">IFERROR(INDEX('Factor Analysis'!$G$4:$G$378,_xlfn.AGGREGATE(15,6,(ROW('Factor Analysis'!$F$4:$F$378)-ROW('Factor Analysis'!$F$4)+1)/('Factor Analysis'!$F$4:$F$378="OE"),35)),"")</f>
        <v/>
      </c>
      <c r="S39" s="49" t="str">
        <f t="array" ref="S39">IFERROR(INDEX('Factor Analysis'!$G$4:$G$378,_xlfn.AGGREGATE(15,6,(ROW('Factor Analysis'!$F$4:$F$378)-ROW('Factor Analysis'!$F$4)+1)/('Factor Analysis'!$F$4:$F$378="OA"),35)),"")</f>
        <v/>
      </c>
      <c r="T39" s="49" t="str">
        <f t="array" ref="T39">IFERROR(INDEX('Factor Analysis'!$G$4:$G$378,_xlfn.AGGREGATE(15,6,(ROW('Factor Analysis'!$F$4:$F$378)-ROW('Factor Analysis'!$F$4)+1)/('Factor Analysis'!$F$4:$F$378="RISK"),35)),"")</f>
        <v>Success against IRS military arm may trigger terrorist escalation</v>
      </c>
      <c r="U39" s="49" t="str">
        <f t="array" ref="U39">IFERROR(INDEX('Factor Analysis'!$G$4:$G$378,_xlfn.AGGREGATE(15,6,(ROW('Factor Analysis'!$F$4:$F$378)-ROW('Factor Analysis'!$F$4)+1)/('Factor Analysis'!$F$4:$F$378="CV"),35)),"")</f>
        <v/>
      </c>
      <c r="V39" s="49" t="str">
        <f t="array" ref="V39">IFERROR(INDEX('Factor Analysis'!$G$4:$G$378,_xlfn.AGGREGATE(15,6,(ROW('Factor Analysis'!$F$4:$F$378)-ROW('Factor Analysis'!$F$4)+1)/('Factor Analysis'!$F$4:$F$378="COR"),35)),"")</f>
        <v>Synchronise MCM progress with public advisories</v>
      </c>
      <c r="W39" s="49" t="str">
        <f t="array" ref="W39">IFERROR(INDEX('Factor Analysis'!$G$4:$G$378,_xlfn.AGGREGATE(15,6,(ROW('Factor Analysis'!$F$4:$F$378)-ROW('Factor Analysis'!$F$4)+1)/('Factor Analysis'!$F$4:$F$378="REQT"),35)),"")</f>
        <v>Civil-military coordination mechanisms and liaison required</v>
      </c>
      <c r="X39" s="49" t="str">
        <f t="array" ref="X39">IFERROR(INDEX('Factor Analysis'!$G$4:$G$378,_xlfn.AGGREGATE(15,6,(ROW('Factor Analysis'!$F$4:$F$378)-ROW('Factor Analysis'!$F$4)+1)/('Factor Analysis'!$F$4:$F$378="REST"),35)),"")</f>
        <v/>
      </c>
      <c r="Y39" s="49" t="str">
        <f t="array" ref="Y39">IFERROR(INDEX('Factor Analysis'!$G$4:$G$378,_xlfn.AGGREGATE(15,6,(ROW('Factor Analysis'!$F$4:$F$378)-ROW('Factor Analysis'!$F$4)+1)/('Factor Analysis'!$F$4:$F$378="KCD-MUST"),35)),"")</f>
        <v/>
      </c>
      <c r="Z39" s="49" t="str">
        <f t="array" ref="Z39">IFERROR(INDEX('Factor Analysis'!$G$4:$G$378,_xlfn.AGGREGATE(15,6,(ROW('Factor Analysis'!$F$4:$F$378)-ROW('Factor Analysis'!$F$4)+1)/('Factor Analysis'!$F$4:$F$378="KCD-SHOULD"),35)),"")</f>
        <v/>
      </c>
      <c r="AA39" s="49" t="str">
        <f t="array" ref="AA39">IFERROR(INDEX('Factor Analysis'!$G$4:$G$378,_xlfn.AGGREGATE(15,6,(ROW('Factor Analysis'!$F$4:$F$378)-ROW('Factor Analysis'!$F$4)+1)/('Factor Analysis'!$F$4:$F$378="KCD-SHOULD NOT"),35)),"")</f>
        <v/>
      </c>
      <c r="AB39" s="49" t="str">
        <f t="array" ref="AB39">IFERROR(INDEX('Factor Analysis'!$G$4:$G$378,_xlfn.AGGREGATE(15,6,(ROW('Factor Analysis'!$F$4:$F$378)-ROW('Factor Analysis'!$F$4)+1)/('Factor Analysis'!$F$4:$F$378="KCD-CANNOT"),35)),"")</f>
        <v/>
      </c>
      <c r="AC39" s="49" t="str">
        <f t="array" ref="AC39">IFERROR(INDEX('Factor Analysis'!$G$4:$G$378,_xlfn.AGGREGATE(15,6,(ROW('Factor Analysis'!$F$4:$F$378)-ROW('Factor Analysis'!$F$4)+1)/('Factor Analysis'!$F$4:$F$378="DECISION"),35)),"")</f>
        <v/>
      </c>
      <c r="AD39" s="49" t="str">
        <f t="array" ref="AD39">IFERROR(INDEX('Factor Analysis'!$G$4:$G$378,_xlfn.AGGREGATE(15,6,(ROW('Factor Analysis'!$F$4:$F$378)-ROW('Factor Analysis'!$F$4)+1)/('Factor Analysis'!$F$4:$F$378="ASSUMPTION"),35)),"")</f>
        <v/>
      </c>
      <c r="AE39" s="49" t="str">
        <f t="array" ref="AE39">IFERROR(INDEX('Factor Analysis'!$G$4:$G$378,_xlfn.AGGREGATE(15,6,(ROW('Factor Analysis'!$F$4:$F$378)-ROW('Factor Analysis'!$F$4)+1)/('Factor Analysis'!$F$4:$F$378="CONSTRAINT"),35)),"")</f>
        <v/>
      </c>
      <c r="AF39" s="49" t="str">
        <f t="array" ref="AF39">IFERROR(INDEX('Factor Analysis'!$G$4:$G$378,_xlfn.AGGREGATE(15,6,(ROW('Factor Analysis'!$F$4:$F$378)-ROW('Factor Analysis'!$F$4)+1)/('Factor Analysis'!$F$4:$F$378="LIMITATION"),35)),"")</f>
        <v/>
      </c>
      <c r="AG39" s="49" t="str">
        <f t="array" ref="AG39">IFERROR(INDEX('Factor Analysis'!$G$4:$G$378,_xlfn.AGGREGATE(15,6,(ROW('Factor Analysis'!$F$4:$F$378)-ROW('Factor Analysis'!$F$4)+1)/('Factor Analysis'!$F$4:$F$378="CC"),35)),"")</f>
        <v/>
      </c>
      <c r="AH39" s="49" t="str">
        <f t="array" ref="AH39">IFERROR(INDEX('Factor Analysis'!$G$4:$G$378,_xlfn.AGGREGATE(15,6,(ROW('Factor Analysis'!$F$4:$F$378)-ROW('Factor Analysis'!$F$4)+1)/('Factor Analysis'!$F$4:$F$378="CR"),35)),"")</f>
        <v/>
      </c>
      <c r="AI39" s="92" t="str">
        <f t="array" ref="AI39">IFERROR(INDEX('Factor Analysis'!$G$4:$G$378,_xlfn.AGGREGATE(15,6,(ROW('Factor Analysis'!$F$4:$F$378)-ROW('Factor Analysis'!$F$4)+1)/('Factor Analysis'!$F$4:$F$378="PCS"),35)),"")</f>
        <v/>
      </c>
    </row>
    <row r="40" spans="1:35" ht="39.75" customHeight="1">
      <c r="A40" s="38"/>
      <c r="B40" s="39" t="str">
        <f t="array" ref="B40">IFERROR(INDEX('Factor Analysis'!$G$4:$G$378,_xlfn.AGGREGATE(15,6,(ROW('Factor Analysis'!$F$4:$F$378)-ROW('Factor Analysis'!$F$4)+1)/('Factor Analysis'!$F$4:$F$378="MSO"),36)),"")</f>
        <v/>
      </c>
      <c r="C40" s="40" t="str">
        <f t="array" ref="C40">IFERROR(INDEX('Factor Analysis'!$A$4:$A$378,_xlfn.AGGREGATE(15,6,(ROW('Factor Analysis'!$F$4:$F$378)-ROW('Factor Analysis'!$F$4)+1)/('Factor Analysis'!$F$4:$F$378="MSO"),36)),"")</f>
        <v/>
      </c>
      <c r="D40" s="41"/>
      <c r="E40" s="42"/>
      <c r="F40" s="42"/>
      <c r="G40" s="42" t="str">
        <f t="shared" si="2"/>
        <v/>
      </c>
      <c r="H40" s="43" t="str">
        <f t="array" ref="H40">IFERROR(INDEX('Factor Analysis'!$G$4:$G$378,_xlfn.AGGREGATE(15,6,(ROW('Factor Analysis'!$F$4:$F$378)-ROW('Factor Analysis'!$F$4)+1)/('Factor Analysis'!$F$4:$F$378="OO"),36)),"")</f>
        <v/>
      </c>
      <c r="I40" s="44" t="str">
        <f t="array" ref="I40">IFERROR(INDEX('Factor Analysis'!$A$4:$A$378,_xlfn.AGGREGATE(15,6,(ROW('Factor Analysis'!$F$4:$F$378)-ROW('Factor Analysis'!$F$4)+1)/('Factor Analysis'!$F$4:$F$378="OO"),36)),"")</f>
        <v/>
      </c>
      <c r="J40" s="41"/>
      <c r="K40" s="45"/>
      <c r="L40" s="45"/>
      <c r="M40" s="45"/>
      <c r="N40" s="45" t="str">
        <f t="shared" si="3"/>
        <v/>
      </c>
      <c r="O40" s="46" t="str">
        <f t="array" ref="O40">IFERROR(INDEX('Factor Analysis'!$G$4:$G$378,_xlfn.AGGREGATE(15,6,(ROW('Factor Analysis'!$F$4:$F$378)-ROW('Factor Analysis'!$F$4)+1)/('Factor Analysis'!$F$4:$F$378="DC"),36)),"")</f>
        <v/>
      </c>
      <c r="P40" s="47" t="str">
        <f t="array" ref="P40">IFERROR(INDEX('Factor Analysis'!$A$4:$A$378,_xlfn.AGGREGATE(15,6,(ROW('Factor Analysis'!$F$4:$F$378)-ROW('Factor Analysis'!$F$4)+1)/('Factor Analysis'!$F$4:$F$378="DC"),36)),"")</f>
        <v/>
      </c>
      <c r="Q40" s="48"/>
      <c r="R40" s="49" t="str">
        <f t="array" ref="R40">IFERROR(INDEX('Factor Analysis'!$G$4:$G$378,_xlfn.AGGREGATE(15,6,(ROW('Factor Analysis'!$F$4:$F$378)-ROW('Factor Analysis'!$F$4)+1)/('Factor Analysis'!$F$4:$F$378="OE"),36)),"")</f>
        <v/>
      </c>
      <c r="S40" s="49" t="str">
        <f t="array" ref="S40">IFERROR(INDEX('Factor Analysis'!$G$4:$G$378,_xlfn.AGGREGATE(15,6,(ROW('Factor Analysis'!$F$4:$F$378)-ROW('Factor Analysis'!$F$4)+1)/('Factor Analysis'!$F$4:$F$378="OA"),36)),"")</f>
        <v/>
      </c>
      <c r="T40" s="49" t="str">
        <f t="array" ref="T40">IFERROR(INDEX('Factor Analysis'!$G$4:$G$378,_xlfn.AGGREGATE(15,6,(ROW('Factor Analysis'!$F$4:$F$378)-ROW('Factor Analysis'!$F$4)+1)/('Factor Analysis'!$F$4:$F$378="RISK"),36)),"")</f>
        <v>Premature attribution broadens the crisis</v>
      </c>
      <c r="U40" s="49" t="str">
        <f t="array" ref="U40">IFERROR(INDEX('Factor Analysis'!$G$4:$G$378,_xlfn.AGGREGATE(15,6,(ROW('Factor Analysis'!$F$4:$F$378)-ROW('Factor Analysis'!$F$4)+1)/('Factor Analysis'!$F$4:$F$378="CV"),36)),"")</f>
        <v/>
      </c>
      <c r="V40" s="49" t="str">
        <f t="array" ref="V40">IFERROR(INDEX('Factor Analysis'!$G$4:$G$378,_xlfn.AGGREGATE(15,6,(ROW('Factor Analysis'!$F$4:$F$378)-ROW('Factor Analysis'!$F$4)+1)/('Factor Analysis'!$F$4:$F$378="COR"),36)),"")</f>
        <v>Secure humanitarian corridors and reception points early</v>
      </c>
      <c r="W40" s="49" t="str">
        <f t="array" ref="W40">IFERROR(INDEX('Factor Analysis'!$G$4:$G$378,_xlfn.AGGREGATE(15,6,(ROW('Factor Analysis'!$F$4:$F$378)-ROW('Factor Analysis'!$F$4)+1)/('Factor Analysis'!$F$4:$F$378="REQT"),36)),"")</f>
        <v>Preventive medicine, water purification and public-health reporting</v>
      </c>
      <c r="X40" s="49" t="str">
        <f t="array" ref="X40">IFERROR(INDEX('Factor Analysis'!$G$4:$G$378,_xlfn.AGGREGATE(15,6,(ROW('Factor Analysis'!$F$4:$F$378)-ROW('Factor Analysis'!$F$4)+1)/('Factor Analysis'!$F$4:$F$378="REST"),36)),"")</f>
        <v/>
      </c>
      <c r="Y40" s="49" t="str">
        <f t="array" ref="Y40">IFERROR(INDEX('Factor Analysis'!$G$4:$G$378,_xlfn.AGGREGATE(15,6,(ROW('Factor Analysis'!$F$4:$F$378)-ROW('Factor Analysis'!$F$4)+1)/('Factor Analysis'!$F$4:$F$378="KCD-MUST"),36)),"")</f>
        <v/>
      </c>
      <c r="Z40" s="49" t="str">
        <f t="array" ref="Z40">IFERROR(INDEX('Factor Analysis'!$G$4:$G$378,_xlfn.AGGREGATE(15,6,(ROW('Factor Analysis'!$F$4:$F$378)-ROW('Factor Analysis'!$F$4)+1)/('Factor Analysis'!$F$4:$F$378="KCD-SHOULD"),36)),"")</f>
        <v/>
      </c>
      <c r="AA40" s="49" t="str">
        <f t="array" ref="AA40">IFERROR(INDEX('Factor Analysis'!$G$4:$G$378,_xlfn.AGGREGATE(15,6,(ROW('Factor Analysis'!$F$4:$F$378)-ROW('Factor Analysis'!$F$4)+1)/('Factor Analysis'!$F$4:$F$378="KCD-SHOULD NOT"),36)),"")</f>
        <v/>
      </c>
      <c r="AB40" s="49" t="str">
        <f t="array" ref="AB40">IFERROR(INDEX('Factor Analysis'!$G$4:$G$378,_xlfn.AGGREGATE(15,6,(ROW('Factor Analysis'!$F$4:$F$378)-ROW('Factor Analysis'!$F$4)+1)/('Factor Analysis'!$F$4:$F$378="KCD-CANNOT"),36)),"")</f>
        <v/>
      </c>
      <c r="AC40" s="49" t="str">
        <f t="array" ref="AC40">IFERROR(INDEX('Factor Analysis'!$G$4:$G$378,_xlfn.AGGREGATE(15,6,(ROW('Factor Analysis'!$F$4:$F$378)-ROW('Factor Analysis'!$F$4)+1)/('Factor Analysis'!$F$4:$F$378="DECISION"),36)),"")</f>
        <v/>
      </c>
      <c r="AD40" s="49" t="str">
        <f t="array" ref="AD40">IFERROR(INDEX('Factor Analysis'!$G$4:$G$378,_xlfn.AGGREGATE(15,6,(ROW('Factor Analysis'!$F$4:$F$378)-ROW('Factor Analysis'!$F$4)+1)/('Factor Analysis'!$F$4:$F$378="ASSUMPTION"),36)),"")</f>
        <v/>
      </c>
      <c r="AE40" s="49" t="str">
        <f t="array" ref="AE40">IFERROR(INDEX('Factor Analysis'!$G$4:$G$378,_xlfn.AGGREGATE(15,6,(ROW('Factor Analysis'!$F$4:$F$378)-ROW('Factor Analysis'!$F$4)+1)/('Factor Analysis'!$F$4:$F$378="CONSTRAINT"),36)),"")</f>
        <v/>
      </c>
      <c r="AF40" s="49" t="str">
        <f t="array" ref="AF40">IFERROR(INDEX('Factor Analysis'!$G$4:$G$378,_xlfn.AGGREGATE(15,6,(ROW('Factor Analysis'!$F$4:$F$378)-ROW('Factor Analysis'!$F$4)+1)/('Factor Analysis'!$F$4:$F$378="LIMITATION"),36)),"")</f>
        <v/>
      </c>
      <c r="AG40" s="49" t="str">
        <f t="array" ref="AG40">IFERROR(INDEX('Factor Analysis'!$G$4:$G$378,_xlfn.AGGREGATE(15,6,(ROW('Factor Analysis'!$F$4:$F$378)-ROW('Factor Analysis'!$F$4)+1)/('Factor Analysis'!$F$4:$F$378="CC"),36)),"")</f>
        <v/>
      </c>
      <c r="AH40" s="49" t="str">
        <f t="array" ref="AH40">IFERROR(INDEX('Factor Analysis'!$G$4:$G$378,_xlfn.AGGREGATE(15,6,(ROW('Factor Analysis'!$F$4:$F$378)-ROW('Factor Analysis'!$F$4)+1)/('Factor Analysis'!$F$4:$F$378="CR"),36)),"")</f>
        <v/>
      </c>
      <c r="AI40" s="92" t="str">
        <f t="array" ref="AI40">IFERROR(INDEX('Factor Analysis'!$G$4:$G$378,_xlfn.AGGREGATE(15,6,(ROW('Factor Analysis'!$F$4:$F$378)-ROW('Factor Analysis'!$F$4)+1)/('Factor Analysis'!$F$4:$F$378="PCS"),36)),"")</f>
        <v/>
      </c>
    </row>
    <row r="41" spans="1:35" ht="39.75" customHeight="1">
      <c r="A41" s="38"/>
      <c r="B41" s="39" t="str">
        <f t="array" ref="B41">IFERROR(INDEX('Factor Analysis'!$G$4:$G$378,_xlfn.AGGREGATE(15,6,(ROW('Factor Analysis'!$F$4:$F$378)-ROW('Factor Analysis'!$F$4)+1)/('Factor Analysis'!$F$4:$F$378="MSO"),37)),"")</f>
        <v/>
      </c>
      <c r="C41" s="40" t="str">
        <f t="array" ref="C41">IFERROR(INDEX('Factor Analysis'!$A$4:$A$378,_xlfn.AGGREGATE(15,6,(ROW('Factor Analysis'!$F$4:$F$378)-ROW('Factor Analysis'!$F$4)+1)/('Factor Analysis'!$F$4:$F$378="MSO"),37)),"")</f>
        <v/>
      </c>
      <c r="D41" s="41"/>
      <c r="E41" s="42"/>
      <c r="F41" s="42"/>
      <c r="G41" s="42" t="str">
        <f t="shared" si="2"/>
        <v/>
      </c>
      <c r="H41" s="43" t="str">
        <f t="array" ref="H41">IFERROR(INDEX('Factor Analysis'!$G$4:$G$378,_xlfn.AGGREGATE(15,6,(ROW('Factor Analysis'!$F$4:$F$378)-ROW('Factor Analysis'!$F$4)+1)/('Factor Analysis'!$F$4:$F$378="OO"),37)),"")</f>
        <v/>
      </c>
      <c r="I41" s="44" t="str">
        <f t="array" ref="I41">IFERROR(INDEX('Factor Analysis'!$A$4:$A$378,_xlfn.AGGREGATE(15,6,(ROW('Factor Analysis'!$F$4:$F$378)-ROW('Factor Analysis'!$F$4)+1)/('Factor Analysis'!$F$4:$F$378="OO"),37)),"")</f>
        <v/>
      </c>
      <c r="J41" s="41"/>
      <c r="K41" s="45"/>
      <c r="L41" s="45"/>
      <c r="M41" s="45"/>
      <c r="N41" s="45" t="str">
        <f t="shared" si="3"/>
        <v/>
      </c>
      <c r="O41" s="46" t="str">
        <f t="array" ref="O41">IFERROR(INDEX('Factor Analysis'!$G$4:$G$378,_xlfn.AGGREGATE(15,6,(ROW('Factor Analysis'!$F$4:$F$378)-ROW('Factor Analysis'!$F$4)+1)/('Factor Analysis'!$F$4:$F$378="DC"),37)),"")</f>
        <v/>
      </c>
      <c r="P41" s="47" t="str">
        <f t="array" ref="P41">IFERROR(INDEX('Factor Analysis'!$A$4:$A$378,_xlfn.AGGREGATE(15,6,(ROW('Factor Analysis'!$F$4:$F$378)-ROW('Factor Analysis'!$F$4)+1)/('Factor Analysis'!$F$4:$F$378="DC"),37)),"")</f>
        <v/>
      </c>
      <c r="Q41" s="48"/>
      <c r="R41" s="49" t="str">
        <f t="array" ref="R41">IFERROR(INDEX('Factor Analysis'!$G$4:$G$378,_xlfn.AGGREGATE(15,6,(ROW('Factor Analysis'!$F$4:$F$378)-ROW('Factor Analysis'!$F$4)+1)/('Factor Analysis'!$F$4:$F$378="OE"),37)),"")</f>
        <v/>
      </c>
      <c r="S41" s="49" t="str">
        <f t="array" ref="S41">IFERROR(INDEX('Factor Analysis'!$G$4:$G$378,_xlfn.AGGREGATE(15,6,(ROW('Factor Analysis'!$F$4:$F$378)-ROW('Factor Analysis'!$F$4)+1)/('Factor Analysis'!$F$4:$F$378="OA"),37)),"")</f>
        <v/>
      </c>
      <c r="T41" s="49" t="str">
        <f t="array" ref="T41">IFERROR(INDEX('Factor Analysis'!$G$4:$G$378,_xlfn.AGGREGATE(15,6,(ROW('Factor Analysis'!$F$4:$F$378)-ROW('Factor Analysis'!$F$4)+1)/('Factor Analysis'!$F$4:$F$378="RISK"),37)),"")</f>
        <v>Failed interdiction undermines credibility</v>
      </c>
      <c r="U41" s="49" t="str">
        <f t="array" ref="U41">IFERROR(INDEX('Factor Analysis'!$G$4:$G$378,_xlfn.AGGREGATE(15,6,(ROW('Factor Analysis'!$F$4:$F$378)-ROW('Factor Analysis'!$F$4)+1)/('Factor Analysis'!$F$4:$F$378="CV"),37)),"")</f>
        <v/>
      </c>
      <c r="V41" s="49" t="str">
        <f t="array" ref="V41">IFERROR(INDEX('Factor Analysis'!$G$4:$G$378,_xlfn.AGGREGATE(15,6,(ROW('Factor Analysis'!$F$4:$F$378)-ROW('Factor Analysis'!$F$4)+1)/('Factor Analysis'!$F$4:$F$378="COR"),37)),"")</f>
        <v>Integrate POC, FP and targeting at node level</v>
      </c>
      <c r="W41" s="49" t="str">
        <f t="array" ref="W41">IFERROR(INDEX('Factor Analysis'!$G$4:$G$378,_xlfn.AGGREGATE(15,6,(ROW('Factor Analysis'!$F$4:$F$378)-ROW('Factor Analysis'!$F$4)+1)/('Factor Analysis'!$F$4:$F$378="REQT"),37)),"")</f>
        <v>LEGAD embedded in targeting, maritime and STRATCOM cells</v>
      </c>
      <c r="X41" s="49" t="str">
        <f t="array" ref="X41">IFERROR(INDEX('Factor Analysis'!$G$4:$G$378,_xlfn.AGGREGATE(15,6,(ROW('Factor Analysis'!$F$4:$F$378)-ROW('Factor Analysis'!$F$4)+1)/('Factor Analysis'!$F$4:$F$378="REST"),37)),"")</f>
        <v/>
      </c>
      <c r="Y41" s="49" t="str">
        <f t="array" ref="Y41">IFERROR(INDEX('Factor Analysis'!$G$4:$G$378,_xlfn.AGGREGATE(15,6,(ROW('Factor Analysis'!$F$4:$F$378)-ROW('Factor Analysis'!$F$4)+1)/('Factor Analysis'!$F$4:$F$378="KCD-MUST"),37)),"")</f>
        <v/>
      </c>
      <c r="Z41" s="49" t="str">
        <f t="array" ref="Z41">IFERROR(INDEX('Factor Analysis'!$G$4:$G$378,_xlfn.AGGREGATE(15,6,(ROW('Factor Analysis'!$F$4:$F$378)-ROW('Factor Analysis'!$F$4)+1)/('Factor Analysis'!$F$4:$F$378="KCD-SHOULD"),37)),"")</f>
        <v/>
      </c>
      <c r="AA41" s="49" t="str">
        <f t="array" ref="AA41">IFERROR(INDEX('Factor Analysis'!$G$4:$G$378,_xlfn.AGGREGATE(15,6,(ROW('Factor Analysis'!$F$4:$F$378)-ROW('Factor Analysis'!$F$4)+1)/('Factor Analysis'!$F$4:$F$378="KCD-SHOULD NOT"),37)),"")</f>
        <v/>
      </c>
      <c r="AB41" s="49" t="str">
        <f t="array" ref="AB41">IFERROR(INDEX('Factor Analysis'!$G$4:$G$378,_xlfn.AGGREGATE(15,6,(ROW('Factor Analysis'!$F$4:$F$378)-ROW('Factor Analysis'!$F$4)+1)/('Factor Analysis'!$F$4:$F$378="KCD-CANNOT"),37)),"")</f>
        <v/>
      </c>
      <c r="AC41" s="49" t="str">
        <f t="array" ref="AC41">IFERROR(INDEX('Factor Analysis'!$G$4:$G$378,_xlfn.AGGREGATE(15,6,(ROW('Factor Analysis'!$F$4:$F$378)-ROW('Factor Analysis'!$F$4)+1)/('Factor Analysis'!$F$4:$F$378="DECISION"),37)),"")</f>
        <v/>
      </c>
      <c r="AD41" s="49" t="str">
        <f t="array" ref="AD41">IFERROR(INDEX('Factor Analysis'!$G$4:$G$378,_xlfn.AGGREGATE(15,6,(ROW('Factor Analysis'!$F$4:$F$378)-ROW('Factor Analysis'!$F$4)+1)/('Factor Analysis'!$F$4:$F$378="ASSUMPTION"),37)),"")</f>
        <v/>
      </c>
      <c r="AE41" s="49" t="str">
        <f t="array" ref="AE41">IFERROR(INDEX('Factor Analysis'!$G$4:$G$378,_xlfn.AGGREGATE(15,6,(ROW('Factor Analysis'!$F$4:$F$378)-ROW('Factor Analysis'!$F$4)+1)/('Factor Analysis'!$F$4:$F$378="CONSTRAINT"),37)),"")</f>
        <v/>
      </c>
      <c r="AF41" s="49" t="str">
        <f t="array" ref="AF41">IFERROR(INDEX('Factor Analysis'!$G$4:$G$378,_xlfn.AGGREGATE(15,6,(ROW('Factor Analysis'!$F$4:$F$378)-ROW('Factor Analysis'!$F$4)+1)/('Factor Analysis'!$F$4:$F$378="LIMITATION"),37)),"")</f>
        <v/>
      </c>
      <c r="AG41" s="49" t="str">
        <f t="array" ref="AG41">IFERROR(INDEX('Factor Analysis'!$G$4:$G$378,_xlfn.AGGREGATE(15,6,(ROW('Factor Analysis'!$F$4:$F$378)-ROW('Factor Analysis'!$F$4)+1)/('Factor Analysis'!$F$4:$F$378="CC"),37)),"")</f>
        <v/>
      </c>
      <c r="AH41" s="49" t="str">
        <f t="array" ref="AH41">IFERROR(INDEX('Factor Analysis'!$G$4:$G$378,_xlfn.AGGREGATE(15,6,(ROW('Factor Analysis'!$F$4:$F$378)-ROW('Factor Analysis'!$F$4)+1)/('Factor Analysis'!$F$4:$F$378="CR"),37)),"")</f>
        <v/>
      </c>
      <c r="AI41" s="92" t="str">
        <f t="array" ref="AI41">IFERROR(INDEX('Factor Analysis'!$G$4:$G$378,_xlfn.AGGREGATE(15,6,(ROW('Factor Analysis'!$F$4:$F$378)-ROW('Factor Analysis'!$F$4)+1)/('Factor Analysis'!$F$4:$F$378="PCS"),37)),"")</f>
        <v/>
      </c>
    </row>
    <row r="42" spans="1:35" ht="39.75" customHeight="1">
      <c r="A42" s="38"/>
      <c r="B42" s="39" t="str">
        <f t="array" ref="B42">IFERROR(INDEX('Factor Analysis'!$G$4:$G$378,_xlfn.AGGREGATE(15,6,(ROW('Factor Analysis'!$F$4:$F$378)-ROW('Factor Analysis'!$F$4)+1)/('Factor Analysis'!$F$4:$F$378="MSO"),38)),"")</f>
        <v/>
      </c>
      <c r="C42" s="40" t="str">
        <f t="array" ref="C42">IFERROR(INDEX('Factor Analysis'!$A$4:$A$378,_xlfn.AGGREGATE(15,6,(ROW('Factor Analysis'!$F$4:$F$378)-ROW('Factor Analysis'!$F$4)+1)/('Factor Analysis'!$F$4:$F$378="MSO"),38)),"")</f>
        <v/>
      </c>
      <c r="D42" s="41"/>
      <c r="E42" s="42"/>
      <c r="F42" s="42"/>
      <c r="G42" s="42" t="str">
        <f t="shared" si="2"/>
        <v/>
      </c>
      <c r="H42" s="43" t="str">
        <f t="array" ref="H42">IFERROR(INDEX('Factor Analysis'!$G$4:$G$378,_xlfn.AGGREGATE(15,6,(ROW('Factor Analysis'!$F$4:$F$378)-ROW('Factor Analysis'!$F$4)+1)/('Factor Analysis'!$F$4:$F$378="OO"),38)),"")</f>
        <v/>
      </c>
      <c r="I42" s="44" t="str">
        <f t="array" ref="I42">IFERROR(INDEX('Factor Analysis'!$A$4:$A$378,_xlfn.AGGREGATE(15,6,(ROW('Factor Analysis'!$F$4:$F$378)-ROW('Factor Analysis'!$F$4)+1)/('Factor Analysis'!$F$4:$F$378="OO"),38)),"")</f>
        <v/>
      </c>
      <c r="J42" s="41"/>
      <c r="K42" s="45"/>
      <c r="L42" s="45"/>
      <c r="M42" s="45"/>
      <c r="N42" s="45" t="str">
        <f t="shared" si="3"/>
        <v/>
      </c>
      <c r="O42" s="46" t="str">
        <f t="array" ref="O42">IFERROR(INDEX('Factor Analysis'!$G$4:$G$378,_xlfn.AGGREGATE(15,6,(ROW('Factor Analysis'!$F$4:$F$378)-ROW('Factor Analysis'!$F$4)+1)/('Factor Analysis'!$F$4:$F$378="DC"),38)),"")</f>
        <v/>
      </c>
      <c r="P42" s="47" t="str">
        <f t="array" ref="P42">IFERROR(INDEX('Factor Analysis'!$A$4:$A$378,_xlfn.AGGREGATE(15,6,(ROW('Factor Analysis'!$F$4:$F$378)-ROW('Factor Analysis'!$F$4)+1)/('Factor Analysis'!$F$4:$F$378="DC"),38)),"")</f>
        <v/>
      </c>
      <c r="Q42" s="48"/>
      <c r="R42" s="49" t="str">
        <f t="array" ref="R42">IFERROR(INDEX('Factor Analysis'!$G$4:$G$378,_xlfn.AGGREGATE(15,6,(ROW('Factor Analysis'!$F$4:$F$378)-ROW('Factor Analysis'!$F$4)+1)/('Factor Analysis'!$F$4:$F$378="OE"),38)),"")</f>
        <v/>
      </c>
      <c r="S42" s="49" t="str">
        <f t="array" ref="S42">IFERROR(INDEX('Factor Analysis'!$G$4:$G$378,_xlfn.AGGREGATE(15,6,(ROW('Factor Analysis'!$F$4:$F$378)-ROW('Factor Analysis'!$F$4)+1)/('Factor Analysis'!$F$4:$F$378="OA"),38)),"")</f>
        <v/>
      </c>
      <c r="T42" s="49" t="str">
        <f t="array" ref="T42">IFERROR(INDEX('Factor Analysis'!$G$4:$G$378,_xlfn.AGGREGATE(15,6,(ROW('Factor Analysis'!$F$4:$F$378)-ROW('Factor Analysis'!$F$4)+1)/('Factor Analysis'!$F$4:$F$378="RISK"),38)),"")</f>
        <v>Cyber/information support attacks NATO C2 and legitimacy</v>
      </c>
      <c r="U42" s="49" t="str">
        <f t="array" ref="U42">IFERROR(INDEX('Factor Analysis'!$G$4:$G$378,_xlfn.AGGREGATE(15,6,(ROW('Factor Analysis'!$F$4:$F$378)-ROW('Factor Analysis'!$F$4)+1)/('Factor Analysis'!$F$4:$F$378="CV"),38)),"")</f>
        <v/>
      </c>
      <c r="V42" s="49" t="str">
        <f t="array" ref="V42">IFERROR(INDEX('Factor Analysis'!$G$4:$G$378,_xlfn.AGGREGATE(15,6,(ROW('Factor Analysis'!$F$4:$F$378)-ROW('Factor Analysis'!$F$4)+1)/('Factor Analysis'!$F$4:$F$378="COR"),38)),"")</f>
        <v>Coordinate, deconflict and enable without compromising HA neutrality</v>
      </c>
      <c r="W42" s="49" t="str">
        <f t="array" ref="W42">IFERROR(INDEX('Factor Analysis'!$G$4:$G$378,_xlfn.AGGREGATE(15,6,(ROW('Factor Analysis'!$F$4:$F$378)-ROW('Factor Analysis'!$F$4)+1)/('Factor Analysis'!$F$4:$F$378="REQT"),38)),"")</f>
        <v>Cyber defence, alternate comms, PACE and space support required</v>
      </c>
      <c r="X42" s="49" t="str">
        <f t="array" ref="X42">IFERROR(INDEX('Factor Analysis'!$G$4:$G$378,_xlfn.AGGREGATE(15,6,(ROW('Factor Analysis'!$F$4:$F$378)-ROW('Factor Analysis'!$F$4)+1)/('Factor Analysis'!$F$4:$F$378="REST"),38)),"")</f>
        <v/>
      </c>
      <c r="Y42" s="49" t="str">
        <f t="array" ref="Y42">IFERROR(INDEX('Factor Analysis'!$G$4:$G$378,_xlfn.AGGREGATE(15,6,(ROW('Factor Analysis'!$F$4:$F$378)-ROW('Factor Analysis'!$F$4)+1)/('Factor Analysis'!$F$4:$F$378="KCD-MUST"),38)),"")</f>
        <v/>
      </c>
      <c r="Z42" s="49" t="str">
        <f t="array" ref="Z42">IFERROR(INDEX('Factor Analysis'!$G$4:$G$378,_xlfn.AGGREGATE(15,6,(ROW('Factor Analysis'!$F$4:$F$378)-ROW('Factor Analysis'!$F$4)+1)/('Factor Analysis'!$F$4:$F$378="KCD-SHOULD"),38)),"")</f>
        <v/>
      </c>
      <c r="AA42" s="49" t="str">
        <f t="array" ref="AA42">IFERROR(INDEX('Factor Analysis'!$G$4:$G$378,_xlfn.AGGREGATE(15,6,(ROW('Factor Analysis'!$F$4:$F$378)-ROW('Factor Analysis'!$F$4)+1)/('Factor Analysis'!$F$4:$F$378="KCD-SHOULD NOT"),38)),"")</f>
        <v/>
      </c>
      <c r="AB42" s="49" t="str">
        <f t="array" ref="AB42">IFERROR(INDEX('Factor Analysis'!$G$4:$G$378,_xlfn.AGGREGATE(15,6,(ROW('Factor Analysis'!$F$4:$F$378)-ROW('Factor Analysis'!$F$4)+1)/('Factor Analysis'!$F$4:$F$378="KCD-CANNOT"),38)),"")</f>
        <v/>
      </c>
      <c r="AC42" s="49" t="str">
        <f t="array" ref="AC42">IFERROR(INDEX('Factor Analysis'!$G$4:$G$378,_xlfn.AGGREGATE(15,6,(ROW('Factor Analysis'!$F$4:$F$378)-ROW('Factor Analysis'!$F$4)+1)/('Factor Analysis'!$F$4:$F$378="DECISION"),38)),"")</f>
        <v/>
      </c>
      <c r="AD42" s="49" t="str">
        <f t="array" ref="AD42">IFERROR(INDEX('Factor Analysis'!$G$4:$G$378,_xlfn.AGGREGATE(15,6,(ROW('Factor Analysis'!$F$4:$F$378)-ROW('Factor Analysis'!$F$4)+1)/('Factor Analysis'!$F$4:$F$378="ASSUMPTION"),38)),"")</f>
        <v/>
      </c>
      <c r="AE42" s="49" t="str">
        <f t="array" ref="AE42">IFERROR(INDEX('Factor Analysis'!$G$4:$G$378,_xlfn.AGGREGATE(15,6,(ROW('Factor Analysis'!$F$4:$F$378)-ROW('Factor Analysis'!$F$4)+1)/('Factor Analysis'!$F$4:$F$378="CONSTRAINT"),38)),"")</f>
        <v/>
      </c>
      <c r="AF42" s="49" t="str">
        <f t="array" ref="AF42">IFERROR(INDEX('Factor Analysis'!$G$4:$G$378,_xlfn.AGGREGATE(15,6,(ROW('Factor Analysis'!$F$4:$F$378)-ROW('Factor Analysis'!$F$4)+1)/('Factor Analysis'!$F$4:$F$378="LIMITATION"),38)),"")</f>
        <v/>
      </c>
      <c r="AG42" s="49" t="str">
        <f t="array" ref="AG42">IFERROR(INDEX('Factor Analysis'!$G$4:$G$378,_xlfn.AGGREGATE(15,6,(ROW('Factor Analysis'!$F$4:$F$378)-ROW('Factor Analysis'!$F$4)+1)/('Factor Analysis'!$F$4:$F$378="CC"),38)),"")</f>
        <v/>
      </c>
      <c r="AH42" s="49" t="str">
        <f t="array" ref="AH42">IFERROR(INDEX('Factor Analysis'!$G$4:$G$378,_xlfn.AGGREGATE(15,6,(ROW('Factor Analysis'!$F$4:$F$378)-ROW('Factor Analysis'!$F$4)+1)/('Factor Analysis'!$F$4:$F$378="CR"),38)),"")</f>
        <v/>
      </c>
      <c r="AI42" s="92" t="str">
        <f t="array" ref="AI42">IFERROR(INDEX('Factor Analysis'!$G$4:$G$378,_xlfn.AGGREGATE(15,6,(ROW('Factor Analysis'!$F$4:$F$378)-ROW('Factor Analysis'!$F$4)+1)/('Factor Analysis'!$F$4:$F$378="PCS"),38)),"")</f>
        <v/>
      </c>
    </row>
    <row r="43" spans="1:35" ht="39.75" customHeight="1">
      <c r="A43" s="38"/>
      <c r="B43" s="39" t="str">
        <f t="array" ref="B43">IFERROR(INDEX('Factor Analysis'!$G$4:$G$378,_xlfn.AGGREGATE(15,6,(ROW('Factor Analysis'!$F$4:$F$378)-ROW('Factor Analysis'!$F$4)+1)/('Factor Analysis'!$F$4:$F$378="MSO"),39)),"")</f>
        <v/>
      </c>
      <c r="C43" s="40" t="str">
        <f t="array" ref="C43">IFERROR(INDEX('Factor Analysis'!$A$4:$A$378,_xlfn.AGGREGATE(15,6,(ROW('Factor Analysis'!$F$4:$F$378)-ROW('Factor Analysis'!$F$4)+1)/('Factor Analysis'!$F$4:$F$378="MSO"),39)),"")</f>
        <v/>
      </c>
      <c r="D43" s="41"/>
      <c r="E43" s="42"/>
      <c r="F43" s="42"/>
      <c r="G43" s="42" t="str">
        <f t="shared" si="2"/>
        <v/>
      </c>
      <c r="H43" s="43" t="str">
        <f t="array" ref="H43">IFERROR(INDEX('Factor Analysis'!$G$4:$G$378,_xlfn.AGGREGATE(15,6,(ROW('Factor Analysis'!$F$4:$F$378)-ROW('Factor Analysis'!$F$4)+1)/('Factor Analysis'!$F$4:$F$378="OO"),39)),"")</f>
        <v/>
      </c>
      <c r="I43" s="44" t="str">
        <f t="array" ref="I43">IFERROR(INDEX('Factor Analysis'!$A$4:$A$378,_xlfn.AGGREGATE(15,6,(ROW('Factor Analysis'!$F$4:$F$378)-ROW('Factor Analysis'!$F$4)+1)/('Factor Analysis'!$F$4:$F$378="OO"),39)),"")</f>
        <v/>
      </c>
      <c r="J43" s="41"/>
      <c r="K43" s="45"/>
      <c r="L43" s="45"/>
      <c r="M43" s="45"/>
      <c r="N43" s="45" t="str">
        <f t="shared" si="3"/>
        <v/>
      </c>
      <c r="O43" s="46" t="str">
        <f t="array" ref="O43">IFERROR(INDEX('Factor Analysis'!$G$4:$G$378,_xlfn.AGGREGATE(15,6,(ROW('Factor Analysis'!$F$4:$F$378)-ROW('Factor Analysis'!$F$4)+1)/('Factor Analysis'!$F$4:$F$378="DC"),39)),"")</f>
        <v/>
      </c>
      <c r="P43" s="47" t="str">
        <f t="array" ref="P43">IFERROR(INDEX('Factor Analysis'!$A$4:$A$378,_xlfn.AGGREGATE(15,6,(ROW('Factor Analysis'!$F$4:$F$378)-ROW('Factor Analysis'!$F$4)+1)/('Factor Analysis'!$F$4:$F$378="DC"),39)),"")</f>
        <v/>
      </c>
      <c r="Q43" s="48"/>
      <c r="R43" s="49" t="str">
        <f t="array" ref="R43">IFERROR(INDEX('Factor Analysis'!$G$4:$G$378,_xlfn.AGGREGATE(15,6,(ROW('Factor Analysis'!$F$4:$F$378)-ROW('Factor Analysis'!$F$4)+1)/('Factor Analysis'!$F$4:$F$378="OE"),39)),"")</f>
        <v/>
      </c>
      <c r="S43" s="49" t="str">
        <f t="array" ref="S43">IFERROR(INDEX('Factor Analysis'!$G$4:$G$378,_xlfn.AGGREGATE(15,6,(ROW('Factor Analysis'!$F$4:$F$378)-ROW('Factor Analysis'!$F$4)+1)/('Factor Analysis'!$F$4:$F$378="OA"),39)),"")</f>
        <v/>
      </c>
      <c r="T43" s="49" t="str">
        <f t="array" ref="T43">IFERROR(INDEX('Factor Analysis'!$G$4:$G$378,_xlfn.AGGREGATE(15,6,(ROW('Factor Analysis'!$F$4:$F$378)-ROW('Factor Analysis'!$F$4)+1)/('Factor Analysis'!$F$4:$F$378="RISK"),39)),"")</f>
        <v>Tone-deaf messaging strengthens IRS passive support</v>
      </c>
      <c r="U43" s="49" t="str">
        <f t="array" ref="U43">IFERROR(INDEX('Factor Analysis'!$G$4:$G$378,_xlfn.AGGREGATE(15,6,(ROW('Factor Analysis'!$F$4:$F$378)-ROW('Factor Analysis'!$F$4)+1)/('Factor Analysis'!$F$4:$F$378="CV"),39)),"")</f>
        <v/>
      </c>
      <c r="V43" s="49" t="str">
        <f t="array" ref="V43">IFERROR(INDEX('Factor Analysis'!$G$4:$G$378,_xlfn.AGGREGATE(15,6,(ROW('Factor Analysis'!$F$4:$F$378)-ROW('Factor Analysis'!$F$4)+1)/('Factor Analysis'!$F$4:$F$378="COR"),39)),"")</f>
        <v>Prioritise water, medical and essential service continuity</v>
      </c>
      <c r="W43" s="49" t="str">
        <f t="array" ref="W43">IFERROR(INDEX('Factor Analysis'!$G$4:$G$378,_xlfn.AGGREGATE(15,6,(ROW('Factor Analysis'!$F$4:$F$378)-ROW('Factor Analysis'!$F$4)+1)/('Factor Analysis'!$F$4:$F$378="REQT"),39)),"")</f>
        <v/>
      </c>
      <c r="X43" s="49" t="str">
        <f t="array" ref="X43">IFERROR(INDEX('Factor Analysis'!$G$4:$G$378,_xlfn.AGGREGATE(15,6,(ROW('Factor Analysis'!$F$4:$F$378)-ROW('Factor Analysis'!$F$4)+1)/('Factor Analysis'!$F$4:$F$378="REST"),39)),"")</f>
        <v/>
      </c>
      <c r="Y43" s="49" t="str">
        <f t="array" ref="Y43">IFERROR(INDEX('Factor Analysis'!$G$4:$G$378,_xlfn.AGGREGATE(15,6,(ROW('Factor Analysis'!$F$4:$F$378)-ROW('Factor Analysis'!$F$4)+1)/('Factor Analysis'!$F$4:$F$378="KCD-MUST"),39)),"")</f>
        <v/>
      </c>
      <c r="Z43" s="49" t="str">
        <f t="array" ref="Z43">IFERROR(INDEX('Factor Analysis'!$G$4:$G$378,_xlfn.AGGREGATE(15,6,(ROW('Factor Analysis'!$F$4:$F$378)-ROW('Factor Analysis'!$F$4)+1)/('Factor Analysis'!$F$4:$F$378="KCD-SHOULD"),39)),"")</f>
        <v/>
      </c>
      <c r="AA43" s="49" t="str">
        <f t="array" ref="AA43">IFERROR(INDEX('Factor Analysis'!$G$4:$G$378,_xlfn.AGGREGATE(15,6,(ROW('Factor Analysis'!$F$4:$F$378)-ROW('Factor Analysis'!$F$4)+1)/('Factor Analysis'!$F$4:$F$378="KCD-SHOULD NOT"),39)),"")</f>
        <v/>
      </c>
      <c r="AB43" s="49" t="str">
        <f t="array" ref="AB43">IFERROR(INDEX('Factor Analysis'!$G$4:$G$378,_xlfn.AGGREGATE(15,6,(ROW('Factor Analysis'!$F$4:$F$378)-ROW('Factor Analysis'!$F$4)+1)/('Factor Analysis'!$F$4:$F$378="KCD-CANNOT"),39)),"")</f>
        <v/>
      </c>
      <c r="AC43" s="49" t="str">
        <f t="array" ref="AC43">IFERROR(INDEX('Factor Analysis'!$G$4:$G$378,_xlfn.AGGREGATE(15,6,(ROW('Factor Analysis'!$F$4:$F$378)-ROW('Factor Analysis'!$F$4)+1)/('Factor Analysis'!$F$4:$F$378="DECISION"),39)),"")</f>
        <v/>
      </c>
      <c r="AD43" s="49" t="str">
        <f t="array" ref="AD43">IFERROR(INDEX('Factor Analysis'!$G$4:$G$378,_xlfn.AGGREGATE(15,6,(ROW('Factor Analysis'!$F$4:$F$378)-ROW('Factor Analysis'!$F$4)+1)/('Factor Analysis'!$F$4:$F$378="ASSUMPTION"),39)),"")</f>
        <v/>
      </c>
      <c r="AE43" s="49" t="str">
        <f t="array" ref="AE43">IFERROR(INDEX('Factor Analysis'!$G$4:$G$378,_xlfn.AGGREGATE(15,6,(ROW('Factor Analysis'!$F$4:$F$378)-ROW('Factor Analysis'!$F$4)+1)/('Factor Analysis'!$F$4:$F$378="CONSTRAINT"),39)),"")</f>
        <v/>
      </c>
      <c r="AF43" s="49" t="str">
        <f t="array" ref="AF43">IFERROR(INDEX('Factor Analysis'!$G$4:$G$378,_xlfn.AGGREGATE(15,6,(ROW('Factor Analysis'!$F$4:$F$378)-ROW('Factor Analysis'!$F$4)+1)/('Factor Analysis'!$F$4:$F$378="LIMITATION"),39)),"")</f>
        <v/>
      </c>
      <c r="AG43" s="49" t="str">
        <f t="array" ref="AG43">IFERROR(INDEX('Factor Analysis'!$G$4:$G$378,_xlfn.AGGREGATE(15,6,(ROW('Factor Analysis'!$F$4:$F$378)-ROW('Factor Analysis'!$F$4)+1)/('Factor Analysis'!$F$4:$F$378="CC"),39)),"")</f>
        <v/>
      </c>
      <c r="AH43" s="49" t="str">
        <f t="array" ref="AH43">IFERROR(INDEX('Factor Analysis'!$G$4:$G$378,_xlfn.AGGREGATE(15,6,(ROW('Factor Analysis'!$F$4:$F$378)-ROW('Factor Analysis'!$F$4)+1)/('Factor Analysis'!$F$4:$F$378="CR"),39)),"")</f>
        <v/>
      </c>
      <c r="AI43" s="92" t="str">
        <f t="array" ref="AI43">IFERROR(INDEX('Factor Analysis'!$G$4:$G$378,_xlfn.AGGREGATE(15,6,(ROW('Factor Analysis'!$F$4:$F$378)-ROW('Factor Analysis'!$F$4)+1)/('Factor Analysis'!$F$4:$F$378="PCS"),39)),"")</f>
        <v/>
      </c>
    </row>
    <row r="44" spans="1:35" ht="39.75" customHeight="1">
      <c r="A44" s="38"/>
      <c r="B44" s="39" t="str">
        <f t="array" ref="B44">IFERROR(INDEX('Factor Analysis'!$G$4:$G$378,_xlfn.AGGREGATE(15,6,(ROW('Factor Analysis'!$F$4:$F$378)-ROW('Factor Analysis'!$F$4)+1)/('Factor Analysis'!$F$4:$F$378="MSO"),40)),"")</f>
        <v/>
      </c>
      <c r="C44" s="40" t="str">
        <f t="array" ref="C44">IFERROR(INDEX('Factor Analysis'!$A$4:$A$378,_xlfn.AGGREGATE(15,6,(ROW('Factor Analysis'!$F$4:$F$378)-ROW('Factor Analysis'!$F$4)+1)/('Factor Analysis'!$F$4:$F$378="MSO"),40)),"")</f>
        <v/>
      </c>
      <c r="D44" s="41"/>
      <c r="E44" s="42"/>
      <c r="F44" s="42"/>
      <c r="G44" s="42" t="str">
        <f t="shared" si="2"/>
        <v/>
      </c>
      <c r="H44" s="43" t="str">
        <f t="array" ref="H44">IFERROR(INDEX('Factor Analysis'!$G$4:$G$378,_xlfn.AGGREGATE(15,6,(ROW('Factor Analysis'!$F$4:$F$378)-ROW('Factor Analysis'!$F$4)+1)/('Factor Analysis'!$F$4:$F$378="OO"),40)),"")</f>
        <v/>
      </c>
      <c r="I44" s="44" t="str">
        <f t="array" ref="I44">IFERROR(INDEX('Factor Analysis'!$A$4:$A$378,_xlfn.AGGREGATE(15,6,(ROW('Factor Analysis'!$F$4:$F$378)-ROW('Factor Analysis'!$F$4)+1)/('Factor Analysis'!$F$4:$F$378="OO"),40)),"")</f>
        <v/>
      </c>
      <c r="J44" s="41"/>
      <c r="K44" s="45"/>
      <c r="L44" s="45"/>
      <c r="M44" s="45"/>
      <c r="N44" s="45" t="str">
        <f t="shared" si="3"/>
        <v/>
      </c>
      <c r="O44" s="46" t="str">
        <f t="array" ref="O44">IFERROR(INDEX('Factor Analysis'!$G$4:$G$378,_xlfn.AGGREGATE(15,6,(ROW('Factor Analysis'!$F$4:$F$378)-ROW('Factor Analysis'!$F$4)+1)/('Factor Analysis'!$F$4:$F$378="DC"),40)),"")</f>
        <v/>
      </c>
      <c r="P44" s="47" t="str">
        <f t="array" ref="P44">IFERROR(INDEX('Factor Analysis'!$A$4:$A$378,_xlfn.AGGREGATE(15,6,(ROW('Factor Analysis'!$F$4:$F$378)-ROW('Factor Analysis'!$F$4)+1)/('Factor Analysis'!$F$4:$F$378="DC"),40)),"")</f>
        <v/>
      </c>
      <c r="Q44" s="48"/>
      <c r="R44" s="49" t="str">
        <f t="array" ref="R44">IFERROR(INDEX('Factor Analysis'!$G$4:$G$378,_xlfn.AGGREGATE(15,6,(ROW('Factor Analysis'!$F$4:$F$378)-ROW('Factor Analysis'!$F$4)+1)/('Factor Analysis'!$F$4:$F$378="OE"),40)),"")</f>
        <v/>
      </c>
      <c r="S44" s="49" t="str">
        <f t="array" ref="S44">IFERROR(INDEX('Factor Analysis'!$G$4:$G$378,_xlfn.AGGREGATE(15,6,(ROW('Factor Analysis'!$F$4:$F$378)-ROW('Factor Analysis'!$F$4)+1)/('Factor Analysis'!$F$4:$F$378="OA"),40)),"")</f>
        <v/>
      </c>
      <c r="T44" s="49" t="str">
        <f t="array" ref="T44">IFERROR(INDEX('Factor Analysis'!$G$4:$G$378,_xlfn.AGGREGATE(15,6,(ROW('Factor Analysis'!$F$4:$F$378)-ROW('Factor Analysis'!$F$4)+1)/('Factor Analysis'!$F$4:$F$378="RISK"),40)),"")</f>
        <v>Contradictory messaging fractures coalition credibility</v>
      </c>
      <c r="U44" s="49" t="str">
        <f t="array" ref="U44">IFERROR(INDEX('Factor Analysis'!$G$4:$G$378,_xlfn.AGGREGATE(15,6,(ROW('Factor Analysis'!$F$4:$F$378)-ROW('Factor Analysis'!$F$4)+1)/('Factor Analysis'!$F$4:$F$378="CV"),40)),"")</f>
        <v/>
      </c>
      <c r="V44" s="49" t="str">
        <f t="array" ref="V44">IFERROR(INDEX('Factor Analysis'!$G$4:$G$378,_xlfn.AGGREGATE(15,6,(ROW('Factor Analysis'!$F$4:$F$378)-ROW('Factor Analysis'!$F$4)+1)/('Factor Analysis'!$F$4:$F$378="COR"),40)),"")</f>
        <v>Prioritise Malacca, nationals, GoIND entry and key nodes</v>
      </c>
      <c r="W44" s="49" t="str">
        <f t="array" ref="W44">IFERROR(INDEX('Factor Analysis'!$G$4:$G$378,_xlfn.AGGREGATE(15,6,(ROW('Factor Analysis'!$F$4:$F$378)-ROW('Factor Analysis'!$F$4)+1)/('Factor Analysis'!$F$4:$F$378="REQT"),40)),"")</f>
        <v/>
      </c>
      <c r="X44" s="49" t="str">
        <f t="array" ref="X44">IFERROR(INDEX('Factor Analysis'!$G$4:$G$378,_xlfn.AGGREGATE(15,6,(ROW('Factor Analysis'!$F$4:$F$378)-ROW('Factor Analysis'!$F$4)+1)/('Factor Analysis'!$F$4:$F$378="REST"),40)),"")</f>
        <v/>
      </c>
      <c r="Y44" s="49" t="str">
        <f t="array" ref="Y44">IFERROR(INDEX('Factor Analysis'!$G$4:$G$378,_xlfn.AGGREGATE(15,6,(ROW('Factor Analysis'!$F$4:$F$378)-ROW('Factor Analysis'!$F$4)+1)/('Factor Analysis'!$F$4:$F$378="KCD-MUST"),40)),"")</f>
        <v/>
      </c>
      <c r="Z44" s="49" t="str">
        <f t="array" ref="Z44">IFERROR(INDEX('Factor Analysis'!$G$4:$G$378,_xlfn.AGGREGATE(15,6,(ROW('Factor Analysis'!$F$4:$F$378)-ROW('Factor Analysis'!$F$4)+1)/('Factor Analysis'!$F$4:$F$378="KCD-SHOULD"),40)),"")</f>
        <v/>
      </c>
      <c r="AA44" s="49" t="str">
        <f t="array" ref="AA44">IFERROR(INDEX('Factor Analysis'!$G$4:$G$378,_xlfn.AGGREGATE(15,6,(ROW('Factor Analysis'!$F$4:$F$378)-ROW('Factor Analysis'!$F$4)+1)/('Factor Analysis'!$F$4:$F$378="KCD-SHOULD NOT"),40)),"")</f>
        <v/>
      </c>
      <c r="AB44" s="49" t="str">
        <f t="array" ref="AB44">IFERROR(INDEX('Factor Analysis'!$G$4:$G$378,_xlfn.AGGREGATE(15,6,(ROW('Factor Analysis'!$F$4:$F$378)-ROW('Factor Analysis'!$F$4)+1)/('Factor Analysis'!$F$4:$F$378="KCD-CANNOT"),40)),"")</f>
        <v/>
      </c>
      <c r="AC44" s="49" t="str">
        <f t="array" ref="AC44">IFERROR(INDEX('Factor Analysis'!$G$4:$G$378,_xlfn.AGGREGATE(15,6,(ROW('Factor Analysis'!$F$4:$F$378)-ROW('Factor Analysis'!$F$4)+1)/('Factor Analysis'!$F$4:$F$378="DECISION"),40)),"")</f>
        <v/>
      </c>
      <c r="AD44" s="49" t="str">
        <f t="array" ref="AD44">IFERROR(INDEX('Factor Analysis'!$G$4:$G$378,_xlfn.AGGREGATE(15,6,(ROW('Factor Analysis'!$F$4:$F$378)-ROW('Factor Analysis'!$F$4)+1)/('Factor Analysis'!$F$4:$F$378="ASSUMPTION"),40)),"")</f>
        <v/>
      </c>
      <c r="AE44" s="49" t="str">
        <f t="array" ref="AE44">IFERROR(INDEX('Factor Analysis'!$G$4:$G$378,_xlfn.AGGREGATE(15,6,(ROW('Factor Analysis'!$F$4:$F$378)-ROW('Factor Analysis'!$F$4)+1)/('Factor Analysis'!$F$4:$F$378="CONSTRAINT"),40)),"")</f>
        <v/>
      </c>
      <c r="AF44" s="49" t="str">
        <f t="array" ref="AF44">IFERROR(INDEX('Factor Analysis'!$G$4:$G$378,_xlfn.AGGREGATE(15,6,(ROW('Factor Analysis'!$F$4:$F$378)-ROW('Factor Analysis'!$F$4)+1)/('Factor Analysis'!$F$4:$F$378="LIMITATION"),40)),"")</f>
        <v/>
      </c>
      <c r="AG44" s="49" t="str">
        <f t="array" ref="AG44">IFERROR(INDEX('Factor Analysis'!$G$4:$G$378,_xlfn.AGGREGATE(15,6,(ROW('Factor Analysis'!$F$4:$F$378)-ROW('Factor Analysis'!$F$4)+1)/('Factor Analysis'!$F$4:$F$378="CC"),40)),"")</f>
        <v/>
      </c>
      <c r="AH44" s="49" t="str">
        <f t="array" ref="AH44">IFERROR(INDEX('Factor Analysis'!$G$4:$G$378,_xlfn.AGGREGATE(15,6,(ROW('Factor Analysis'!$F$4:$F$378)-ROW('Factor Analysis'!$F$4)+1)/('Factor Analysis'!$F$4:$F$378="CR"),40)),"")</f>
        <v/>
      </c>
      <c r="AI44" s="92" t="str">
        <f t="array" ref="AI44">IFERROR(INDEX('Factor Analysis'!$G$4:$G$378,_xlfn.AGGREGATE(15,6,(ROW('Factor Analysis'!$F$4:$F$378)-ROW('Factor Analysis'!$F$4)+1)/('Factor Analysis'!$F$4:$F$378="PCS"),40)),"")</f>
        <v/>
      </c>
    </row>
    <row r="45" spans="1:35" ht="39.75" customHeight="1">
      <c r="A45" s="38"/>
      <c r="B45" s="39" t="str">
        <f t="array" ref="B45">IFERROR(INDEX('Factor Analysis'!$G$4:$G$378,_xlfn.AGGREGATE(15,6,(ROW('Factor Analysis'!$F$4:$F$378)-ROW('Factor Analysis'!$F$4)+1)/('Factor Analysis'!$F$4:$F$378="MSO"),41)),"")</f>
        <v/>
      </c>
      <c r="C45" s="40" t="str">
        <f t="array" ref="C45">IFERROR(INDEX('Factor Analysis'!$A$4:$A$378,_xlfn.AGGREGATE(15,6,(ROW('Factor Analysis'!$F$4:$F$378)-ROW('Factor Analysis'!$F$4)+1)/('Factor Analysis'!$F$4:$F$378="MSO"),41)),"")</f>
        <v/>
      </c>
      <c r="D45" s="41"/>
      <c r="E45" s="42"/>
      <c r="F45" s="42"/>
      <c r="G45" s="42" t="str">
        <f t="shared" si="2"/>
        <v/>
      </c>
      <c r="H45" s="43" t="str">
        <f t="array" ref="H45">IFERROR(INDEX('Factor Analysis'!$G$4:$G$378,_xlfn.AGGREGATE(15,6,(ROW('Factor Analysis'!$F$4:$F$378)-ROW('Factor Analysis'!$F$4)+1)/('Factor Analysis'!$F$4:$F$378="OO"),41)),"")</f>
        <v/>
      </c>
      <c r="I45" s="44" t="str">
        <f t="array" ref="I45">IFERROR(INDEX('Factor Analysis'!$A$4:$A$378,_xlfn.AGGREGATE(15,6,(ROW('Factor Analysis'!$F$4:$F$378)-ROW('Factor Analysis'!$F$4)+1)/('Factor Analysis'!$F$4:$F$378="OO"),41)),"")</f>
        <v/>
      </c>
      <c r="J45" s="41"/>
      <c r="K45" s="45"/>
      <c r="L45" s="45"/>
      <c r="M45" s="45"/>
      <c r="N45" s="45" t="str">
        <f t="shared" si="3"/>
        <v/>
      </c>
      <c r="O45" s="46" t="str">
        <f t="array" ref="O45">IFERROR(INDEX('Factor Analysis'!$G$4:$G$378,_xlfn.AGGREGATE(15,6,(ROW('Factor Analysis'!$F$4:$F$378)-ROW('Factor Analysis'!$F$4)+1)/('Factor Analysis'!$F$4:$F$378="DC"),41)),"")</f>
        <v/>
      </c>
      <c r="P45" s="47" t="str">
        <f t="array" ref="P45">IFERROR(INDEX('Factor Analysis'!$A$4:$A$378,_xlfn.AGGREGATE(15,6,(ROW('Factor Analysis'!$F$4:$F$378)-ROW('Factor Analysis'!$F$4)+1)/('Factor Analysis'!$F$4:$F$378="DC"),41)),"")</f>
        <v/>
      </c>
      <c r="Q45" s="48"/>
      <c r="R45" s="49" t="str">
        <f t="array" ref="R45">IFERROR(INDEX('Factor Analysis'!$G$4:$G$378,_xlfn.AGGREGATE(15,6,(ROW('Factor Analysis'!$F$4:$F$378)-ROW('Factor Analysis'!$F$4)+1)/('Factor Analysis'!$F$4:$F$378="OE"),41)),"")</f>
        <v/>
      </c>
      <c r="S45" s="49" t="str">
        <f t="array" ref="S45">IFERROR(INDEX('Factor Analysis'!$G$4:$G$378,_xlfn.AGGREGATE(15,6,(ROW('Factor Analysis'!$F$4:$F$378)-ROW('Factor Analysis'!$F$4)+1)/('Factor Analysis'!$F$4:$F$378="OA"),41)),"")</f>
        <v/>
      </c>
      <c r="T45" s="49" t="str">
        <f t="array" ref="T45">IFERROR(INDEX('Factor Analysis'!$G$4:$G$378,_xlfn.AGGREGATE(15,6,(ROW('Factor Analysis'!$F$4:$F$378)-ROW('Factor Analysis'!$F$4)+1)/('Factor Analysis'!$F$4:$F$378="RISK"),41)),"")</f>
        <v>Single incident can outweigh operational success</v>
      </c>
      <c r="U45" s="49" t="str">
        <f t="array" ref="U45">IFERROR(INDEX('Factor Analysis'!$G$4:$G$378,_xlfn.AGGREGATE(15,6,(ROW('Factor Analysis'!$F$4:$F$378)-ROW('Factor Analysis'!$F$4)+1)/('Factor Analysis'!$F$4:$F$378="CV"),41)),"")</f>
        <v/>
      </c>
      <c r="V45" s="49" t="str">
        <f t="array" ref="V45">IFERROR(INDEX('Factor Analysis'!$G$4:$G$378,_xlfn.AGGREGATE(15,6,(ROW('Factor Analysis'!$F$4:$F$378)-ROW('Factor Analysis'!$F$4)+1)/('Factor Analysis'!$F$4:$F$378="COR"),41)),"")</f>
        <v>Identify ROEREQ and legal thresholds during MA</v>
      </c>
      <c r="W45" s="49" t="str">
        <f t="array" ref="W45">IFERROR(INDEX('Factor Analysis'!$G$4:$G$378,_xlfn.AGGREGATE(15,6,(ROW('Factor Analysis'!$F$4:$F$378)-ROW('Factor Analysis'!$F$4)+1)/('Factor Analysis'!$F$4:$F$378="REQT"),41)),"")</f>
        <v/>
      </c>
      <c r="X45" s="49" t="str">
        <f t="array" ref="X45">IFERROR(INDEX('Factor Analysis'!$G$4:$G$378,_xlfn.AGGREGATE(15,6,(ROW('Factor Analysis'!$F$4:$F$378)-ROW('Factor Analysis'!$F$4)+1)/('Factor Analysis'!$F$4:$F$378="REST"),41)),"")</f>
        <v/>
      </c>
      <c r="Y45" s="49" t="str">
        <f t="array" ref="Y45">IFERROR(INDEX('Factor Analysis'!$G$4:$G$378,_xlfn.AGGREGATE(15,6,(ROW('Factor Analysis'!$F$4:$F$378)-ROW('Factor Analysis'!$F$4)+1)/('Factor Analysis'!$F$4:$F$378="KCD-MUST"),41)),"")</f>
        <v/>
      </c>
      <c r="Z45" s="49" t="str">
        <f t="array" ref="Z45">IFERROR(INDEX('Factor Analysis'!$G$4:$G$378,_xlfn.AGGREGATE(15,6,(ROW('Factor Analysis'!$F$4:$F$378)-ROW('Factor Analysis'!$F$4)+1)/('Factor Analysis'!$F$4:$F$378="KCD-SHOULD"),41)),"")</f>
        <v/>
      </c>
      <c r="AA45" s="49" t="str">
        <f t="array" ref="AA45">IFERROR(INDEX('Factor Analysis'!$G$4:$G$378,_xlfn.AGGREGATE(15,6,(ROW('Factor Analysis'!$F$4:$F$378)-ROW('Factor Analysis'!$F$4)+1)/('Factor Analysis'!$F$4:$F$378="KCD-SHOULD NOT"),41)),"")</f>
        <v/>
      </c>
      <c r="AB45" s="49" t="str">
        <f t="array" ref="AB45">IFERROR(INDEX('Factor Analysis'!$G$4:$G$378,_xlfn.AGGREGATE(15,6,(ROW('Factor Analysis'!$F$4:$F$378)-ROW('Factor Analysis'!$F$4)+1)/('Factor Analysis'!$F$4:$F$378="KCD-CANNOT"),41)),"")</f>
        <v/>
      </c>
      <c r="AC45" s="49" t="str">
        <f t="array" ref="AC45">IFERROR(INDEX('Factor Analysis'!$G$4:$G$378,_xlfn.AGGREGATE(15,6,(ROW('Factor Analysis'!$F$4:$F$378)-ROW('Factor Analysis'!$F$4)+1)/('Factor Analysis'!$F$4:$F$378="DECISION"),41)),"")</f>
        <v/>
      </c>
      <c r="AD45" s="49" t="str">
        <f t="array" ref="AD45">IFERROR(INDEX('Factor Analysis'!$G$4:$G$378,_xlfn.AGGREGATE(15,6,(ROW('Factor Analysis'!$F$4:$F$378)-ROW('Factor Analysis'!$F$4)+1)/('Factor Analysis'!$F$4:$F$378="ASSUMPTION"),41)),"")</f>
        <v/>
      </c>
      <c r="AE45" s="49" t="str">
        <f t="array" ref="AE45">IFERROR(INDEX('Factor Analysis'!$G$4:$G$378,_xlfn.AGGREGATE(15,6,(ROW('Factor Analysis'!$F$4:$F$378)-ROW('Factor Analysis'!$F$4)+1)/('Factor Analysis'!$F$4:$F$378="CONSTRAINT"),41)),"")</f>
        <v/>
      </c>
      <c r="AF45" s="49" t="str">
        <f t="array" ref="AF45">IFERROR(INDEX('Factor Analysis'!$G$4:$G$378,_xlfn.AGGREGATE(15,6,(ROW('Factor Analysis'!$F$4:$F$378)-ROW('Factor Analysis'!$F$4)+1)/('Factor Analysis'!$F$4:$F$378="LIMITATION"),41)),"")</f>
        <v/>
      </c>
      <c r="AG45" s="49" t="str">
        <f t="array" ref="AG45">IFERROR(INDEX('Factor Analysis'!$G$4:$G$378,_xlfn.AGGREGATE(15,6,(ROW('Factor Analysis'!$F$4:$F$378)-ROW('Factor Analysis'!$F$4)+1)/('Factor Analysis'!$F$4:$F$378="CC"),41)),"")</f>
        <v/>
      </c>
      <c r="AH45" s="49" t="str">
        <f t="array" ref="AH45">IFERROR(INDEX('Factor Analysis'!$G$4:$G$378,_xlfn.AGGREGATE(15,6,(ROW('Factor Analysis'!$F$4:$F$378)-ROW('Factor Analysis'!$F$4)+1)/('Factor Analysis'!$F$4:$F$378="CR"),41)),"")</f>
        <v/>
      </c>
      <c r="AI45" s="92" t="str">
        <f t="array" ref="AI45">IFERROR(INDEX('Factor Analysis'!$G$4:$G$378,_xlfn.AGGREGATE(15,6,(ROW('Factor Analysis'!$F$4:$F$378)-ROW('Factor Analysis'!$F$4)+1)/('Factor Analysis'!$F$4:$F$378="PCS"),41)),"")</f>
        <v/>
      </c>
    </row>
    <row r="46" spans="1:35" ht="39.75" customHeight="1">
      <c r="A46" s="38"/>
      <c r="B46" s="39" t="str">
        <f t="array" ref="B46">IFERROR(INDEX('Factor Analysis'!$G$4:$G$378,_xlfn.AGGREGATE(15,6,(ROW('Factor Analysis'!$F$4:$F$378)-ROW('Factor Analysis'!$F$4)+1)/('Factor Analysis'!$F$4:$F$378="MSO"),42)),"")</f>
        <v/>
      </c>
      <c r="C46" s="40" t="str">
        <f t="array" ref="C46">IFERROR(INDEX('Factor Analysis'!$A$4:$A$378,_xlfn.AGGREGATE(15,6,(ROW('Factor Analysis'!$F$4:$F$378)-ROW('Factor Analysis'!$F$4)+1)/('Factor Analysis'!$F$4:$F$378="MSO"),42)),"")</f>
        <v/>
      </c>
      <c r="D46" s="41"/>
      <c r="E46" s="42"/>
      <c r="F46" s="42"/>
      <c r="G46" s="42" t="str">
        <f t="shared" si="2"/>
        <v/>
      </c>
      <c r="H46" s="43" t="str">
        <f t="array" ref="H46">IFERROR(INDEX('Factor Analysis'!$G$4:$G$378,_xlfn.AGGREGATE(15,6,(ROW('Factor Analysis'!$F$4:$F$378)-ROW('Factor Analysis'!$F$4)+1)/('Factor Analysis'!$F$4:$F$378="OO"),42)),"")</f>
        <v/>
      </c>
      <c r="I46" s="44" t="str">
        <f t="array" ref="I46">IFERROR(INDEX('Factor Analysis'!$A$4:$A$378,_xlfn.AGGREGATE(15,6,(ROW('Factor Analysis'!$F$4:$F$378)-ROW('Factor Analysis'!$F$4)+1)/('Factor Analysis'!$F$4:$F$378="OO"),42)),"")</f>
        <v/>
      </c>
      <c r="J46" s="41"/>
      <c r="K46" s="45"/>
      <c r="L46" s="45"/>
      <c r="M46" s="45"/>
      <c r="N46" s="45" t="str">
        <f t="shared" si="3"/>
        <v/>
      </c>
      <c r="O46" s="46" t="str">
        <f t="array" ref="O46">IFERROR(INDEX('Factor Analysis'!$G$4:$G$378,_xlfn.AGGREGATE(15,6,(ROW('Factor Analysis'!$F$4:$F$378)-ROW('Factor Analysis'!$F$4)+1)/('Factor Analysis'!$F$4:$F$378="DC"),42)),"")</f>
        <v/>
      </c>
      <c r="P46" s="47" t="str">
        <f t="array" ref="P46">IFERROR(INDEX('Factor Analysis'!$A$4:$A$378,_xlfn.AGGREGATE(15,6,(ROW('Factor Analysis'!$F$4:$F$378)-ROW('Factor Analysis'!$F$4)+1)/('Factor Analysis'!$F$4:$F$378="DC"),42)),"")</f>
        <v/>
      </c>
      <c r="Q46" s="48"/>
      <c r="R46" s="49" t="str">
        <f t="array" ref="R46">IFERROR(INDEX('Factor Analysis'!$G$4:$G$378,_xlfn.AGGREGATE(15,6,(ROW('Factor Analysis'!$F$4:$F$378)-ROW('Factor Analysis'!$F$4)+1)/('Factor Analysis'!$F$4:$F$378="OE"),42)),"")</f>
        <v/>
      </c>
      <c r="S46" s="49" t="str">
        <f t="array" ref="S46">IFERROR(INDEX('Factor Analysis'!$G$4:$G$378,_xlfn.AGGREGATE(15,6,(ROW('Factor Analysis'!$F$4:$F$378)-ROW('Factor Analysis'!$F$4)+1)/('Factor Analysis'!$F$4:$F$378="OA"),42)),"")</f>
        <v/>
      </c>
      <c r="T46" s="49" t="str">
        <f t="array" ref="T46">IFERROR(INDEX('Factor Analysis'!$G$4:$G$378,_xlfn.AGGREGATE(15,6,(ROW('Factor Analysis'!$F$4:$F$378)-ROW('Factor Analysis'!$F$4)+1)/('Factor Analysis'!$F$4:$F$378="RISK"),42)),"")</f>
        <v>Confidence gap achieves IRS disruption objective</v>
      </c>
      <c r="U46" s="49" t="str">
        <f t="array" ref="U46">IFERROR(INDEX('Factor Analysis'!$G$4:$G$378,_xlfn.AGGREGATE(15,6,(ROW('Factor Analysis'!$F$4:$F$378)-ROW('Factor Analysis'!$F$4)+1)/('Factor Analysis'!$F$4:$F$378="CV"),42)),"")</f>
        <v/>
      </c>
      <c r="V46" s="49" t="str">
        <f t="array" ref="V46">IFERROR(INDEX('Factor Analysis'!$G$4:$G$378,_xlfn.AGGREGATE(15,6,(ROW('Factor Analysis'!$F$4:$F$378)-ROW('Factor Analysis'!$F$4)+1)/('Factor Analysis'!$F$4:$F$378="COR"),42)),"")</f>
        <v>Build resilient comms and degraded-mode procedures</v>
      </c>
      <c r="W46" s="49" t="str">
        <f t="array" ref="W46">IFERROR(INDEX('Factor Analysis'!$G$4:$G$378,_xlfn.AGGREGATE(15,6,(ROW('Factor Analysis'!$F$4:$F$378)-ROW('Factor Analysis'!$F$4)+1)/('Factor Analysis'!$F$4:$F$378="REQT"),42)),"")</f>
        <v/>
      </c>
      <c r="X46" s="49" t="str">
        <f t="array" ref="X46">IFERROR(INDEX('Factor Analysis'!$G$4:$G$378,_xlfn.AGGREGATE(15,6,(ROW('Factor Analysis'!$F$4:$F$378)-ROW('Factor Analysis'!$F$4)+1)/('Factor Analysis'!$F$4:$F$378="REST"),42)),"")</f>
        <v/>
      </c>
      <c r="Y46" s="49" t="str">
        <f t="array" ref="Y46">IFERROR(INDEX('Factor Analysis'!$G$4:$G$378,_xlfn.AGGREGATE(15,6,(ROW('Factor Analysis'!$F$4:$F$378)-ROW('Factor Analysis'!$F$4)+1)/('Factor Analysis'!$F$4:$F$378="KCD-MUST"),42)),"")</f>
        <v/>
      </c>
      <c r="Z46" s="49" t="str">
        <f t="array" ref="Z46">IFERROR(INDEX('Factor Analysis'!$G$4:$G$378,_xlfn.AGGREGATE(15,6,(ROW('Factor Analysis'!$F$4:$F$378)-ROW('Factor Analysis'!$F$4)+1)/('Factor Analysis'!$F$4:$F$378="KCD-SHOULD"),42)),"")</f>
        <v/>
      </c>
      <c r="AA46" s="49" t="str">
        <f t="array" ref="AA46">IFERROR(INDEX('Factor Analysis'!$G$4:$G$378,_xlfn.AGGREGATE(15,6,(ROW('Factor Analysis'!$F$4:$F$378)-ROW('Factor Analysis'!$F$4)+1)/('Factor Analysis'!$F$4:$F$378="KCD-SHOULD NOT"),42)),"")</f>
        <v/>
      </c>
      <c r="AB46" s="49" t="str">
        <f t="array" ref="AB46">IFERROR(INDEX('Factor Analysis'!$G$4:$G$378,_xlfn.AGGREGATE(15,6,(ROW('Factor Analysis'!$F$4:$F$378)-ROW('Factor Analysis'!$F$4)+1)/('Factor Analysis'!$F$4:$F$378="KCD-CANNOT"),42)),"")</f>
        <v/>
      </c>
      <c r="AC46" s="49" t="str">
        <f t="array" ref="AC46">IFERROR(INDEX('Factor Analysis'!$G$4:$G$378,_xlfn.AGGREGATE(15,6,(ROW('Factor Analysis'!$F$4:$F$378)-ROW('Factor Analysis'!$F$4)+1)/('Factor Analysis'!$F$4:$F$378="DECISION"),42)),"")</f>
        <v/>
      </c>
      <c r="AD46" s="49" t="str">
        <f t="array" ref="AD46">IFERROR(INDEX('Factor Analysis'!$G$4:$G$378,_xlfn.AGGREGATE(15,6,(ROW('Factor Analysis'!$F$4:$F$378)-ROW('Factor Analysis'!$F$4)+1)/('Factor Analysis'!$F$4:$F$378="ASSUMPTION"),42)),"")</f>
        <v/>
      </c>
      <c r="AE46" s="49" t="str">
        <f t="array" ref="AE46">IFERROR(INDEX('Factor Analysis'!$G$4:$G$378,_xlfn.AGGREGATE(15,6,(ROW('Factor Analysis'!$F$4:$F$378)-ROW('Factor Analysis'!$F$4)+1)/('Factor Analysis'!$F$4:$F$378="CONSTRAINT"),42)),"")</f>
        <v/>
      </c>
      <c r="AF46" s="49" t="str">
        <f t="array" ref="AF46">IFERROR(INDEX('Factor Analysis'!$G$4:$G$378,_xlfn.AGGREGATE(15,6,(ROW('Factor Analysis'!$F$4:$F$378)-ROW('Factor Analysis'!$F$4)+1)/('Factor Analysis'!$F$4:$F$378="LIMITATION"),42)),"")</f>
        <v/>
      </c>
      <c r="AG46" s="49" t="str">
        <f t="array" ref="AG46">IFERROR(INDEX('Factor Analysis'!$G$4:$G$378,_xlfn.AGGREGATE(15,6,(ROW('Factor Analysis'!$F$4:$F$378)-ROW('Factor Analysis'!$F$4)+1)/('Factor Analysis'!$F$4:$F$378="CC"),42)),"")</f>
        <v/>
      </c>
      <c r="AH46" s="49" t="str">
        <f t="array" ref="AH46">IFERROR(INDEX('Factor Analysis'!$G$4:$G$378,_xlfn.AGGREGATE(15,6,(ROW('Factor Analysis'!$F$4:$F$378)-ROW('Factor Analysis'!$F$4)+1)/('Factor Analysis'!$F$4:$F$378="CR"),42)),"")</f>
        <v/>
      </c>
      <c r="AI46" s="92" t="str">
        <f t="array" ref="AI46">IFERROR(INDEX('Factor Analysis'!$G$4:$G$378,_xlfn.AGGREGATE(15,6,(ROW('Factor Analysis'!$F$4:$F$378)-ROW('Factor Analysis'!$F$4)+1)/('Factor Analysis'!$F$4:$F$378="PCS"),42)),"")</f>
        <v/>
      </c>
    </row>
    <row r="47" spans="1:35" ht="39.75" customHeight="1">
      <c r="A47" s="38"/>
      <c r="B47" s="39" t="str">
        <f t="array" ref="B47">IFERROR(INDEX('Factor Analysis'!$G$4:$G$378,_xlfn.AGGREGATE(15,6,(ROW('Factor Analysis'!$F$4:$F$378)-ROW('Factor Analysis'!$F$4)+1)/('Factor Analysis'!$F$4:$F$378="MSO"),43)),"")</f>
        <v/>
      </c>
      <c r="C47" s="40" t="str">
        <f t="array" ref="C47">IFERROR(INDEX('Factor Analysis'!$A$4:$A$378,_xlfn.AGGREGATE(15,6,(ROW('Factor Analysis'!$F$4:$F$378)-ROW('Factor Analysis'!$F$4)+1)/('Factor Analysis'!$F$4:$F$378="MSO"),43)),"")</f>
        <v/>
      </c>
      <c r="D47" s="41"/>
      <c r="E47" s="42"/>
      <c r="F47" s="42"/>
      <c r="G47" s="42" t="str">
        <f t="shared" si="2"/>
        <v/>
      </c>
      <c r="H47" s="43" t="str">
        <f t="array" ref="H47">IFERROR(INDEX('Factor Analysis'!$G$4:$G$378,_xlfn.AGGREGATE(15,6,(ROW('Factor Analysis'!$F$4:$F$378)-ROW('Factor Analysis'!$F$4)+1)/('Factor Analysis'!$F$4:$F$378="OO"),43)),"")</f>
        <v/>
      </c>
      <c r="I47" s="44" t="str">
        <f t="array" ref="I47">IFERROR(INDEX('Factor Analysis'!$A$4:$A$378,_xlfn.AGGREGATE(15,6,(ROW('Factor Analysis'!$F$4:$F$378)-ROW('Factor Analysis'!$F$4)+1)/('Factor Analysis'!$F$4:$F$378="OO"),43)),"")</f>
        <v/>
      </c>
      <c r="J47" s="41"/>
      <c r="K47" s="45"/>
      <c r="L47" s="45"/>
      <c r="M47" s="45"/>
      <c r="N47" s="45" t="str">
        <f t="shared" si="3"/>
        <v/>
      </c>
      <c r="O47" s="46" t="str">
        <f t="array" ref="O47">IFERROR(INDEX('Factor Analysis'!$G$4:$G$378,_xlfn.AGGREGATE(15,6,(ROW('Factor Analysis'!$F$4:$F$378)-ROW('Factor Analysis'!$F$4)+1)/('Factor Analysis'!$F$4:$F$378="DC"),43)),"")</f>
        <v/>
      </c>
      <c r="P47" s="47" t="str">
        <f t="array" ref="P47">IFERROR(INDEX('Factor Analysis'!$A$4:$A$378,_xlfn.AGGREGATE(15,6,(ROW('Factor Analysis'!$F$4:$F$378)-ROW('Factor Analysis'!$F$4)+1)/('Factor Analysis'!$F$4:$F$378="DC"),43)),"")</f>
        <v/>
      </c>
      <c r="Q47" s="48"/>
      <c r="R47" s="49" t="str">
        <f t="array" ref="R47">IFERROR(INDEX('Factor Analysis'!$G$4:$G$378,_xlfn.AGGREGATE(15,6,(ROW('Factor Analysis'!$F$4:$F$378)-ROW('Factor Analysis'!$F$4)+1)/('Factor Analysis'!$F$4:$F$378="OE"),43)),"")</f>
        <v/>
      </c>
      <c r="S47" s="49" t="str">
        <f t="array" ref="S47">IFERROR(INDEX('Factor Analysis'!$G$4:$G$378,_xlfn.AGGREGATE(15,6,(ROW('Factor Analysis'!$F$4:$F$378)-ROW('Factor Analysis'!$F$4)+1)/('Factor Analysis'!$F$4:$F$378="OA"),43)),"")</f>
        <v/>
      </c>
      <c r="T47" s="49" t="str">
        <f t="array" ref="T47">IFERROR(INDEX('Factor Analysis'!$G$4:$G$378,_xlfn.AGGREGATE(15,6,(ROW('Factor Analysis'!$F$4:$F$378)-ROW('Factor Analysis'!$F$4)+1)/('Factor Analysis'!$F$4:$F$378="RISK"),43)),"")</f>
        <v>Personal attacks without evidence appear propaganda-driven</v>
      </c>
      <c r="U47" s="49" t="str">
        <f t="array" ref="U47">IFERROR(INDEX('Factor Analysis'!$G$4:$G$378,_xlfn.AGGREGATE(15,6,(ROW('Factor Analysis'!$F$4:$F$378)-ROW('Factor Analysis'!$F$4)+1)/('Factor Analysis'!$F$4:$F$378="CV"),43)),"")</f>
        <v/>
      </c>
      <c r="V47" s="49" t="str">
        <f t="array" ref="V47">IFERROR(INDEX('Factor Analysis'!$G$4:$G$378,_xlfn.AGGREGATE(15,6,(ROW('Factor Analysis'!$F$4:$F$378)-ROW('Factor Analysis'!$F$4)+1)/('Factor Analysis'!$F$4:$F$378="COR"),43)),"")</f>
        <v>Link every factor to MSO/OO/DC/OE/OA or risk</v>
      </c>
      <c r="W47" s="49" t="str">
        <f t="array" ref="W47">IFERROR(INDEX('Factor Analysis'!$G$4:$G$378,_xlfn.AGGREGATE(15,6,(ROW('Factor Analysis'!$F$4:$F$378)-ROW('Factor Analysis'!$F$4)+1)/('Factor Analysis'!$F$4:$F$378="REQT"),43)),"")</f>
        <v/>
      </c>
      <c r="X47" s="49" t="str">
        <f t="array" ref="X47">IFERROR(INDEX('Factor Analysis'!$G$4:$G$378,_xlfn.AGGREGATE(15,6,(ROW('Factor Analysis'!$F$4:$F$378)-ROW('Factor Analysis'!$F$4)+1)/('Factor Analysis'!$F$4:$F$378="REST"),43)),"")</f>
        <v/>
      </c>
      <c r="Y47" s="49" t="str">
        <f t="array" ref="Y47">IFERROR(INDEX('Factor Analysis'!$G$4:$G$378,_xlfn.AGGREGATE(15,6,(ROW('Factor Analysis'!$F$4:$F$378)-ROW('Factor Analysis'!$F$4)+1)/('Factor Analysis'!$F$4:$F$378="KCD-MUST"),43)),"")</f>
        <v/>
      </c>
      <c r="Z47" s="49" t="str">
        <f t="array" ref="Z47">IFERROR(INDEX('Factor Analysis'!$G$4:$G$378,_xlfn.AGGREGATE(15,6,(ROW('Factor Analysis'!$F$4:$F$378)-ROW('Factor Analysis'!$F$4)+1)/('Factor Analysis'!$F$4:$F$378="KCD-SHOULD"),43)),"")</f>
        <v/>
      </c>
      <c r="AA47" s="49" t="str">
        <f t="array" ref="AA47">IFERROR(INDEX('Factor Analysis'!$G$4:$G$378,_xlfn.AGGREGATE(15,6,(ROW('Factor Analysis'!$F$4:$F$378)-ROW('Factor Analysis'!$F$4)+1)/('Factor Analysis'!$F$4:$F$378="KCD-SHOULD NOT"),43)),"")</f>
        <v/>
      </c>
      <c r="AB47" s="49" t="str">
        <f t="array" ref="AB47">IFERROR(INDEX('Factor Analysis'!$G$4:$G$378,_xlfn.AGGREGATE(15,6,(ROW('Factor Analysis'!$F$4:$F$378)-ROW('Factor Analysis'!$F$4)+1)/('Factor Analysis'!$F$4:$F$378="KCD-CANNOT"),43)),"")</f>
        <v/>
      </c>
      <c r="AC47" s="49" t="str">
        <f t="array" ref="AC47">IFERROR(INDEX('Factor Analysis'!$G$4:$G$378,_xlfn.AGGREGATE(15,6,(ROW('Factor Analysis'!$F$4:$F$378)-ROW('Factor Analysis'!$F$4)+1)/('Factor Analysis'!$F$4:$F$378="DECISION"),43)),"")</f>
        <v/>
      </c>
      <c r="AD47" s="49" t="str">
        <f t="array" ref="AD47">IFERROR(INDEX('Factor Analysis'!$G$4:$G$378,_xlfn.AGGREGATE(15,6,(ROW('Factor Analysis'!$F$4:$F$378)-ROW('Factor Analysis'!$F$4)+1)/('Factor Analysis'!$F$4:$F$378="ASSUMPTION"),43)),"")</f>
        <v/>
      </c>
      <c r="AE47" s="49" t="str">
        <f t="array" ref="AE47">IFERROR(INDEX('Factor Analysis'!$G$4:$G$378,_xlfn.AGGREGATE(15,6,(ROW('Factor Analysis'!$F$4:$F$378)-ROW('Factor Analysis'!$F$4)+1)/('Factor Analysis'!$F$4:$F$378="CONSTRAINT"),43)),"")</f>
        <v/>
      </c>
      <c r="AF47" s="49" t="str">
        <f t="array" ref="AF47">IFERROR(INDEX('Factor Analysis'!$G$4:$G$378,_xlfn.AGGREGATE(15,6,(ROW('Factor Analysis'!$F$4:$F$378)-ROW('Factor Analysis'!$F$4)+1)/('Factor Analysis'!$F$4:$F$378="LIMITATION"),43)),"")</f>
        <v/>
      </c>
      <c r="AG47" s="49" t="str">
        <f t="array" ref="AG47">IFERROR(INDEX('Factor Analysis'!$G$4:$G$378,_xlfn.AGGREGATE(15,6,(ROW('Factor Analysis'!$F$4:$F$378)-ROW('Factor Analysis'!$F$4)+1)/('Factor Analysis'!$F$4:$F$378="CC"),43)),"")</f>
        <v/>
      </c>
      <c r="AH47" s="49" t="str">
        <f t="array" ref="AH47">IFERROR(INDEX('Factor Analysis'!$G$4:$G$378,_xlfn.AGGREGATE(15,6,(ROW('Factor Analysis'!$F$4:$F$378)-ROW('Factor Analysis'!$F$4)+1)/('Factor Analysis'!$F$4:$F$378="CR"),43)),"")</f>
        <v/>
      </c>
      <c r="AI47" s="92" t="str">
        <f t="array" ref="AI47">IFERROR(INDEX('Factor Analysis'!$G$4:$G$378,_xlfn.AGGREGATE(15,6,(ROW('Factor Analysis'!$F$4:$F$378)-ROW('Factor Analysis'!$F$4)+1)/('Factor Analysis'!$F$4:$F$378="PCS"),43)),"")</f>
        <v/>
      </c>
    </row>
    <row r="48" spans="1:35" ht="39.75" customHeight="1">
      <c r="A48" s="38"/>
      <c r="B48" s="39" t="str">
        <f t="array" ref="B48">IFERROR(INDEX('Factor Analysis'!$G$4:$G$378,_xlfn.AGGREGATE(15,6,(ROW('Factor Analysis'!$F$4:$F$378)-ROW('Factor Analysis'!$F$4)+1)/('Factor Analysis'!$F$4:$F$378="MSO"),44)),"")</f>
        <v/>
      </c>
      <c r="C48" s="40" t="str">
        <f t="array" ref="C48">IFERROR(INDEX('Factor Analysis'!$A$4:$A$378,_xlfn.AGGREGATE(15,6,(ROW('Factor Analysis'!$F$4:$F$378)-ROW('Factor Analysis'!$F$4)+1)/('Factor Analysis'!$F$4:$F$378="MSO"),44)),"")</f>
        <v/>
      </c>
      <c r="D48" s="41"/>
      <c r="E48" s="42"/>
      <c r="F48" s="42"/>
      <c r="G48" s="42" t="str">
        <f t="shared" si="2"/>
        <v/>
      </c>
      <c r="H48" s="43" t="str">
        <f t="array" ref="H48">IFERROR(INDEX('Factor Analysis'!$G$4:$G$378,_xlfn.AGGREGATE(15,6,(ROW('Factor Analysis'!$F$4:$F$378)-ROW('Factor Analysis'!$F$4)+1)/('Factor Analysis'!$F$4:$F$378="OO"),44)),"")</f>
        <v/>
      </c>
      <c r="I48" s="44" t="str">
        <f t="array" ref="I48">IFERROR(INDEX('Factor Analysis'!$A$4:$A$378,_xlfn.AGGREGATE(15,6,(ROW('Factor Analysis'!$F$4:$F$378)-ROW('Factor Analysis'!$F$4)+1)/('Factor Analysis'!$F$4:$F$378="OO"),44)),"")</f>
        <v/>
      </c>
      <c r="J48" s="41"/>
      <c r="K48" s="45"/>
      <c r="L48" s="45"/>
      <c r="M48" s="45"/>
      <c r="N48" s="45" t="str">
        <f t="shared" si="3"/>
        <v/>
      </c>
      <c r="O48" s="46" t="str">
        <f t="array" ref="O48">IFERROR(INDEX('Factor Analysis'!$G$4:$G$378,_xlfn.AGGREGATE(15,6,(ROW('Factor Analysis'!$F$4:$F$378)-ROW('Factor Analysis'!$F$4)+1)/('Factor Analysis'!$F$4:$F$378="DC"),44)),"")</f>
        <v/>
      </c>
      <c r="P48" s="47" t="str">
        <f t="array" ref="P48">IFERROR(INDEX('Factor Analysis'!$A$4:$A$378,_xlfn.AGGREGATE(15,6,(ROW('Factor Analysis'!$F$4:$F$378)-ROW('Factor Analysis'!$F$4)+1)/('Factor Analysis'!$F$4:$F$378="DC"),44)),"")</f>
        <v/>
      </c>
      <c r="Q48" s="48"/>
      <c r="R48" s="49" t="str">
        <f t="array" ref="R48">IFERROR(INDEX('Factor Analysis'!$G$4:$G$378,_xlfn.AGGREGATE(15,6,(ROW('Factor Analysis'!$F$4:$F$378)-ROW('Factor Analysis'!$F$4)+1)/('Factor Analysis'!$F$4:$F$378="OE"),44)),"")</f>
        <v/>
      </c>
      <c r="S48" s="49" t="str">
        <f t="array" ref="S48">IFERROR(INDEX('Factor Analysis'!$G$4:$G$378,_xlfn.AGGREGATE(15,6,(ROW('Factor Analysis'!$F$4:$F$378)-ROW('Factor Analysis'!$F$4)+1)/('Factor Analysis'!$F$4:$F$378="OA"),44)),"")</f>
        <v/>
      </c>
      <c r="T48" s="49" t="str">
        <f t="array" ref="T48">IFERROR(INDEX('Factor Analysis'!$G$4:$G$378,_xlfn.AGGREGATE(15,6,(ROW('Factor Analysis'!$F$4:$F$378)-ROW('Factor Analysis'!$F$4)+1)/('Factor Analysis'!$F$4:$F$378="RISK"),44)),"")</f>
        <v>Refugee crisis draws regional states deeper into crisis</v>
      </c>
      <c r="U48" s="49" t="str">
        <f t="array" ref="U48">IFERROR(INDEX('Factor Analysis'!$G$4:$G$378,_xlfn.AGGREGATE(15,6,(ROW('Factor Analysis'!$F$4:$F$378)-ROW('Factor Analysis'!$F$4)+1)/('Factor Analysis'!$F$4:$F$378="CV"),44)),"")</f>
        <v/>
      </c>
      <c r="V48" s="49" t="str">
        <f t="array" ref="V48">IFERROR(INDEX('Factor Analysis'!$G$4:$G$378,_xlfn.AGGREGATE(15,6,(ROW('Factor Analysis'!$F$4:$F$378)-ROW('Factor Analysis'!$F$4)+1)/('Factor Analysis'!$F$4:$F$378="COR"),44)),"")</f>
        <v/>
      </c>
      <c r="W48" s="49" t="str">
        <f t="array" ref="W48">IFERROR(INDEX('Factor Analysis'!$G$4:$G$378,_xlfn.AGGREGATE(15,6,(ROW('Factor Analysis'!$F$4:$F$378)-ROW('Factor Analysis'!$F$4)+1)/('Factor Analysis'!$F$4:$F$378="REQT"),44)),"")</f>
        <v/>
      </c>
      <c r="X48" s="49" t="str">
        <f t="array" ref="X48">IFERROR(INDEX('Factor Analysis'!$G$4:$G$378,_xlfn.AGGREGATE(15,6,(ROW('Factor Analysis'!$F$4:$F$378)-ROW('Factor Analysis'!$F$4)+1)/('Factor Analysis'!$F$4:$F$378="REST"),44)),"")</f>
        <v/>
      </c>
      <c r="Y48" s="49" t="str">
        <f t="array" ref="Y48">IFERROR(INDEX('Factor Analysis'!$G$4:$G$378,_xlfn.AGGREGATE(15,6,(ROW('Factor Analysis'!$F$4:$F$378)-ROW('Factor Analysis'!$F$4)+1)/('Factor Analysis'!$F$4:$F$378="KCD-MUST"),44)),"")</f>
        <v/>
      </c>
      <c r="Z48" s="49" t="str">
        <f t="array" ref="Z48">IFERROR(INDEX('Factor Analysis'!$G$4:$G$378,_xlfn.AGGREGATE(15,6,(ROW('Factor Analysis'!$F$4:$F$378)-ROW('Factor Analysis'!$F$4)+1)/('Factor Analysis'!$F$4:$F$378="KCD-SHOULD"),44)),"")</f>
        <v/>
      </c>
      <c r="AA48" s="49" t="str">
        <f t="array" ref="AA48">IFERROR(INDEX('Factor Analysis'!$G$4:$G$378,_xlfn.AGGREGATE(15,6,(ROW('Factor Analysis'!$F$4:$F$378)-ROW('Factor Analysis'!$F$4)+1)/('Factor Analysis'!$F$4:$F$378="KCD-SHOULD NOT"),44)),"")</f>
        <v/>
      </c>
      <c r="AB48" s="49" t="str">
        <f t="array" ref="AB48">IFERROR(INDEX('Factor Analysis'!$G$4:$G$378,_xlfn.AGGREGATE(15,6,(ROW('Factor Analysis'!$F$4:$F$378)-ROW('Factor Analysis'!$F$4)+1)/('Factor Analysis'!$F$4:$F$378="KCD-CANNOT"),44)),"")</f>
        <v/>
      </c>
      <c r="AC48" s="49" t="str">
        <f t="array" ref="AC48">IFERROR(INDEX('Factor Analysis'!$G$4:$G$378,_xlfn.AGGREGATE(15,6,(ROW('Factor Analysis'!$F$4:$F$378)-ROW('Factor Analysis'!$F$4)+1)/('Factor Analysis'!$F$4:$F$378="DECISION"),44)),"")</f>
        <v/>
      </c>
      <c r="AD48" s="49" t="str">
        <f t="array" ref="AD48">IFERROR(INDEX('Factor Analysis'!$G$4:$G$378,_xlfn.AGGREGATE(15,6,(ROW('Factor Analysis'!$F$4:$F$378)-ROW('Factor Analysis'!$F$4)+1)/('Factor Analysis'!$F$4:$F$378="ASSUMPTION"),44)),"")</f>
        <v/>
      </c>
      <c r="AE48" s="49" t="str">
        <f t="array" ref="AE48">IFERROR(INDEX('Factor Analysis'!$G$4:$G$378,_xlfn.AGGREGATE(15,6,(ROW('Factor Analysis'!$F$4:$F$378)-ROW('Factor Analysis'!$F$4)+1)/('Factor Analysis'!$F$4:$F$378="CONSTRAINT"),44)),"")</f>
        <v/>
      </c>
      <c r="AF48" s="49" t="str">
        <f t="array" ref="AF48">IFERROR(INDEX('Factor Analysis'!$G$4:$G$378,_xlfn.AGGREGATE(15,6,(ROW('Factor Analysis'!$F$4:$F$378)-ROW('Factor Analysis'!$F$4)+1)/('Factor Analysis'!$F$4:$F$378="LIMITATION"),44)),"")</f>
        <v/>
      </c>
      <c r="AG48" s="49" t="str">
        <f t="array" ref="AG48">IFERROR(INDEX('Factor Analysis'!$G$4:$G$378,_xlfn.AGGREGATE(15,6,(ROW('Factor Analysis'!$F$4:$F$378)-ROW('Factor Analysis'!$F$4)+1)/('Factor Analysis'!$F$4:$F$378="CC"),44)),"")</f>
        <v/>
      </c>
      <c r="AH48" s="49" t="str">
        <f t="array" ref="AH48">IFERROR(INDEX('Factor Analysis'!$G$4:$G$378,_xlfn.AGGREGATE(15,6,(ROW('Factor Analysis'!$F$4:$F$378)-ROW('Factor Analysis'!$F$4)+1)/('Factor Analysis'!$F$4:$F$378="CR"),44)),"")</f>
        <v/>
      </c>
      <c r="AI48" s="92" t="str">
        <f t="array" ref="AI48">IFERROR(INDEX('Factor Analysis'!$G$4:$G$378,_xlfn.AGGREGATE(15,6,(ROW('Factor Analysis'!$F$4:$F$378)-ROW('Factor Analysis'!$F$4)+1)/('Factor Analysis'!$F$4:$F$378="PCS"),44)),"")</f>
        <v/>
      </c>
    </row>
    <row r="49" spans="1:35" ht="39.75" customHeight="1">
      <c r="A49" s="38"/>
      <c r="B49" s="39" t="str">
        <f t="array" ref="B49">IFERROR(INDEX('Factor Analysis'!$G$4:$G$378,_xlfn.AGGREGATE(15,6,(ROW('Factor Analysis'!$F$4:$F$378)-ROW('Factor Analysis'!$F$4)+1)/('Factor Analysis'!$F$4:$F$378="MSO"),45)),"")</f>
        <v/>
      </c>
      <c r="C49" s="40" t="str">
        <f t="array" ref="C49">IFERROR(INDEX('Factor Analysis'!$A$4:$A$378,_xlfn.AGGREGATE(15,6,(ROW('Factor Analysis'!$F$4:$F$378)-ROW('Factor Analysis'!$F$4)+1)/('Factor Analysis'!$F$4:$F$378="MSO"),45)),"")</f>
        <v/>
      </c>
      <c r="D49" s="41"/>
      <c r="E49" s="42"/>
      <c r="F49" s="42"/>
      <c r="G49" s="42" t="str">
        <f t="shared" si="2"/>
        <v/>
      </c>
      <c r="H49" s="43" t="str">
        <f t="array" ref="H49">IFERROR(INDEX('Factor Analysis'!$G$4:$G$378,_xlfn.AGGREGATE(15,6,(ROW('Factor Analysis'!$F$4:$F$378)-ROW('Factor Analysis'!$F$4)+1)/('Factor Analysis'!$F$4:$F$378="OO"),45)),"")</f>
        <v/>
      </c>
      <c r="I49" s="44" t="str">
        <f t="array" ref="I49">IFERROR(INDEX('Factor Analysis'!$A$4:$A$378,_xlfn.AGGREGATE(15,6,(ROW('Factor Analysis'!$F$4:$F$378)-ROW('Factor Analysis'!$F$4)+1)/('Factor Analysis'!$F$4:$F$378="OO"),45)),"")</f>
        <v/>
      </c>
      <c r="J49" s="41"/>
      <c r="K49" s="45"/>
      <c r="L49" s="45"/>
      <c r="M49" s="45"/>
      <c r="N49" s="45" t="str">
        <f t="shared" si="3"/>
        <v/>
      </c>
      <c r="O49" s="46" t="str">
        <f t="array" ref="O49">IFERROR(INDEX('Factor Analysis'!$G$4:$G$378,_xlfn.AGGREGATE(15,6,(ROW('Factor Analysis'!$F$4:$F$378)-ROW('Factor Analysis'!$F$4)+1)/('Factor Analysis'!$F$4:$F$378="DC"),45)),"")</f>
        <v/>
      </c>
      <c r="P49" s="47" t="str">
        <f t="array" ref="P49">IFERROR(INDEX('Factor Analysis'!$A$4:$A$378,_xlfn.AGGREGATE(15,6,(ROW('Factor Analysis'!$F$4:$F$378)-ROW('Factor Analysis'!$F$4)+1)/('Factor Analysis'!$F$4:$F$378="DC"),45)),"")</f>
        <v/>
      </c>
      <c r="Q49" s="48"/>
      <c r="R49" s="49" t="str">
        <f t="array" ref="R49">IFERROR(INDEX('Factor Analysis'!$G$4:$G$378,_xlfn.AGGREGATE(15,6,(ROW('Factor Analysis'!$F$4:$F$378)-ROW('Factor Analysis'!$F$4)+1)/('Factor Analysis'!$F$4:$F$378="OE"),45)),"")</f>
        <v/>
      </c>
      <c r="S49" s="49" t="str">
        <f t="array" ref="S49">IFERROR(INDEX('Factor Analysis'!$G$4:$G$378,_xlfn.AGGREGATE(15,6,(ROW('Factor Analysis'!$F$4:$F$378)-ROW('Factor Analysis'!$F$4)+1)/('Factor Analysis'!$F$4:$F$378="OA"),45)),"")</f>
        <v/>
      </c>
      <c r="T49" s="49" t="str">
        <f t="array" ref="T49">IFERROR(INDEX('Factor Analysis'!$G$4:$G$378,_xlfn.AGGREGATE(15,6,(ROW('Factor Analysis'!$F$4:$F$378)-ROW('Factor Analysis'!$F$4)+1)/('Factor Analysis'!$F$4:$F$378="RISK"),45)),"")</f>
        <v>Civilian casualty creates operational and strategic shock</v>
      </c>
      <c r="U49" s="49" t="str">
        <f t="array" ref="U49">IFERROR(INDEX('Factor Analysis'!$G$4:$G$378,_xlfn.AGGREGATE(15,6,(ROW('Factor Analysis'!$F$4:$F$378)-ROW('Factor Analysis'!$F$4)+1)/('Factor Analysis'!$F$4:$F$378="CV"),45)),"")</f>
        <v/>
      </c>
      <c r="V49" s="49" t="str">
        <f t="array" ref="V49">IFERROR(INDEX('Factor Analysis'!$G$4:$G$378,_xlfn.AGGREGATE(15,6,(ROW('Factor Analysis'!$F$4:$F$378)-ROW('Factor Analysis'!$F$4)+1)/('Factor Analysis'!$F$4:$F$378="COR"),45)),"")</f>
        <v/>
      </c>
      <c r="W49" s="49" t="str">
        <f t="array" ref="W49">IFERROR(INDEX('Factor Analysis'!$G$4:$G$378,_xlfn.AGGREGATE(15,6,(ROW('Factor Analysis'!$F$4:$F$378)-ROW('Factor Analysis'!$F$4)+1)/('Factor Analysis'!$F$4:$F$378="REQT"),45)),"")</f>
        <v/>
      </c>
      <c r="X49" s="49" t="str">
        <f t="array" ref="X49">IFERROR(INDEX('Factor Analysis'!$G$4:$G$378,_xlfn.AGGREGATE(15,6,(ROW('Factor Analysis'!$F$4:$F$378)-ROW('Factor Analysis'!$F$4)+1)/('Factor Analysis'!$F$4:$F$378="REST"),45)),"")</f>
        <v/>
      </c>
      <c r="Y49" s="49" t="str">
        <f t="array" ref="Y49">IFERROR(INDEX('Factor Analysis'!$G$4:$G$378,_xlfn.AGGREGATE(15,6,(ROW('Factor Analysis'!$F$4:$F$378)-ROW('Factor Analysis'!$F$4)+1)/('Factor Analysis'!$F$4:$F$378="KCD-MUST"),45)),"")</f>
        <v/>
      </c>
      <c r="Z49" s="49" t="str">
        <f t="array" ref="Z49">IFERROR(INDEX('Factor Analysis'!$G$4:$G$378,_xlfn.AGGREGATE(15,6,(ROW('Factor Analysis'!$F$4:$F$378)-ROW('Factor Analysis'!$F$4)+1)/('Factor Analysis'!$F$4:$F$378="KCD-SHOULD"),45)),"")</f>
        <v/>
      </c>
      <c r="AA49" s="49" t="str">
        <f t="array" ref="AA49">IFERROR(INDEX('Factor Analysis'!$G$4:$G$378,_xlfn.AGGREGATE(15,6,(ROW('Factor Analysis'!$F$4:$F$378)-ROW('Factor Analysis'!$F$4)+1)/('Factor Analysis'!$F$4:$F$378="KCD-SHOULD NOT"),45)),"")</f>
        <v/>
      </c>
      <c r="AB49" s="49" t="str">
        <f t="array" ref="AB49">IFERROR(INDEX('Factor Analysis'!$G$4:$G$378,_xlfn.AGGREGATE(15,6,(ROW('Factor Analysis'!$F$4:$F$378)-ROW('Factor Analysis'!$F$4)+1)/('Factor Analysis'!$F$4:$F$378="KCD-CANNOT"),45)),"")</f>
        <v/>
      </c>
      <c r="AC49" s="49" t="str">
        <f t="array" ref="AC49">IFERROR(INDEX('Factor Analysis'!$G$4:$G$378,_xlfn.AGGREGATE(15,6,(ROW('Factor Analysis'!$F$4:$F$378)-ROW('Factor Analysis'!$F$4)+1)/('Factor Analysis'!$F$4:$F$378="DECISION"),45)),"")</f>
        <v/>
      </c>
      <c r="AD49" s="49" t="str">
        <f t="array" ref="AD49">IFERROR(INDEX('Factor Analysis'!$G$4:$G$378,_xlfn.AGGREGATE(15,6,(ROW('Factor Analysis'!$F$4:$F$378)-ROW('Factor Analysis'!$F$4)+1)/('Factor Analysis'!$F$4:$F$378="ASSUMPTION"),45)),"")</f>
        <v/>
      </c>
      <c r="AE49" s="49" t="str">
        <f t="array" ref="AE49">IFERROR(INDEX('Factor Analysis'!$G$4:$G$378,_xlfn.AGGREGATE(15,6,(ROW('Factor Analysis'!$F$4:$F$378)-ROW('Factor Analysis'!$F$4)+1)/('Factor Analysis'!$F$4:$F$378="CONSTRAINT"),45)),"")</f>
        <v/>
      </c>
      <c r="AF49" s="49" t="str">
        <f t="array" ref="AF49">IFERROR(INDEX('Factor Analysis'!$G$4:$G$378,_xlfn.AGGREGATE(15,6,(ROW('Factor Analysis'!$F$4:$F$378)-ROW('Factor Analysis'!$F$4)+1)/('Factor Analysis'!$F$4:$F$378="LIMITATION"),45)),"")</f>
        <v/>
      </c>
      <c r="AG49" s="49" t="str">
        <f t="array" ref="AG49">IFERROR(INDEX('Factor Analysis'!$G$4:$G$378,_xlfn.AGGREGATE(15,6,(ROW('Factor Analysis'!$F$4:$F$378)-ROW('Factor Analysis'!$F$4)+1)/('Factor Analysis'!$F$4:$F$378="CC"),45)),"")</f>
        <v/>
      </c>
      <c r="AH49" s="49" t="str">
        <f t="array" ref="AH49">IFERROR(INDEX('Factor Analysis'!$G$4:$G$378,_xlfn.AGGREGATE(15,6,(ROW('Factor Analysis'!$F$4:$F$378)-ROW('Factor Analysis'!$F$4)+1)/('Factor Analysis'!$F$4:$F$378="CR"),45)),"")</f>
        <v/>
      </c>
      <c r="AI49" s="92" t="str">
        <f t="array" ref="AI49">IFERROR(INDEX('Factor Analysis'!$G$4:$G$378,_xlfn.AGGREGATE(15,6,(ROW('Factor Analysis'!$F$4:$F$378)-ROW('Factor Analysis'!$F$4)+1)/('Factor Analysis'!$F$4:$F$378="PCS"),45)),"")</f>
        <v/>
      </c>
    </row>
    <row r="50" spans="1:35" ht="39.75" customHeight="1">
      <c r="A50" s="38"/>
      <c r="B50" s="39" t="str">
        <f t="array" ref="B50">IFERROR(INDEX('Factor Analysis'!$G$4:$G$378,_xlfn.AGGREGATE(15,6,(ROW('Factor Analysis'!$F$4:$F$378)-ROW('Factor Analysis'!$F$4)+1)/('Factor Analysis'!$F$4:$F$378="MSO"),46)),"")</f>
        <v/>
      </c>
      <c r="C50" s="40" t="str">
        <f t="array" ref="C50">IFERROR(INDEX('Factor Analysis'!$A$4:$A$378,_xlfn.AGGREGATE(15,6,(ROW('Factor Analysis'!$F$4:$F$378)-ROW('Factor Analysis'!$F$4)+1)/('Factor Analysis'!$F$4:$F$378="MSO"),46)),"")</f>
        <v/>
      </c>
      <c r="D50" s="41"/>
      <c r="E50" s="42"/>
      <c r="F50" s="42"/>
      <c r="G50" s="42" t="str">
        <f t="shared" si="2"/>
        <v/>
      </c>
      <c r="H50" s="43" t="str">
        <f t="array" ref="H50">IFERROR(INDEX('Factor Analysis'!$G$4:$G$378,_xlfn.AGGREGATE(15,6,(ROW('Factor Analysis'!$F$4:$F$378)-ROW('Factor Analysis'!$F$4)+1)/('Factor Analysis'!$F$4:$F$378="OO"),46)),"")</f>
        <v/>
      </c>
      <c r="I50" s="44" t="str">
        <f t="array" ref="I50">IFERROR(INDEX('Factor Analysis'!$A$4:$A$378,_xlfn.AGGREGATE(15,6,(ROW('Factor Analysis'!$F$4:$F$378)-ROW('Factor Analysis'!$F$4)+1)/('Factor Analysis'!$F$4:$F$378="OO"),46)),"")</f>
        <v/>
      </c>
      <c r="J50" s="41"/>
      <c r="K50" s="45"/>
      <c r="L50" s="45"/>
      <c r="M50" s="45"/>
      <c r="N50" s="45" t="str">
        <f t="shared" si="3"/>
        <v/>
      </c>
      <c r="O50" s="46" t="str">
        <f t="array" ref="O50">IFERROR(INDEX('Factor Analysis'!$G$4:$G$378,_xlfn.AGGREGATE(15,6,(ROW('Factor Analysis'!$F$4:$F$378)-ROW('Factor Analysis'!$F$4)+1)/('Factor Analysis'!$F$4:$F$378="DC"),46)),"")</f>
        <v/>
      </c>
      <c r="P50" s="47" t="str">
        <f t="array" ref="P50">IFERROR(INDEX('Factor Analysis'!$A$4:$A$378,_xlfn.AGGREGATE(15,6,(ROW('Factor Analysis'!$F$4:$F$378)-ROW('Factor Analysis'!$F$4)+1)/('Factor Analysis'!$F$4:$F$378="DC"),46)),"")</f>
        <v/>
      </c>
      <c r="Q50" s="48"/>
      <c r="R50" s="49" t="str">
        <f t="array" ref="R50">IFERROR(INDEX('Factor Analysis'!$G$4:$G$378,_xlfn.AGGREGATE(15,6,(ROW('Factor Analysis'!$F$4:$F$378)-ROW('Factor Analysis'!$F$4)+1)/('Factor Analysis'!$F$4:$F$378="OE"),46)),"")</f>
        <v/>
      </c>
      <c r="S50" s="49" t="str">
        <f t="array" ref="S50">IFERROR(INDEX('Factor Analysis'!$G$4:$G$378,_xlfn.AGGREGATE(15,6,(ROW('Factor Analysis'!$F$4:$F$378)-ROW('Factor Analysis'!$F$4)+1)/('Factor Analysis'!$F$4:$F$378="OA"),46)),"")</f>
        <v/>
      </c>
      <c r="T50" s="49" t="str">
        <f t="array" ref="T50">IFERROR(INDEX('Factor Analysis'!$G$4:$G$378,_xlfn.AGGREGATE(15,6,(ROW('Factor Analysis'!$F$4:$F$378)-ROW('Factor Analysis'!$F$4)+1)/('Factor Analysis'!$F$4:$F$378="RISK"),46)),"")</f>
        <v>Militarised HA perception reduces access and trust</v>
      </c>
      <c r="U50" s="49" t="str">
        <f t="array" ref="U50">IFERROR(INDEX('Factor Analysis'!$G$4:$G$378,_xlfn.AGGREGATE(15,6,(ROW('Factor Analysis'!$F$4:$F$378)-ROW('Factor Analysis'!$F$4)+1)/('Factor Analysis'!$F$4:$F$378="CV"),46)),"")</f>
        <v/>
      </c>
      <c r="V50" s="49" t="str">
        <f t="array" ref="V50">IFERROR(INDEX('Factor Analysis'!$G$4:$G$378,_xlfn.AGGREGATE(15,6,(ROW('Factor Analysis'!$F$4:$F$378)-ROW('Factor Analysis'!$F$4)+1)/('Factor Analysis'!$F$4:$F$378="COR"),46)),"")</f>
        <v/>
      </c>
      <c r="W50" s="49" t="str">
        <f t="array" ref="W50">IFERROR(INDEX('Factor Analysis'!$G$4:$G$378,_xlfn.AGGREGATE(15,6,(ROW('Factor Analysis'!$F$4:$F$378)-ROW('Factor Analysis'!$F$4)+1)/('Factor Analysis'!$F$4:$F$378="REQT"),46)),"")</f>
        <v/>
      </c>
      <c r="X50" s="49" t="str">
        <f t="array" ref="X50">IFERROR(INDEX('Factor Analysis'!$G$4:$G$378,_xlfn.AGGREGATE(15,6,(ROW('Factor Analysis'!$F$4:$F$378)-ROW('Factor Analysis'!$F$4)+1)/('Factor Analysis'!$F$4:$F$378="REST"),46)),"")</f>
        <v/>
      </c>
      <c r="Y50" s="49" t="str">
        <f t="array" ref="Y50">IFERROR(INDEX('Factor Analysis'!$G$4:$G$378,_xlfn.AGGREGATE(15,6,(ROW('Factor Analysis'!$F$4:$F$378)-ROW('Factor Analysis'!$F$4)+1)/('Factor Analysis'!$F$4:$F$378="KCD-MUST"),46)),"")</f>
        <v/>
      </c>
      <c r="Z50" s="49" t="str">
        <f t="array" ref="Z50">IFERROR(INDEX('Factor Analysis'!$G$4:$G$378,_xlfn.AGGREGATE(15,6,(ROW('Factor Analysis'!$F$4:$F$378)-ROW('Factor Analysis'!$F$4)+1)/('Factor Analysis'!$F$4:$F$378="KCD-SHOULD"),46)),"")</f>
        <v/>
      </c>
      <c r="AA50" s="49" t="str">
        <f t="array" ref="AA50">IFERROR(INDEX('Factor Analysis'!$G$4:$G$378,_xlfn.AGGREGATE(15,6,(ROW('Factor Analysis'!$F$4:$F$378)-ROW('Factor Analysis'!$F$4)+1)/('Factor Analysis'!$F$4:$F$378="KCD-SHOULD NOT"),46)),"")</f>
        <v/>
      </c>
      <c r="AB50" s="49" t="str">
        <f t="array" ref="AB50">IFERROR(INDEX('Factor Analysis'!$G$4:$G$378,_xlfn.AGGREGATE(15,6,(ROW('Factor Analysis'!$F$4:$F$378)-ROW('Factor Analysis'!$F$4)+1)/('Factor Analysis'!$F$4:$F$378="KCD-CANNOT"),46)),"")</f>
        <v/>
      </c>
      <c r="AC50" s="49" t="str">
        <f t="array" ref="AC50">IFERROR(INDEX('Factor Analysis'!$G$4:$G$378,_xlfn.AGGREGATE(15,6,(ROW('Factor Analysis'!$F$4:$F$378)-ROW('Factor Analysis'!$F$4)+1)/('Factor Analysis'!$F$4:$F$378="DECISION"),46)),"")</f>
        <v/>
      </c>
      <c r="AD50" s="49" t="str">
        <f t="array" ref="AD50">IFERROR(INDEX('Factor Analysis'!$G$4:$G$378,_xlfn.AGGREGATE(15,6,(ROW('Factor Analysis'!$F$4:$F$378)-ROW('Factor Analysis'!$F$4)+1)/('Factor Analysis'!$F$4:$F$378="ASSUMPTION"),46)),"")</f>
        <v/>
      </c>
      <c r="AE50" s="49" t="str">
        <f t="array" ref="AE50">IFERROR(INDEX('Factor Analysis'!$G$4:$G$378,_xlfn.AGGREGATE(15,6,(ROW('Factor Analysis'!$F$4:$F$378)-ROW('Factor Analysis'!$F$4)+1)/('Factor Analysis'!$F$4:$F$378="CONSTRAINT"),46)),"")</f>
        <v/>
      </c>
      <c r="AF50" s="49" t="str">
        <f t="array" ref="AF50">IFERROR(INDEX('Factor Analysis'!$G$4:$G$378,_xlfn.AGGREGATE(15,6,(ROW('Factor Analysis'!$F$4:$F$378)-ROW('Factor Analysis'!$F$4)+1)/('Factor Analysis'!$F$4:$F$378="LIMITATION"),46)),"")</f>
        <v/>
      </c>
      <c r="AG50" s="49" t="str">
        <f t="array" ref="AG50">IFERROR(INDEX('Factor Analysis'!$G$4:$G$378,_xlfn.AGGREGATE(15,6,(ROW('Factor Analysis'!$F$4:$F$378)-ROW('Factor Analysis'!$F$4)+1)/('Factor Analysis'!$F$4:$F$378="CC"),46)),"")</f>
        <v/>
      </c>
      <c r="AH50" s="49" t="str">
        <f t="array" ref="AH50">IFERROR(INDEX('Factor Analysis'!$G$4:$G$378,_xlfn.AGGREGATE(15,6,(ROW('Factor Analysis'!$F$4:$F$378)-ROW('Factor Analysis'!$F$4)+1)/('Factor Analysis'!$F$4:$F$378="CR"),46)),"")</f>
        <v/>
      </c>
      <c r="AI50" s="92" t="str">
        <f t="array" ref="AI50">IFERROR(INDEX('Factor Analysis'!$G$4:$G$378,_xlfn.AGGREGATE(15,6,(ROW('Factor Analysis'!$F$4:$F$378)-ROW('Factor Analysis'!$F$4)+1)/('Factor Analysis'!$F$4:$F$378="PCS"),46)),"")</f>
        <v/>
      </c>
    </row>
    <row r="51" spans="1:35" ht="39.75" customHeight="1">
      <c r="A51" s="38"/>
      <c r="B51" s="39" t="str">
        <f t="array" ref="B51">IFERROR(INDEX('Factor Analysis'!$G$4:$G$378,_xlfn.AGGREGATE(15,6,(ROW('Factor Analysis'!$F$4:$F$378)-ROW('Factor Analysis'!$F$4)+1)/('Factor Analysis'!$F$4:$F$378="MSO"),47)),"")</f>
        <v/>
      </c>
      <c r="C51" s="40" t="str">
        <f t="array" ref="C51">IFERROR(INDEX('Factor Analysis'!$A$4:$A$378,_xlfn.AGGREGATE(15,6,(ROW('Factor Analysis'!$F$4:$F$378)-ROW('Factor Analysis'!$F$4)+1)/('Factor Analysis'!$F$4:$F$378="MSO"),47)),"")</f>
        <v/>
      </c>
      <c r="D51" s="41"/>
      <c r="E51" s="42"/>
      <c r="F51" s="42"/>
      <c r="G51" s="42" t="str">
        <f t="shared" si="2"/>
        <v/>
      </c>
      <c r="H51" s="43" t="str">
        <f t="array" ref="H51">IFERROR(INDEX('Factor Analysis'!$G$4:$G$378,_xlfn.AGGREGATE(15,6,(ROW('Factor Analysis'!$F$4:$F$378)-ROW('Factor Analysis'!$F$4)+1)/('Factor Analysis'!$F$4:$F$378="OO"),47)),"")</f>
        <v/>
      </c>
      <c r="I51" s="44" t="str">
        <f t="array" ref="I51">IFERROR(INDEX('Factor Analysis'!$A$4:$A$378,_xlfn.AGGREGATE(15,6,(ROW('Factor Analysis'!$F$4:$F$378)-ROW('Factor Analysis'!$F$4)+1)/('Factor Analysis'!$F$4:$F$378="OO"),47)),"")</f>
        <v/>
      </c>
      <c r="J51" s="41"/>
      <c r="K51" s="45"/>
      <c r="L51" s="45"/>
      <c r="M51" s="45"/>
      <c r="N51" s="45" t="str">
        <f t="shared" si="3"/>
        <v/>
      </c>
      <c r="O51" s="46" t="str">
        <f t="array" ref="O51">IFERROR(INDEX('Factor Analysis'!$G$4:$G$378,_xlfn.AGGREGATE(15,6,(ROW('Factor Analysis'!$F$4:$F$378)-ROW('Factor Analysis'!$F$4)+1)/('Factor Analysis'!$F$4:$F$378="DC"),47)),"")</f>
        <v/>
      </c>
      <c r="P51" s="47" t="str">
        <f t="array" ref="P51">IFERROR(INDEX('Factor Analysis'!$A$4:$A$378,_xlfn.AGGREGATE(15,6,(ROW('Factor Analysis'!$F$4:$F$378)-ROW('Factor Analysis'!$F$4)+1)/('Factor Analysis'!$F$4:$F$378="DC"),47)),"")</f>
        <v/>
      </c>
      <c r="Q51" s="48"/>
      <c r="R51" s="49" t="str">
        <f t="array" ref="R51">IFERROR(INDEX('Factor Analysis'!$G$4:$G$378,_xlfn.AGGREGATE(15,6,(ROW('Factor Analysis'!$F$4:$F$378)-ROW('Factor Analysis'!$F$4)+1)/('Factor Analysis'!$F$4:$F$378="OE"),47)),"")</f>
        <v/>
      </c>
      <c r="S51" s="49" t="str">
        <f t="array" ref="S51">IFERROR(INDEX('Factor Analysis'!$G$4:$G$378,_xlfn.AGGREGATE(15,6,(ROW('Factor Analysis'!$F$4:$F$378)-ROW('Factor Analysis'!$F$4)+1)/('Factor Analysis'!$F$4:$F$378="OA"),47)),"")</f>
        <v/>
      </c>
      <c r="T51" s="49" t="str">
        <f t="array" ref="T51">IFERROR(INDEX('Factor Analysis'!$G$4:$G$378,_xlfn.AGGREGATE(15,6,(ROW('Factor Analysis'!$F$4:$F$378)-ROW('Factor Analysis'!$F$4)+1)/('Factor Analysis'!$F$4:$F$378="RISK"),47)),"")</f>
        <v>Disease or service collapse degrades legitimacy faster than combat</v>
      </c>
      <c r="U51" s="49" t="str">
        <f t="array" ref="U51">IFERROR(INDEX('Factor Analysis'!$G$4:$G$378,_xlfn.AGGREGATE(15,6,(ROW('Factor Analysis'!$F$4:$F$378)-ROW('Factor Analysis'!$F$4)+1)/('Factor Analysis'!$F$4:$F$378="CV"),47)),"")</f>
        <v/>
      </c>
      <c r="V51" s="49" t="str">
        <f t="array" ref="V51">IFERROR(INDEX('Factor Analysis'!$G$4:$G$378,_xlfn.AGGREGATE(15,6,(ROW('Factor Analysis'!$F$4:$F$378)-ROW('Factor Analysis'!$F$4)+1)/('Factor Analysis'!$F$4:$F$378="COR"),47)),"")</f>
        <v/>
      </c>
      <c r="W51" s="49" t="str">
        <f t="array" ref="W51">IFERROR(INDEX('Factor Analysis'!$G$4:$G$378,_xlfn.AGGREGATE(15,6,(ROW('Factor Analysis'!$F$4:$F$378)-ROW('Factor Analysis'!$F$4)+1)/('Factor Analysis'!$F$4:$F$378="REQT"),47)),"")</f>
        <v/>
      </c>
      <c r="X51" s="49" t="str">
        <f t="array" ref="X51">IFERROR(INDEX('Factor Analysis'!$G$4:$G$378,_xlfn.AGGREGATE(15,6,(ROW('Factor Analysis'!$F$4:$F$378)-ROW('Factor Analysis'!$F$4)+1)/('Factor Analysis'!$F$4:$F$378="REST"),47)),"")</f>
        <v/>
      </c>
      <c r="Y51" s="49" t="str">
        <f t="array" ref="Y51">IFERROR(INDEX('Factor Analysis'!$G$4:$G$378,_xlfn.AGGREGATE(15,6,(ROW('Factor Analysis'!$F$4:$F$378)-ROW('Factor Analysis'!$F$4)+1)/('Factor Analysis'!$F$4:$F$378="KCD-MUST"),47)),"")</f>
        <v/>
      </c>
      <c r="Z51" s="49" t="str">
        <f t="array" ref="Z51">IFERROR(INDEX('Factor Analysis'!$G$4:$G$378,_xlfn.AGGREGATE(15,6,(ROW('Factor Analysis'!$F$4:$F$378)-ROW('Factor Analysis'!$F$4)+1)/('Factor Analysis'!$F$4:$F$378="KCD-SHOULD"),47)),"")</f>
        <v/>
      </c>
      <c r="AA51" s="49" t="str">
        <f t="array" ref="AA51">IFERROR(INDEX('Factor Analysis'!$G$4:$G$378,_xlfn.AGGREGATE(15,6,(ROW('Factor Analysis'!$F$4:$F$378)-ROW('Factor Analysis'!$F$4)+1)/('Factor Analysis'!$F$4:$F$378="KCD-SHOULD NOT"),47)),"")</f>
        <v/>
      </c>
      <c r="AB51" s="49" t="str">
        <f t="array" ref="AB51">IFERROR(INDEX('Factor Analysis'!$G$4:$G$378,_xlfn.AGGREGATE(15,6,(ROW('Factor Analysis'!$F$4:$F$378)-ROW('Factor Analysis'!$F$4)+1)/('Factor Analysis'!$F$4:$F$378="KCD-CANNOT"),47)),"")</f>
        <v/>
      </c>
      <c r="AC51" s="49" t="str">
        <f t="array" ref="AC51">IFERROR(INDEX('Factor Analysis'!$G$4:$G$378,_xlfn.AGGREGATE(15,6,(ROW('Factor Analysis'!$F$4:$F$378)-ROW('Factor Analysis'!$F$4)+1)/('Factor Analysis'!$F$4:$F$378="DECISION"),47)),"")</f>
        <v/>
      </c>
      <c r="AD51" s="49" t="str">
        <f t="array" ref="AD51">IFERROR(INDEX('Factor Analysis'!$G$4:$G$378,_xlfn.AGGREGATE(15,6,(ROW('Factor Analysis'!$F$4:$F$378)-ROW('Factor Analysis'!$F$4)+1)/('Factor Analysis'!$F$4:$F$378="ASSUMPTION"),47)),"")</f>
        <v/>
      </c>
      <c r="AE51" s="49" t="str">
        <f t="array" ref="AE51">IFERROR(INDEX('Factor Analysis'!$G$4:$G$378,_xlfn.AGGREGATE(15,6,(ROW('Factor Analysis'!$F$4:$F$378)-ROW('Factor Analysis'!$F$4)+1)/('Factor Analysis'!$F$4:$F$378="CONSTRAINT"),47)),"")</f>
        <v/>
      </c>
      <c r="AF51" s="49" t="str">
        <f t="array" ref="AF51">IFERROR(INDEX('Factor Analysis'!$G$4:$G$378,_xlfn.AGGREGATE(15,6,(ROW('Factor Analysis'!$F$4:$F$378)-ROW('Factor Analysis'!$F$4)+1)/('Factor Analysis'!$F$4:$F$378="LIMITATION"),47)),"")</f>
        <v/>
      </c>
      <c r="AG51" s="49" t="str">
        <f t="array" ref="AG51">IFERROR(INDEX('Factor Analysis'!$G$4:$G$378,_xlfn.AGGREGATE(15,6,(ROW('Factor Analysis'!$F$4:$F$378)-ROW('Factor Analysis'!$F$4)+1)/('Factor Analysis'!$F$4:$F$378="CC"),47)),"")</f>
        <v/>
      </c>
      <c r="AH51" s="49" t="str">
        <f t="array" ref="AH51">IFERROR(INDEX('Factor Analysis'!$G$4:$G$378,_xlfn.AGGREGATE(15,6,(ROW('Factor Analysis'!$F$4:$F$378)-ROW('Factor Analysis'!$F$4)+1)/('Factor Analysis'!$F$4:$F$378="CR"),47)),"")</f>
        <v/>
      </c>
      <c r="AI51" s="92" t="str">
        <f t="array" ref="AI51">IFERROR(INDEX('Factor Analysis'!$G$4:$G$378,_xlfn.AGGREGATE(15,6,(ROW('Factor Analysis'!$F$4:$F$378)-ROW('Factor Analysis'!$F$4)+1)/('Factor Analysis'!$F$4:$F$378="PCS"),47)),"")</f>
        <v/>
      </c>
    </row>
    <row r="52" spans="1:35" ht="39.75" customHeight="1">
      <c r="A52" s="38"/>
      <c r="B52" s="39" t="str">
        <f t="array" ref="B52">IFERROR(INDEX('Factor Analysis'!$G$4:$G$378,_xlfn.AGGREGATE(15,6,(ROW('Factor Analysis'!$F$4:$F$378)-ROW('Factor Analysis'!$F$4)+1)/('Factor Analysis'!$F$4:$F$378="MSO"),48)),"")</f>
        <v/>
      </c>
      <c r="C52" s="40" t="str">
        <f t="array" ref="C52">IFERROR(INDEX('Factor Analysis'!$A$4:$A$378,_xlfn.AGGREGATE(15,6,(ROW('Factor Analysis'!$F$4:$F$378)-ROW('Factor Analysis'!$F$4)+1)/('Factor Analysis'!$F$4:$F$378="MSO"),48)),"")</f>
        <v/>
      </c>
      <c r="D52" s="41"/>
      <c r="E52" s="42"/>
      <c r="F52" s="42"/>
      <c r="G52" s="42" t="str">
        <f t="shared" si="2"/>
        <v/>
      </c>
      <c r="H52" s="43" t="str">
        <f t="array" ref="H52">IFERROR(INDEX('Factor Analysis'!$G$4:$G$378,_xlfn.AGGREGATE(15,6,(ROW('Factor Analysis'!$F$4:$F$378)-ROW('Factor Analysis'!$F$4)+1)/('Factor Analysis'!$F$4:$F$378="OO"),48)),"")</f>
        <v/>
      </c>
      <c r="I52" s="44" t="str">
        <f t="array" ref="I52">IFERROR(INDEX('Factor Analysis'!$A$4:$A$378,_xlfn.AGGREGATE(15,6,(ROW('Factor Analysis'!$F$4:$F$378)-ROW('Factor Analysis'!$F$4)+1)/('Factor Analysis'!$F$4:$F$378="OO"),48)),"")</f>
        <v/>
      </c>
      <c r="J52" s="41"/>
      <c r="K52" s="45"/>
      <c r="L52" s="45"/>
      <c r="M52" s="45"/>
      <c r="N52" s="45" t="str">
        <f t="shared" si="3"/>
        <v/>
      </c>
      <c r="O52" s="46" t="str">
        <f t="array" ref="O52">IFERROR(INDEX('Factor Analysis'!$G$4:$G$378,_xlfn.AGGREGATE(15,6,(ROW('Factor Analysis'!$F$4:$F$378)-ROW('Factor Analysis'!$F$4)+1)/('Factor Analysis'!$F$4:$F$378="DC"),48)),"")</f>
        <v/>
      </c>
      <c r="P52" s="47" t="str">
        <f t="array" ref="P52">IFERROR(INDEX('Factor Analysis'!$A$4:$A$378,_xlfn.AGGREGATE(15,6,(ROW('Factor Analysis'!$F$4:$F$378)-ROW('Factor Analysis'!$F$4)+1)/('Factor Analysis'!$F$4:$F$378="DC"),48)),"")</f>
        <v/>
      </c>
      <c r="Q52" s="48"/>
      <c r="R52" s="49" t="str">
        <f t="array" ref="R52">IFERROR(INDEX('Factor Analysis'!$G$4:$G$378,_xlfn.AGGREGATE(15,6,(ROW('Factor Analysis'!$F$4:$F$378)-ROW('Factor Analysis'!$F$4)+1)/('Factor Analysis'!$F$4:$F$378="OE"),48)),"")</f>
        <v/>
      </c>
      <c r="S52" s="49" t="str">
        <f t="array" ref="S52">IFERROR(INDEX('Factor Analysis'!$G$4:$G$378,_xlfn.AGGREGATE(15,6,(ROW('Factor Analysis'!$F$4:$F$378)-ROW('Factor Analysis'!$F$4)+1)/('Factor Analysis'!$F$4:$F$378="OA"),48)),"")</f>
        <v/>
      </c>
      <c r="T52" s="49" t="str">
        <f t="array" ref="T52">IFERROR(INDEX('Factor Analysis'!$G$4:$G$378,_xlfn.AGGREGATE(15,6,(ROW('Factor Analysis'!$F$4:$F$378)-ROW('Factor Analysis'!$F$4)+1)/('Factor Analysis'!$F$4:$F$378="RISK"),48)),"")</f>
        <v>Ends/means mismatch creates early failure</v>
      </c>
      <c r="U52" s="49" t="str">
        <f t="array" ref="U52">IFERROR(INDEX('Factor Analysis'!$G$4:$G$378,_xlfn.AGGREGATE(15,6,(ROW('Factor Analysis'!$F$4:$F$378)-ROW('Factor Analysis'!$F$4)+1)/('Factor Analysis'!$F$4:$F$378="CV"),48)),"")</f>
        <v/>
      </c>
      <c r="V52" s="49" t="str">
        <f t="array" ref="V52">IFERROR(INDEX('Factor Analysis'!$G$4:$G$378,_xlfn.AGGREGATE(15,6,(ROW('Factor Analysis'!$F$4:$F$378)-ROW('Factor Analysis'!$F$4)+1)/('Factor Analysis'!$F$4:$F$378="COR"),48)),"")</f>
        <v/>
      </c>
      <c r="W52" s="49" t="str">
        <f t="array" ref="W52">IFERROR(INDEX('Factor Analysis'!$G$4:$G$378,_xlfn.AGGREGATE(15,6,(ROW('Factor Analysis'!$F$4:$F$378)-ROW('Factor Analysis'!$F$4)+1)/('Factor Analysis'!$F$4:$F$378="REQT"),48)),"")</f>
        <v/>
      </c>
      <c r="X52" s="49" t="str">
        <f t="array" ref="X52">IFERROR(INDEX('Factor Analysis'!$G$4:$G$378,_xlfn.AGGREGATE(15,6,(ROW('Factor Analysis'!$F$4:$F$378)-ROW('Factor Analysis'!$F$4)+1)/('Factor Analysis'!$F$4:$F$378="REST"),48)),"")</f>
        <v/>
      </c>
      <c r="Y52" s="49" t="str">
        <f t="array" ref="Y52">IFERROR(INDEX('Factor Analysis'!$G$4:$G$378,_xlfn.AGGREGATE(15,6,(ROW('Factor Analysis'!$F$4:$F$378)-ROW('Factor Analysis'!$F$4)+1)/('Factor Analysis'!$F$4:$F$378="KCD-MUST"),48)),"")</f>
        <v/>
      </c>
      <c r="Z52" s="49" t="str">
        <f t="array" ref="Z52">IFERROR(INDEX('Factor Analysis'!$G$4:$G$378,_xlfn.AGGREGATE(15,6,(ROW('Factor Analysis'!$F$4:$F$378)-ROW('Factor Analysis'!$F$4)+1)/('Factor Analysis'!$F$4:$F$378="KCD-SHOULD"),48)),"")</f>
        <v/>
      </c>
      <c r="AA52" s="49" t="str">
        <f t="array" ref="AA52">IFERROR(INDEX('Factor Analysis'!$G$4:$G$378,_xlfn.AGGREGATE(15,6,(ROW('Factor Analysis'!$F$4:$F$378)-ROW('Factor Analysis'!$F$4)+1)/('Factor Analysis'!$F$4:$F$378="KCD-SHOULD NOT"),48)),"")</f>
        <v/>
      </c>
      <c r="AB52" s="49" t="str">
        <f t="array" ref="AB52">IFERROR(INDEX('Factor Analysis'!$G$4:$G$378,_xlfn.AGGREGATE(15,6,(ROW('Factor Analysis'!$F$4:$F$378)-ROW('Factor Analysis'!$F$4)+1)/('Factor Analysis'!$F$4:$F$378="KCD-CANNOT"),48)),"")</f>
        <v/>
      </c>
      <c r="AC52" s="49" t="str">
        <f t="array" ref="AC52">IFERROR(INDEX('Factor Analysis'!$G$4:$G$378,_xlfn.AGGREGATE(15,6,(ROW('Factor Analysis'!$F$4:$F$378)-ROW('Factor Analysis'!$F$4)+1)/('Factor Analysis'!$F$4:$F$378="DECISION"),48)),"")</f>
        <v/>
      </c>
      <c r="AD52" s="49" t="str">
        <f t="array" ref="AD52">IFERROR(INDEX('Factor Analysis'!$G$4:$G$378,_xlfn.AGGREGATE(15,6,(ROW('Factor Analysis'!$F$4:$F$378)-ROW('Factor Analysis'!$F$4)+1)/('Factor Analysis'!$F$4:$F$378="ASSUMPTION"),48)),"")</f>
        <v/>
      </c>
      <c r="AE52" s="49" t="str">
        <f t="array" ref="AE52">IFERROR(INDEX('Factor Analysis'!$G$4:$G$378,_xlfn.AGGREGATE(15,6,(ROW('Factor Analysis'!$F$4:$F$378)-ROW('Factor Analysis'!$F$4)+1)/('Factor Analysis'!$F$4:$F$378="CONSTRAINT"),48)),"")</f>
        <v/>
      </c>
      <c r="AF52" s="49" t="str">
        <f t="array" ref="AF52">IFERROR(INDEX('Factor Analysis'!$G$4:$G$378,_xlfn.AGGREGATE(15,6,(ROW('Factor Analysis'!$F$4:$F$378)-ROW('Factor Analysis'!$F$4)+1)/('Factor Analysis'!$F$4:$F$378="LIMITATION"),48)),"")</f>
        <v/>
      </c>
      <c r="AG52" s="49" t="str">
        <f t="array" ref="AG52">IFERROR(INDEX('Factor Analysis'!$G$4:$G$378,_xlfn.AGGREGATE(15,6,(ROW('Factor Analysis'!$F$4:$F$378)-ROW('Factor Analysis'!$F$4)+1)/('Factor Analysis'!$F$4:$F$378="CC"),48)),"")</f>
        <v/>
      </c>
      <c r="AH52" s="49" t="str">
        <f t="array" ref="AH52">IFERROR(INDEX('Factor Analysis'!$G$4:$G$378,_xlfn.AGGREGATE(15,6,(ROW('Factor Analysis'!$F$4:$F$378)-ROW('Factor Analysis'!$F$4)+1)/('Factor Analysis'!$F$4:$F$378="CR"),48)),"")</f>
        <v/>
      </c>
      <c r="AI52" s="92" t="str">
        <f t="array" ref="AI52">IFERROR(INDEX('Factor Analysis'!$G$4:$G$378,_xlfn.AGGREGATE(15,6,(ROW('Factor Analysis'!$F$4:$F$378)-ROW('Factor Analysis'!$F$4)+1)/('Factor Analysis'!$F$4:$F$378="PCS"),48)),"")</f>
        <v/>
      </c>
    </row>
    <row r="53" spans="1:35" ht="39.75" customHeight="1">
      <c r="A53" s="38"/>
      <c r="B53" s="39" t="str">
        <f t="array" ref="B53">IFERROR(INDEX('Factor Analysis'!$G$4:$G$378,_xlfn.AGGREGATE(15,6,(ROW('Factor Analysis'!$F$4:$F$378)-ROW('Factor Analysis'!$F$4)+1)/('Factor Analysis'!$F$4:$F$378="MSO"),49)),"")</f>
        <v/>
      </c>
      <c r="C53" s="40" t="str">
        <f t="array" ref="C53">IFERROR(INDEX('Factor Analysis'!$A$4:$A$378,_xlfn.AGGREGATE(15,6,(ROW('Factor Analysis'!$F$4:$F$378)-ROW('Factor Analysis'!$F$4)+1)/('Factor Analysis'!$F$4:$F$378="MSO"),49)),"")</f>
        <v/>
      </c>
      <c r="D53" s="41"/>
      <c r="E53" s="42"/>
      <c r="F53" s="42"/>
      <c r="G53" s="42" t="str">
        <f t="shared" si="2"/>
        <v/>
      </c>
      <c r="H53" s="43" t="str">
        <f t="array" ref="H53">IFERROR(INDEX('Factor Analysis'!$G$4:$G$378,_xlfn.AGGREGATE(15,6,(ROW('Factor Analysis'!$F$4:$F$378)-ROW('Factor Analysis'!$F$4)+1)/('Factor Analysis'!$F$4:$F$378="OO"),49)),"")</f>
        <v/>
      </c>
      <c r="I53" s="44" t="str">
        <f t="array" ref="I53">IFERROR(INDEX('Factor Analysis'!$A$4:$A$378,_xlfn.AGGREGATE(15,6,(ROW('Factor Analysis'!$F$4:$F$378)-ROW('Factor Analysis'!$F$4)+1)/('Factor Analysis'!$F$4:$F$378="OO"),49)),"")</f>
        <v/>
      </c>
      <c r="J53" s="41"/>
      <c r="K53" s="45"/>
      <c r="L53" s="45"/>
      <c r="M53" s="45"/>
      <c r="N53" s="45" t="str">
        <f t="shared" si="3"/>
        <v/>
      </c>
      <c r="O53" s="46" t="str">
        <f t="array" ref="O53">IFERROR(INDEX('Factor Analysis'!$G$4:$G$378,_xlfn.AGGREGATE(15,6,(ROW('Factor Analysis'!$F$4:$F$378)-ROW('Factor Analysis'!$F$4)+1)/('Factor Analysis'!$F$4:$F$378="DC"),49)),"")</f>
        <v/>
      </c>
      <c r="P53" s="47" t="str">
        <f t="array" ref="P53">IFERROR(INDEX('Factor Analysis'!$A$4:$A$378,_xlfn.AGGREGATE(15,6,(ROW('Factor Analysis'!$F$4:$F$378)-ROW('Factor Analysis'!$F$4)+1)/('Factor Analysis'!$F$4:$F$378="DC"),49)),"")</f>
        <v/>
      </c>
      <c r="Q53" s="48"/>
      <c r="R53" s="49" t="str">
        <f t="array" ref="R53">IFERROR(INDEX('Factor Analysis'!$G$4:$G$378,_xlfn.AGGREGATE(15,6,(ROW('Factor Analysis'!$F$4:$F$378)-ROW('Factor Analysis'!$F$4)+1)/('Factor Analysis'!$F$4:$F$378="OE"),49)),"")</f>
        <v/>
      </c>
      <c r="S53" s="49" t="str">
        <f t="array" ref="S53">IFERROR(INDEX('Factor Analysis'!$G$4:$G$378,_xlfn.AGGREGATE(15,6,(ROW('Factor Analysis'!$F$4:$F$378)-ROW('Factor Analysis'!$F$4)+1)/('Factor Analysis'!$F$4:$F$378="OA"),49)),"")</f>
        <v/>
      </c>
      <c r="T53" s="49" t="str">
        <f t="array" ref="T53">IFERROR(INDEX('Factor Analysis'!$G$4:$G$378,_xlfn.AGGREGATE(15,6,(ROW('Factor Analysis'!$F$4:$F$378)-ROW('Factor Analysis'!$F$4)+1)/('Factor Analysis'!$F$4:$F$378="RISK"),49)),"")</f>
        <v>Unauthorised action fractures political consent</v>
      </c>
      <c r="U53" s="49" t="str">
        <f t="array" ref="U53">IFERROR(INDEX('Factor Analysis'!$G$4:$G$378,_xlfn.AGGREGATE(15,6,(ROW('Factor Analysis'!$F$4:$F$378)-ROW('Factor Analysis'!$F$4)+1)/('Factor Analysis'!$F$4:$F$378="CV"),49)),"")</f>
        <v/>
      </c>
      <c r="V53" s="49" t="str">
        <f t="array" ref="V53">IFERROR(INDEX('Factor Analysis'!$G$4:$G$378,_xlfn.AGGREGATE(15,6,(ROW('Factor Analysis'!$F$4:$F$378)-ROW('Factor Analysis'!$F$4)+1)/('Factor Analysis'!$F$4:$F$378="COR"),49)),"")</f>
        <v/>
      </c>
      <c r="W53" s="49" t="str">
        <f t="array" ref="W53">IFERROR(INDEX('Factor Analysis'!$G$4:$G$378,_xlfn.AGGREGATE(15,6,(ROW('Factor Analysis'!$F$4:$F$378)-ROW('Factor Analysis'!$F$4)+1)/('Factor Analysis'!$F$4:$F$378="REQT"),49)),"")</f>
        <v/>
      </c>
      <c r="X53" s="49" t="str">
        <f t="array" ref="X53">IFERROR(INDEX('Factor Analysis'!$G$4:$G$378,_xlfn.AGGREGATE(15,6,(ROW('Factor Analysis'!$F$4:$F$378)-ROW('Factor Analysis'!$F$4)+1)/('Factor Analysis'!$F$4:$F$378="REST"),49)),"")</f>
        <v/>
      </c>
      <c r="Y53" s="49" t="str">
        <f t="array" ref="Y53">IFERROR(INDEX('Factor Analysis'!$G$4:$G$378,_xlfn.AGGREGATE(15,6,(ROW('Factor Analysis'!$F$4:$F$378)-ROW('Factor Analysis'!$F$4)+1)/('Factor Analysis'!$F$4:$F$378="KCD-MUST"),49)),"")</f>
        <v/>
      </c>
      <c r="Z53" s="49" t="str">
        <f t="array" ref="Z53">IFERROR(INDEX('Factor Analysis'!$G$4:$G$378,_xlfn.AGGREGATE(15,6,(ROW('Factor Analysis'!$F$4:$F$378)-ROW('Factor Analysis'!$F$4)+1)/('Factor Analysis'!$F$4:$F$378="KCD-SHOULD"),49)),"")</f>
        <v/>
      </c>
      <c r="AA53" s="49" t="str">
        <f t="array" ref="AA53">IFERROR(INDEX('Factor Analysis'!$G$4:$G$378,_xlfn.AGGREGATE(15,6,(ROW('Factor Analysis'!$F$4:$F$378)-ROW('Factor Analysis'!$F$4)+1)/('Factor Analysis'!$F$4:$F$378="KCD-SHOULD NOT"),49)),"")</f>
        <v/>
      </c>
      <c r="AB53" s="49" t="str">
        <f t="array" ref="AB53">IFERROR(INDEX('Factor Analysis'!$G$4:$G$378,_xlfn.AGGREGATE(15,6,(ROW('Factor Analysis'!$F$4:$F$378)-ROW('Factor Analysis'!$F$4)+1)/('Factor Analysis'!$F$4:$F$378="KCD-CANNOT"),49)),"")</f>
        <v/>
      </c>
      <c r="AC53" s="49" t="str">
        <f t="array" ref="AC53">IFERROR(INDEX('Factor Analysis'!$G$4:$G$378,_xlfn.AGGREGATE(15,6,(ROW('Factor Analysis'!$F$4:$F$378)-ROW('Factor Analysis'!$F$4)+1)/('Factor Analysis'!$F$4:$F$378="DECISION"),49)),"")</f>
        <v/>
      </c>
      <c r="AD53" s="49" t="str">
        <f t="array" ref="AD53">IFERROR(INDEX('Factor Analysis'!$G$4:$G$378,_xlfn.AGGREGATE(15,6,(ROW('Factor Analysis'!$F$4:$F$378)-ROW('Factor Analysis'!$F$4)+1)/('Factor Analysis'!$F$4:$F$378="ASSUMPTION"),49)),"")</f>
        <v/>
      </c>
      <c r="AE53" s="49" t="str">
        <f t="array" ref="AE53">IFERROR(INDEX('Factor Analysis'!$G$4:$G$378,_xlfn.AGGREGATE(15,6,(ROW('Factor Analysis'!$F$4:$F$378)-ROW('Factor Analysis'!$F$4)+1)/('Factor Analysis'!$F$4:$F$378="CONSTRAINT"),49)),"")</f>
        <v/>
      </c>
      <c r="AF53" s="49" t="str">
        <f t="array" ref="AF53">IFERROR(INDEX('Factor Analysis'!$G$4:$G$378,_xlfn.AGGREGATE(15,6,(ROW('Factor Analysis'!$F$4:$F$378)-ROW('Factor Analysis'!$F$4)+1)/('Factor Analysis'!$F$4:$F$378="LIMITATION"),49)),"")</f>
        <v/>
      </c>
      <c r="AG53" s="49" t="str">
        <f t="array" ref="AG53">IFERROR(INDEX('Factor Analysis'!$G$4:$G$378,_xlfn.AGGREGATE(15,6,(ROW('Factor Analysis'!$F$4:$F$378)-ROW('Factor Analysis'!$F$4)+1)/('Factor Analysis'!$F$4:$F$378="CC"),49)),"")</f>
        <v/>
      </c>
      <c r="AH53" s="49" t="str">
        <f t="array" ref="AH53">IFERROR(INDEX('Factor Analysis'!$G$4:$G$378,_xlfn.AGGREGATE(15,6,(ROW('Factor Analysis'!$F$4:$F$378)-ROW('Factor Analysis'!$F$4)+1)/('Factor Analysis'!$F$4:$F$378="CR"),49)),"")</f>
        <v/>
      </c>
      <c r="AI53" s="92" t="str">
        <f t="array" ref="AI53">IFERROR(INDEX('Factor Analysis'!$G$4:$G$378,_xlfn.AGGREGATE(15,6,(ROW('Factor Analysis'!$F$4:$F$378)-ROW('Factor Analysis'!$F$4)+1)/('Factor Analysis'!$F$4:$F$378="PCS"),49)),"")</f>
        <v/>
      </c>
    </row>
    <row r="54" spans="1:35" ht="39.75" customHeight="1">
      <c r="A54" s="38"/>
      <c r="B54" s="39" t="str">
        <f t="array" ref="B54">IFERROR(INDEX('Factor Analysis'!$G$4:$G$378,_xlfn.AGGREGATE(15,6,(ROW('Factor Analysis'!$F$4:$F$378)-ROW('Factor Analysis'!$F$4)+1)/('Factor Analysis'!$F$4:$F$378="MSO"),50)),"")</f>
        <v/>
      </c>
      <c r="C54" s="40" t="str">
        <f t="array" ref="C54">IFERROR(INDEX('Factor Analysis'!$A$4:$A$378,_xlfn.AGGREGATE(15,6,(ROW('Factor Analysis'!$F$4:$F$378)-ROW('Factor Analysis'!$F$4)+1)/('Factor Analysis'!$F$4:$F$378="MSO"),50)),"")</f>
        <v/>
      </c>
      <c r="D54" s="41"/>
      <c r="E54" s="42"/>
      <c r="F54" s="42"/>
      <c r="G54" s="42" t="str">
        <f t="shared" si="2"/>
        <v/>
      </c>
      <c r="H54" s="43" t="str">
        <f t="array" ref="H54">IFERROR(INDEX('Factor Analysis'!$G$4:$G$378,_xlfn.AGGREGATE(15,6,(ROW('Factor Analysis'!$F$4:$F$378)-ROW('Factor Analysis'!$F$4)+1)/('Factor Analysis'!$F$4:$F$378="OO"),50)),"")</f>
        <v/>
      </c>
      <c r="I54" s="44" t="str">
        <f t="array" ref="I54">IFERROR(INDEX('Factor Analysis'!$A$4:$A$378,_xlfn.AGGREGATE(15,6,(ROW('Factor Analysis'!$F$4:$F$378)-ROW('Factor Analysis'!$F$4)+1)/('Factor Analysis'!$F$4:$F$378="OO"),50)),"")</f>
        <v/>
      </c>
      <c r="J54" s="41"/>
      <c r="K54" s="45"/>
      <c r="L54" s="45"/>
      <c r="M54" s="45"/>
      <c r="N54" s="45" t="str">
        <f t="shared" si="3"/>
        <v/>
      </c>
      <c r="O54" s="46" t="str">
        <f t="array" ref="O54">IFERROR(INDEX('Factor Analysis'!$G$4:$G$378,_xlfn.AGGREGATE(15,6,(ROW('Factor Analysis'!$F$4:$F$378)-ROW('Factor Analysis'!$F$4)+1)/('Factor Analysis'!$F$4:$F$378="DC"),50)),"")</f>
        <v/>
      </c>
      <c r="P54" s="47" t="str">
        <f t="array" ref="P54">IFERROR(INDEX('Factor Analysis'!$A$4:$A$378,_xlfn.AGGREGATE(15,6,(ROW('Factor Analysis'!$F$4:$F$378)-ROW('Factor Analysis'!$F$4)+1)/('Factor Analysis'!$F$4:$F$378="DC"),50)),"")</f>
        <v/>
      </c>
      <c r="Q54" s="48"/>
      <c r="R54" s="49" t="str">
        <f t="array" ref="R54">IFERROR(INDEX('Factor Analysis'!$G$4:$G$378,_xlfn.AGGREGATE(15,6,(ROW('Factor Analysis'!$F$4:$F$378)-ROW('Factor Analysis'!$F$4)+1)/('Factor Analysis'!$F$4:$F$378="OE"),50)),"")</f>
        <v/>
      </c>
      <c r="S54" s="49" t="str">
        <f t="array" ref="S54">IFERROR(INDEX('Factor Analysis'!$G$4:$G$378,_xlfn.AGGREGATE(15,6,(ROW('Factor Analysis'!$F$4:$F$378)-ROW('Factor Analysis'!$F$4)+1)/('Factor Analysis'!$F$4:$F$378="OA"),50)),"")</f>
        <v/>
      </c>
      <c r="T54" s="49" t="str">
        <f t="array" ref="T54">IFERROR(INDEX('Factor Analysis'!$G$4:$G$378,_xlfn.AGGREGATE(15,6,(ROW('Factor Analysis'!$F$4:$F$378)-ROW('Factor Analysis'!$F$4)+1)/('Factor Analysis'!$F$4:$F$378="RISK"),50)),"")</f>
        <v>Over-designed framework obscures commander's decision</v>
      </c>
      <c r="U54" s="49" t="str">
        <f t="array" ref="U54">IFERROR(INDEX('Factor Analysis'!$G$4:$G$378,_xlfn.AGGREGATE(15,6,(ROW('Factor Analysis'!$F$4:$F$378)-ROW('Factor Analysis'!$F$4)+1)/('Factor Analysis'!$F$4:$F$378="CV"),50)),"")</f>
        <v/>
      </c>
      <c r="V54" s="49" t="str">
        <f t="array" ref="V54">IFERROR(INDEX('Factor Analysis'!$G$4:$G$378,_xlfn.AGGREGATE(15,6,(ROW('Factor Analysis'!$F$4:$F$378)-ROW('Factor Analysis'!$F$4)+1)/('Factor Analysis'!$F$4:$F$378="COR"),50)),"")</f>
        <v/>
      </c>
      <c r="W54" s="49" t="str">
        <f t="array" ref="W54">IFERROR(INDEX('Factor Analysis'!$G$4:$G$378,_xlfn.AGGREGATE(15,6,(ROW('Factor Analysis'!$F$4:$F$378)-ROW('Factor Analysis'!$F$4)+1)/('Factor Analysis'!$F$4:$F$378="REQT"),50)),"")</f>
        <v/>
      </c>
      <c r="X54" s="49" t="str">
        <f t="array" ref="X54">IFERROR(INDEX('Factor Analysis'!$G$4:$G$378,_xlfn.AGGREGATE(15,6,(ROW('Factor Analysis'!$F$4:$F$378)-ROW('Factor Analysis'!$F$4)+1)/('Factor Analysis'!$F$4:$F$378="REST"),50)),"")</f>
        <v/>
      </c>
      <c r="Y54" s="49" t="str">
        <f t="array" ref="Y54">IFERROR(INDEX('Factor Analysis'!$G$4:$G$378,_xlfn.AGGREGATE(15,6,(ROW('Factor Analysis'!$F$4:$F$378)-ROW('Factor Analysis'!$F$4)+1)/('Factor Analysis'!$F$4:$F$378="KCD-MUST"),50)),"")</f>
        <v/>
      </c>
      <c r="Z54" s="49" t="str">
        <f t="array" ref="Z54">IFERROR(INDEX('Factor Analysis'!$G$4:$G$378,_xlfn.AGGREGATE(15,6,(ROW('Factor Analysis'!$F$4:$F$378)-ROW('Factor Analysis'!$F$4)+1)/('Factor Analysis'!$F$4:$F$378="KCD-SHOULD"),50)),"")</f>
        <v/>
      </c>
      <c r="AA54" s="49" t="str">
        <f t="array" ref="AA54">IFERROR(INDEX('Factor Analysis'!$G$4:$G$378,_xlfn.AGGREGATE(15,6,(ROW('Factor Analysis'!$F$4:$F$378)-ROW('Factor Analysis'!$F$4)+1)/('Factor Analysis'!$F$4:$F$378="KCD-SHOULD NOT"),50)),"")</f>
        <v/>
      </c>
      <c r="AB54" s="49" t="str">
        <f t="array" ref="AB54">IFERROR(INDEX('Factor Analysis'!$G$4:$G$378,_xlfn.AGGREGATE(15,6,(ROW('Factor Analysis'!$F$4:$F$378)-ROW('Factor Analysis'!$F$4)+1)/('Factor Analysis'!$F$4:$F$378="KCD-CANNOT"),50)),"")</f>
        <v/>
      </c>
      <c r="AC54" s="49" t="str">
        <f t="array" ref="AC54">IFERROR(INDEX('Factor Analysis'!$G$4:$G$378,_xlfn.AGGREGATE(15,6,(ROW('Factor Analysis'!$F$4:$F$378)-ROW('Factor Analysis'!$F$4)+1)/('Factor Analysis'!$F$4:$F$378="DECISION"),50)),"")</f>
        <v/>
      </c>
      <c r="AD54" s="49" t="str">
        <f t="array" ref="AD54">IFERROR(INDEX('Factor Analysis'!$G$4:$G$378,_xlfn.AGGREGATE(15,6,(ROW('Factor Analysis'!$F$4:$F$378)-ROW('Factor Analysis'!$F$4)+1)/('Factor Analysis'!$F$4:$F$378="ASSUMPTION"),50)),"")</f>
        <v/>
      </c>
      <c r="AE54" s="49" t="str">
        <f t="array" ref="AE54">IFERROR(INDEX('Factor Analysis'!$G$4:$G$378,_xlfn.AGGREGATE(15,6,(ROW('Factor Analysis'!$F$4:$F$378)-ROW('Factor Analysis'!$F$4)+1)/('Factor Analysis'!$F$4:$F$378="CONSTRAINT"),50)),"")</f>
        <v/>
      </c>
      <c r="AF54" s="49" t="str">
        <f t="array" ref="AF54">IFERROR(INDEX('Factor Analysis'!$G$4:$G$378,_xlfn.AGGREGATE(15,6,(ROW('Factor Analysis'!$F$4:$F$378)-ROW('Factor Analysis'!$F$4)+1)/('Factor Analysis'!$F$4:$F$378="LIMITATION"),50)),"")</f>
        <v/>
      </c>
      <c r="AG54" s="49" t="str">
        <f t="array" ref="AG54">IFERROR(INDEX('Factor Analysis'!$G$4:$G$378,_xlfn.AGGREGATE(15,6,(ROW('Factor Analysis'!$F$4:$F$378)-ROW('Factor Analysis'!$F$4)+1)/('Factor Analysis'!$F$4:$F$378="CC"),50)),"")</f>
        <v/>
      </c>
      <c r="AH54" s="49" t="str">
        <f t="array" ref="AH54">IFERROR(INDEX('Factor Analysis'!$G$4:$G$378,_xlfn.AGGREGATE(15,6,(ROW('Factor Analysis'!$F$4:$F$378)-ROW('Factor Analysis'!$F$4)+1)/('Factor Analysis'!$F$4:$F$378="CR"),50)),"")</f>
        <v/>
      </c>
      <c r="AI54" s="92" t="str">
        <f t="array" ref="AI54">IFERROR(INDEX('Factor Analysis'!$G$4:$G$378,_xlfn.AGGREGATE(15,6,(ROW('Factor Analysis'!$F$4:$F$378)-ROW('Factor Analysis'!$F$4)+1)/('Factor Analysis'!$F$4:$F$378="PCS"),50)),"")</f>
        <v/>
      </c>
    </row>
  </sheetData>
  <mergeCells count="5">
    <mergeCell ref="E3:I3"/>
    <mergeCell ref="A1:P1"/>
    <mergeCell ref="A3:C3"/>
    <mergeCell ref="K3:P3"/>
    <mergeCell ref="A2:P2"/>
  </mergeCells>
  <dataValidations count="1">
    <dataValidation type="list" allowBlank="1" sqref="A5:A54 E5:F54 K5:M54" xr:uid="{00000000-0002-0000-0400-000000000000}">
      <formula1>"1,2,3,4,5,6,7,8,9,10"</formula1>
      <formula2>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2"/>
  <sheetViews>
    <sheetView zoomScale="55" zoomScaleNormal="55" workbookViewId="0">
      <selection activeCell="O27" sqref="I1:O27"/>
    </sheetView>
  </sheetViews>
  <sheetFormatPr defaultColWidth="8.6328125" defaultRowHeight="14.5"/>
  <cols>
    <col min="1" max="1" width="10" customWidth="1"/>
    <col min="2" max="2" width="3" customWidth="1"/>
    <col min="3" max="3" width="42" customWidth="1"/>
    <col min="4" max="4" width="3" customWidth="1"/>
    <col min="5" max="5" width="42" customWidth="1"/>
    <col min="6" max="6" width="3" customWidth="1"/>
    <col min="7" max="7" width="42" customWidth="1"/>
    <col min="8" max="8" width="2" customWidth="1"/>
    <col min="9" max="9" width="10" customWidth="1"/>
    <col min="10" max="10" width="3" customWidth="1"/>
    <col min="11" max="11" width="42" customWidth="1"/>
    <col min="12" max="12" width="3" customWidth="1"/>
    <col min="13" max="13" width="42" customWidth="1"/>
    <col min="14" max="14" width="3" customWidth="1"/>
    <col min="15" max="15" width="42" customWidth="1"/>
    <col min="16" max="16" width="2" customWidth="1"/>
    <col min="21" max="21" width="5" bestFit="1" customWidth="1"/>
    <col min="22" max="22" width="8.6328125" customWidth="1"/>
    <col min="23" max="23" width="30.1796875" customWidth="1"/>
    <col min="24" max="24" width="8.6328125" customWidth="1"/>
    <col min="25" max="25" width="30.81640625" customWidth="1"/>
    <col min="26" max="26" width="8.6328125" customWidth="1"/>
    <col min="27" max="27" width="31.36328125" customWidth="1"/>
  </cols>
  <sheetData>
    <row r="1" spans="1:16" ht="24" customHeight="1">
      <c r="A1" s="124" t="s">
        <v>1282</v>
      </c>
      <c r="B1" s="106"/>
      <c r="C1" s="106"/>
      <c r="D1" s="106"/>
      <c r="E1" s="106"/>
      <c r="F1" s="106"/>
      <c r="G1" s="106"/>
      <c r="H1" s="50"/>
      <c r="I1" s="124" t="s">
        <v>1283</v>
      </c>
      <c r="J1" s="106"/>
      <c r="K1" s="106"/>
      <c r="L1" s="106"/>
      <c r="M1" s="106"/>
      <c r="N1" s="106"/>
      <c r="O1" s="106"/>
    </row>
    <row r="2" spans="1:16" ht="30" customHeight="1">
      <c r="A2" s="51" t="s">
        <v>1284</v>
      </c>
      <c r="B2" s="51"/>
      <c r="C2" s="51" t="s">
        <v>1285</v>
      </c>
      <c r="D2" s="51"/>
      <c r="E2" s="51" t="s">
        <v>1286</v>
      </c>
      <c r="F2" s="51"/>
      <c r="G2" s="51" t="s">
        <v>1287</v>
      </c>
      <c r="H2" s="50"/>
      <c r="I2" s="51" t="s">
        <v>1284</v>
      </c>
      <c r="J2" s="51"/>
      <c r="K2" s="51" t="s">
        <v>1285</v>
      </c>
      <c r="L2" s="51"/>
      <c r="M2" s="51" t="s">
        <v>1286</v>
      </c>
      <c r="N2" s="51"/>
      <c r="O2" s="51" t="s">
        <v>1287</v>
      </c>
    </row>
    <row r="3" spans="1:16" ht="39.75" customHeight="1">
      <c r="A3" s="127" t="s">
        <v>10</v>
      </c>
      <c r="B3" s="52"/>
      <c r="C3" s="123" t="str">
        <f>IFERROR(VLOOKUP(1,'Master Factors'!$A$5:$B$54,2,0),"")</f>
        <v>DISRUPT IRS maritime coercion</v>
      </c>
      <c r="D3" s="53"/>
      <c r="E3" s="53"/>
      <c r="F3" s="53"/>
      <c r="G3" s="53"/>
      <c r="H3" s="50"/>
      <c r="I3" s="54" t="str">
        <f t="array" ref="I3">IFERROR(IF(INDEX($A$3:$A$52,_xlfn.AGGREGATE(15,6,(ROW($P$3:$P$52)-ROW($P$3)+1)/($P$3:$P$52=1),1))&lt;&gt;"",INDEX($A$3:$A$52,_xlfn.AGGREGATE(15,6,(ROW($P$3:$P$52)-ROW($P$3)+1)/($P$3:$P$52=1),1)),IF(INDEX($E$3:$E$52,_xlfn.AGGREGATE(15,6,(ROW($P$3:$P$52)-ROW($P$3)+1)/($P$3:$P$52=1),1))&lt;&gt;"",LEFT(INDEX($E$3:$E$52,_xlfn.AGGREGATE(15,6,(ROW($P$3:$P$52)-ROW($P$3)+1)/($P$3:$P$52=1),1)),FIND("  ",INDEX($E$3:$E$52,_xlfn.AGGREGATE(15,6,(ROW($P$3:$P$52)-ROW($P$3)+1)/($P$3:$P$52=1),1))&amp;"  ")-1),LEFT(INDEX($G$3:$G$52,_xlfn.AGGREGATE(15,6,(ROW($P$3:$P$52)-ROW($P$3)+1)/($P$3:$P$52=1),1)),FIND("  ",INDEX($G$3:$G$52,_xlfn.AGGREGATE(15,6,(ROW($P$3:$P$52)-ROW($P$3)+1)/($P$3:$P$52=1),1))&amp;"  ")-1))),"")</f>
        <v>1</v>
      </c>
      <c r="J3" s="55"/>
      <c r="K3" s="54" t="str">
        <f t="array" ref="K3">IFERROR(IF(INDEX($A$3:$A$52,_xlfn.AGGREGATE(15,6,(ROW($P$3:$P$52)-ROW($P$3)+1)/($P$3:$P$52=1),1))&lt;&gt;"",INDEX($C$3:$C$52,_xlfn.AGGREGATE(15,6,(ROW($P$3:$P$52)-ROW($P$3)+1)/($P$3:$P$52=1),1)),""),"")</f>
        <v>DISRUPT IRS maritime coercion</v>
      </c>
      <c r="L3" s="55"/>
      <c r="M3" s="54" t="str">
        <f t="array" ref="M3">IFERROR(IF(AND(INDEX($A$3:$A$52,_xlfn.AGGREGATE(15,6,(ROW($P$3:$P$52)-ROW($P$3)+1)/($P$3:$P$52=1),1))="",INDEX($E$3:$E$52,_xlfn.AGGREGATE(15,6,(ROW($P$3:$P$52)-ROW($P$3)+1)/($P$3:$P$52=1),1))&lt;&gt;""),INDEX($E$3:$E$52,_xlfn.AGGREGATE(15,6,(ROW($P$3:$P$52)-ROW($P$3)+1)/($P$3:$P$52=1),1)),""),"")</f>
        <v/>
      </c>
      <c r="N3" s="55"/>
      <c r="O3" s="54" t="str">
        <f t="array" ref="O3">IFERROR(IF(AND(INDEX($A$3:$A$52,_xlfn.AGGREGATE(15,6,(ROW($P$3:$P$52)-ROW($P$3)+1)/($P$3:$P$52=1),1))="",INDEX($E$3:$E$52,_xlfn.AGGREGATE(15,6,(ROW($P$3:$P$52)-ROW($P$3)+1)/($P$3:$P$52=1),1))="",INDEX($G$3:$G$52,_xlfn.AGGREGATE(15,6,(ROW($P$3:$P$52)-ROW($P$3)+1)/($P$3:$P$52=1),1))&lt;&gt;""),INDEX($G$3:$G$52,_xlfn.AGGREGATE(15,6,(ROW($P$3:$P$52)-ROW($P$3)+1)/($P$3:$P$52=1),1)),""),"")</f>
        <v/>
      </c>
      <c r="P3" s="56">
        <f>IF(AND(A3&lt;&gt;"",C3&lt;&gt;""),1,0)</f>
        <v>1</v>
      </c>
    </row>
    <row r="4" spans="1:16" ht="39.75" customHeight="1">
      <c r="A4" s="97"/>
      <c r="B4" s="57"/>
      <c r="C4" s="97"/>
      <c r="D4" s="58"/>
      <c r="E4" s="59" t="str">
        <f>IFERROR("1.1  "&amp;VLOOKUP("1.1",'Master Factors'!$G$5:$H$54,2,0),"1.1")</f>
        <v>1.1  Rebel A2/AD PREVENTED</v>
      </c>
      <c r="F4" s="58"/>
      <c r="G4" s="58"/>
      <c r="H4" s="50"/>
      <c r="I4" s="60" t="str">
        <f t="array" ref="I4">IFERROR(IF(INDEX($A$3:$A$52,_xlfn.AGGREGATE(15,6,(ROW($P$3:$P$52)-ROW($P$3)+1)/($P$3:$P$52=1),2))&lt;&gt;"",INDEX($A$3:$A$52,_xlfn.AGGREGATE(15,6,(ROW($P$3:$P$52)-ROW($P$3)+1)/($P$3:$P$52=1),2)),IF(INDEX($E$3:$E$52,_xlfn.AGGREGATE(15,6,(ROW($P$3:$P$52)-ROW($P$3)+1)/($P$3:$P$52=1),2))&lt;&gt;"",LEFT(INDEX($E$3:$E$52,_xlfn.AGGREGATE(15,6,(ROW($P$3:$P$52)-ROW($P$3)+1)/($P$3:$P$52=1),2)),FIND("  ",INDEX($E$3:$E$52,_xlfn.AGGREGATE(15,6,(ROW($P$3:$P$52)-ROW($P$3)+1)/($P$3:$P$52=1),2))&amp;"  ")-1),LEFT(INDEX($G$3:$G$52,_xlfn.AGGREGATE(15,6,(ROW($P$3:$P$52)-ROW($P$3)+1)/($P$3:$P$52=1),2)),FIND("  ",INDEX($G$3:$G$52,_xlfn.AGGREGATE(15,6,(ROW($P$3:$P$52)-ROW($P$3)+1)/($P$3:$P$52=1),2))&amp;"  ")-1))),"")</f>
        <v>1.1</v>
      </c>
      <c r="J4" s="61"/>
      <c r="K4" s="60" t="str">
        <f t="array" ref="K4">IFERROR(IF(INDEX($A$3:$A$52,_xlfn.AGGREGATE(15,6,(ROW($P$3:$P$52)-ROW($P$3)+1)/($P$3:$P$52=1),2))&lt;&gt;"",INDEX($C$3:$C$52,_xlfn.AGGREGATE(15,6,(ROW($P$3:$P$52)-ROW($P$3)+1)/($P$3:$P$52=1),2)),""),"")</f>
        <v/>
      </c>
      <c r="L4" s="61"/>
      <c r="M4" s="60" t="str">
        <f t="array" ref="M4">IFERROR(IF(AND(INDEX($A$3:$A$52,_xlfn.AGGREGATE(15,6,(ROW($P$3:$P$52)-ROW($P$3)+1)/($P$3:$P$52=1),2))="",INDEX($E$3:$E$52,_xlfn.AGGREGATE(15,6,(ROW($P$3:$P$52)-ROW($P$3)+1)/($P$3:$P$52=1),2))&lt;&gt;""),INDEX($E$3:$E$52,_xlfn.AGGREGATE(15,6,(ROW($P$3:$P$52)-ROW($P$3)+1)/($P$3:$P$52=1),2)),""),"")</f>
        <v>1.1  Rebel A2/AD PREVENTED</v>
      </c>
      <c r="N4" s="61"/>
      <c r="O4" s="60" t="str">
        <f t="array" ref="O4">IFERROR(IF(AND(INDEX($A$3:$A$52,_xlfn.AGGREGATE(15,6,(ROW($P$3:$P$52)-ROW($P$3)+1)/($P$3:$P$52=1),2))="",INDEX($E$3:$E$52,_xlfn.AGGREGATE(15,6,(ROW($P$3:$P$52)-ROW($P$3)+1)/($P$3:$P$52=1),2))="",INDEX($G$3:$G$52,_xlfn.AGGREGATE(15,6,(ROW($P$3:$P$52)-ROW($P$3)+1)/($P$3:$P$52=1),2))&lt;&gt;""),INDEX($G$3:$G$52,_xlfn.AGGREGATE(15,6,(ROW($P$3:$P$52)-ROW($P$3)+1)/($P$3:$P$52=1),2)),""),"")</f>
        <v/>
      </c>
      <c r="P4" s="56">
        <f>IF(AND(E4&lt;&gt;"",LEN(TRIM(E4))&gt;5),1,0)</f>
        <v>1</v>
      </c>
    </row>
    <row r="5" spans="1:16" ht="39.75" customHeight="1">
      <c r="A5" s="97"/>
      <c r="B5" s="62"/>
      <c r="C5" s="97"/>
      <c r="D5" s="63"/>
      <c r="E5" s="63"/>
      <c r="F5" s="63"/>
      <c r="G5" s="64" t="str">
        <f>IFERROR("1.1.1  "&amp;VLOOKUP("1.1.1",'Master Factors'!$N$5:$O$54,2,0),"1.1.1")</f>
        <v>1.1.1  IRS integrated A2/AD system INTERDICTED</v>
      </c>
      <c r="H5" s="50"/>
      <c r="I5" s="65" t="str">
        <f t="array" ref="I5">IFERROR(IF(INDEX($A$3:$A$52,_xlfn.AGGREGATE(15,6,(ROW($P$3:$P$52)-ROW($P$3)+1)/($P$3:$P$52=1),3))&lt;&gt;"",INDEX($A$3:$A$52,_xlfn.AGGREGATE(15,6,(ROW($P$3:$P$52)-ROW($P$3)+1)/($P$3:$P$52=1),3)),IF(INDEX($E$3:$E$52,_xlfn.AGGREGATE(15,6,(ROW($P$3:$P$52)-ROW($P$3)+1)/($P$3:$P$52=1),3))&lt;&gt;"",LEFT(INDEX($E$3:$E$52,_xlfn.AGGREGATE(15,6,(ROW($P$3:$P$52)-ROW($P$3)+1)/($P$3:$P$52=1),3)),FIND("  ",INDEX($E$3:$E$52,_xlfn.AGGREGATE(15,6,(ROW($P$3:$P$52)-ROW($P$3)+1)/($P$3:$P$52=1),3))&amp;"  ")-1),LEFT(INDEX($G$3:$G$52,_xlfn.AGGREGATE(15,6,(ROW($P$3:$P$52)-ROW($P$3)+1)/($P$3:$P$52=1),3)),FIND("  ",INDEX($G$3:$G$52,_xlfn.AGGREGATE(15,6,(ROW($P$3:$P$52)-ROW($P$3)+1)/($P$3:$P$52=1),3))&amp;"  ")-1))),"")</f>
        <v>1.1.1</v>
      </c>
      <c r="J5" s="66"/>
      <c r="K5" s="65" t="str">
        <f t="array" ref="K5">IFERROR(IF(INDEX($A$3:$A$52,_xlfn.AGGREGATE(15,6,(ROW($P$3:$P$52)-ROW($P$3)+1)/($P$3:$P$52=1),3))&lt;&gt;"",INDEX($C$3:$C$52,_xlfn.AGGREGATE(15,6,(ROW($P$3:$P$52)-ROW($P$3)+1)/($P$3:$P$52=1),3)),""),"")</f>
        <v/>
      </c>
      <c r="L5" s="66"/>
      <c r="M5" s="65" t="str">
        <f t="array" ref="M5">IFERROR(IF(AND(INDEX($A$3:$A$52,_xlfn.AGGREGATE(15,6,(ROW($P$3:$P$52)-ROW($P$3)+1)/($P$3:$P$52=1),3))="",INDEX($E$3:$E$52,_xlfn.AGGREGATE(15,6,(ROW($P$3:$P$52)-ROW($P$3)+1)/($P$3:$P$52=1),3))&lt;&gt;""),INDEX($E$3:$E$52,_xlfn.AGGREGATE(15,6,(ROW($P$3:$P$52)-ROW($P$3)+1)/($P$3:$P$52=1),3)),""),"")</f>
        <v/>
      </c>
      <c r="N5" s="66"/>
      <c r="O5" s="65" t="str">
        <f t="array" ref="O5">IFERROR(IF(AND(INDEX($A$3:$A$52,_xlfn.AGGREGATE(15,6,(ROW($P$3:$P$52)-ROW($P$3)+1)/($P$3:$P$52=1),3))="",INDEX($E$3:$E$52,_xlfn.AGGREGATE(15,6,(ROW($P$3:$P$52)-ROW($P$3)+1)/($P$3:$P$52=1),3))="",INDEX($G$3:$G$52,_xlfn.AGGREGATE(15,6,(ROW($P$3:$P$52)-ROW($P$3)+1)/($P$3:$P$52=1),3))&lt;&gt;""),INDEX($G$3:$G$52,_xlfn.AGGREGATE(15,6,(ROW($P$3:$P$52)-ROW($P$3)+1)/($P$3:$P$52=1),3)),""),"")</f>
        <v>1.1.1  IRS integrated A2/AD system INTERDICTED</v>
      </c>
      <c r="P5" s="56">
        <f>IF(AND(G5&lt;&gt;"",LEN(TRIM(G5))&gt;7),1,0)</f>
        <v>1</v>
      </c>
    </row>
    <row r="6" spans="1:16" ht="39.75" customHeight="1">
      <c r="A6" s="97"/>
      <c r="B6" s="62"/>
      <c r="C6" s="97"/>
      <c r="D6" s="63"/>
      <c r="E6" s="63"/>
      <c r="F6" s="63"/>
      <c r="G6" s="64" t="str">
        <f>IFERROR("1.1.2  "&amp;VLOOKUP("1.1.2",'Master Factors'!$N$5:$O$54,2,0),"1.1.2")</f>
        <v>1.1.2</v>
      </c>
      <c r="H6" s="50"/>
      <c r="I6" s="54" t="str">
        <f t="array" ref="I6">IFERROR(IF(INDEX($A$3:$A$52,_xlfn.AGGREGATE(15,6,(ROW($P$3:$P$52)-ROW($P$3)+1)/($P$3:$P$52=1),4))&lt;&gt;"",INDEX($A$3:$A$52,_xlfn.AGGREGATE(15,6,(ROW($P$3:$P$52)-ROW($P$3)+1)/($P$3:$P$52=1),4)),IF(INDEX($E$3:$E$52,_xlfn.AGGREGATE(15,6,(ROW($P$3:$P$52)-ROW($P$3)+1)/($P$3:$P$52=1),4))&lt;&gt;"",LEFT(INDEX($E$3:$E$52,_xlfn.AGGREGATE(15,6,(ROW($P$3:$P$52)-ROW($P$3)+1)/($P$3:$P$52=1),4)),FIND("  ",INDEX($E$3:$E$52,_xlfn.AGGREGATE(15,6,(ROW($P$3:$P$52)-ROW($P$3)+1)/($P$3:$P$52=1),4))&amp;"  ")-1),LEFT(INDEX($G$3:$G$52,_xlfn.AGGREGATE(15,6,(ROW($P$3:$P$52)-ROW($P$3)+1)/($P$3:$P$52=1),4)),FIND("  ",INDEX($G$3:$G$52,_xlfn.AGGREGATE(15,6,(ROW($P$3:$P$52)-ROW($P$3)+1)/($P$3:$P$52=1),4))&amp;"  ")-1))),"")</f>
        <v>1.2</v>
      </c>
      <c r="J6" s="55"/>
      <c r="K6" s="54" t="str">
        <f t="array" ref="K6">IFERROR(IF(INDEX($A$3:$A$52,_xlfn.AGGREGATE(15,6,(ROW($P$3:$P$52)-ROW($P$3)+1)/($P$3:$P$52=1),4))&lt;&gt;"",INDEX($C$3:$C$52,_xlfn.AGGREGATE(15,6,(ROW($P$3:$P$52)-ROW($P$3)+1)/($P$3:$P$52=1),4)),""),"")</f>
        <v/>
      </c>
      <c r="L6" s="55"/>
      <c r="M6" s="54" t="str">
        <f t="array" ref="M6">IFERROR(IF(AND(INDEX($A$3:$A$52,_xlfn.AGGREGATE(15,6,(ROW($P$3:$P$52)-ROW($P$3)+1)/($P$3:$P$52=1),4))="",INDEX($E$3:$E$52,_xlfn.AGGREGATE(15,6,(ROW($P$3:$P$52)-ROW($P$3)+1)/($P$3:$P$52=1),4))&lt;&gt;""),INDEX($E$3:$E$52,_xlfn.AGGREGATE(15,6,(ROW($P$3:$P$52)-ROW($P$3)+1)/($P$3:$P$52=1),4)),""),"")</f>
        <v>1.2  XLOCs SECURED</v>
      </c>
      <c r="N6" s="55"/>
      <c r="O6" s="54" t="str">
        <f t="array" ref="O6">IFERROR(IF(AND(INDEX($A$3:$A$52,_xlfn.AGGREGATE(15,6,(ROW($P$3:$P$52)-ROW($P$3)+1)/($P$3:$P$52=1),4))="",INDEX($E$3:$E$52,_xlfn.AGGREGATE(15,6,(ROW($P$3:$P$52)-ROW($P$3)+1)/($P$3:$P$52=1),4))="",INDEX($G$3:$G$52,_xlfn.AGGREGATE(15,6,(ROW($P$3:$P$52)-ROW($P$3)+1)/($P$3:$P$52=1),4))&lt;&gt;""),INDEX($G$3:$G$52,_xlfn.AGGREGATE(15,6,(ROW($P$3:$P$52)-ROW($P$3)+1)/($P$3:$P$52=1),4)),""),"")</f>
        <v/>
      </c>
      <c r="P6" s="56">
        <f>IF(AND(G6&lt;&gt;"",LEN(TRIM(G6))&gt;7),1,0)</f>
        <v>0</v>
      </c>
    </row>
    <row r="7" spans="1:16" ht="39.75" customHeight="1">
      <c r="A7" s="97"/>
      <c r="B7" s="57"/>
      <c r="C7" s="97"/>
      <c r="D7" s="58"/>
      <c r="E7" s="59" t="str">
        <f>IFERROR("1.2  "&amp;VLOOKUP("1.2",'Master Factors'!$G$5:$H$54,2,0),"1.2")</f>
        <v>1.2  XLOCs SECURED</v>
      </c>
      <c r="F7" s="58"/>
      <c r="G7" s="58"/>
      <c r="H7" s="50"/>
      <c r="I7" s="60" t="str">
        <f t="array" ref="I7">IFERROR(IF(INDEX($A$3:$A$52,_xlfn.AGGREGATE(15,6,(ROW($P$3:$P$52)-ROW($P$3)+1)/($P$3:$P$52=1),5))&lt;&gt;"",INDEX($A$3:$A$52,_xlfn.AGGREGATE(15,6,(ROW($P$3:$P$52)-ROW($P$3)+1)/($P$3:$P$52=1),5)),IF(INDEX($E$3:$E$52,_xlfn.AGGREGATE(15,6,(ROW($P$3:$P$52)-ROW($P$3)+1)/($P$3:$P$52=1),5))&lt;&gt;"",LEFT(INDEX($E$3:$E$52,_xlfn.AGGREGATE(15,6,(ROW($P$3:$P$52)-ROW($P$3)+1)/($P$3:$P$52=1),5)),FIND("  ",INDEX($E$3:$E$52,_xlfn.AGGREGATE(15,6,(ROW($P$3:$P$52)-ROW($P$3)+1)/($P$3:$P$52=1),5))&amp;"  ")-1),LEFT(INDEX($G$3:$G$52,_xlfn.AGGREGATE(15,6,(ROW($P$3:$P$52)-ROW($P$3)+1)/($P$3:$P$52=1),5)),FIND("  ",INDEX($G$3:$G$52,_xlfn.AGGREGATE(15,6,(ROW($P$3:$P$52)-ROW($P$3)+1)/($P$3:$P$52=1),5))&amp;"  ")-1))),"")</f>
        <v>1.2.1</v>
      </c>
      <c r="J7" s="61"/>
      <c r="K7" s="60" t="str">
        <f t="array" ref="K7">IFERROR(IF(INDEX($A$3:$A$52,_xlfn.AGGREGATE(15,6,(ROW($P$3:$P$52)-ROW($P$3)+1)/($P$3:$P$52=1),5))&lt;&gt;"",INDEX($C$3:$C$52,_xlfn.AGGREGATE(15,6,(ROW($P$3:$P$52)-ROW($P$3)+1)/($P$3:$P$52=1),5)),""),"")</f>
        <v/>
      </c>
      <c r="L7" s="61"/>
      <c r="M7" s="60" t="str">
        <f t="array" ref="M7">IFERROR(IF(AND(INDEX($A$3:$A$52,_xlfn.AGGREGATE(15,6,(ROW($P$3:$P$52)-ROW($P$3)+1)/($P$3:$P$52=1),5))="",INDEX($E$3:$E$52,_xlfn.AGGREGATE(15,6,(ROW($P$3:$P$52)-ROW($P$3)+1)/($P$3:$P$52=1),5))&lt;&gt;""),INDEX($E$3:$E$52,_xlfn.AGGREGATE(15,6,(ROW($P$3:$P$52)-ROW($P$3)+1)/($P$3:$P$52=1),5)),""),"")</f>
        <v/>
      </c>
      <c r="N7" s="61"/>
      <c r="O7" s="60" t="str">
        <f t="array" ref="O7">IFERROR(IF(AND(INDEX($A$3:$A$52,_xlfn.AGGREGATE(15,6,(ROW($P$3:$P$52)-ROW($P$3)+1)/($P$3:$P$52=1),5))="",INDEX($E$3:$E$52,_xlfn.AGGREGATE(15,6,(ROW($P$3:$P$52)-ROW($P$3)+1)/($P$3:$P$52=1),5))="",INDEX($G$3:$G$52,_xlfn.AGGREGATE(15,6,(ROW($P$3:$P$52)-ROW($P$3)+1)/($P$3:$P$52=1),5))&lt;&gt;""),INDEX($G$3:$G$52,_xlfn.AGGREGATE(15,6,(ROW($P$3:$P$52)-ROW($P$3)+1)/($P$3:$P$52=1),5)),""),"")</f>
        <v>1.2.1  SPODs SECURED</v>
      </c>
      <c r="P7" s="56">
        <f>IF(AND(E7&lt;&gt;"",LEN(TRIM(E7))&gt;5),1,0)</f>
        <v>1</v>
      </c>
    </row>
    <row r="8" spans="1:16" ht="39.75" customHeight="1">
      <c r="A8" s="97"/>
      <c r="B8" s="62"/>
      <c r="C8" s="97"/>
      <c r="D8" s="63"/>
      <c r="E8" s="63"/>
      <c r="F8" s="63"/>
      <c r="G8" s="64" t="str">
        <f>IFERROR("1.2.1  "&amp;VLOOKUP("1.2.1",'Master Factors'!$N$5:$O$54,2,0),"1.2.1")</f>
        <v>1.2.1  SPODs SECURED</v>
      </c>
      <c r="H8" s="50"/>
      <c r="I8" s="65" t="str">
        <f t="array" ref="I8">IFERROR(IF(INDEX($A$3:$A$52,_xlfn.AGGREGATE(15,6,(ROW($P$3:$P$52)-ROW($P$3)+1)/($P$3:$P$52=1),6))&lt;&gt;"",INDEX($A$3:$A$52,_xlfn.AGGREGATE(15,6,(ROW($P$3:$P$52)-ROW($P$3)+1)/($P$3:$P$52=1),6)),IF(INDEX($E$3:$E$52,_xlfn.AGGREGATE(15,6,(ROW($P$3:$P$52)-ROW($P$3)+1)/($P$3:$P$52=1),6))&lt;&gt;"",LEFT(INDEX($E$3:$E$52,_xlfn.AGGREGATE(15,6,(ROW($P$3:$P$52)-ROW($P$3)+1)/($P$3:$P$52=1),6)),FIND("  ",INDEX($E$3:$E$52,_xlfn.AGGREGATE(15,6,(ROW($P$3:$P$52)-ROW($P$3)+1)/($P$3:$P$52=1),6))&amp;"  ")-1),LEFT(INDEX($G$3:$G$52,_xlfn.AGGREGATE(15,6,(ROW($P$3:$P$52)-ROW($P$3)+1)/($P$3:$P$52=1),6)),FIND("  ",INDEX($G$3:$G$52,_xlfn.AGGREGATE(15,6,(ROW($P$3:$P$52)-ROW($P$3)+1)/($P$3:$P$52=1),6))&amp;"  ")-1))),"")</f>
        <v>1.2.2</v>
      </c>
      <c r="J8" s="66"/>
      <c r="K8" s="65" t="str">
        <f t="array" ref="K8">IFERROR(IF(INDEX($A$3:$A$52,_xlfn.AGGREGATE(15,6,(ROW($P$3:$P$52)-ROW($P$3)+1)/($P$3:$P$52=1),6))&lt;&gt;"",INDEX($C$3:$C$52,_xlfn.AGGREGATE(15,6,(ROW($P$3:$P$52)-ROW($P$3)+1)/($P$3:$P$52=1),6)),""),"")</f>
        <v/>
      </c>
      <c r="L8" s="66"/>
      <c r="M8" s="65" t="str">
        <f t="array" ref="M8">IFERROR(IF(AND(INDEX($A$3:$A$52,_xlfn.AGGREGATE(15,6,(ROW($P$3:$P$52)-ROW($P$3)+1)/($P$3:$P$52=1),6))="",INDEX($E$3:$E$52,_xlfn.AGGREGATE(15,6,(ROW($P$3:$P$52)-ROW($P$3)+1)/($P$3:$P$52=1),6))&lt;&gt;""),INDEX($E$3:$E$52,_xlfn.AGGREGATE(15,6,(ROW($P$3:$P$52)-ROW($P$3)+1)/($P$3:$P$52=1),6)),""),"")</f>
        <v/>
      </c>
      <c r="N8" s="66"/>
      <c r="O8" s="65" t="str">
        <f t="array" ref="O8">IFERROR(IF(AND(INDEX($A$3:$A$52,_xlfn.AGGREGATE(15,6,(ROW($P$3:$P$52)-ROW($P$3)+1)/($P$3:$P$52=1),6))="",INDEX($E$3:$E$52,_xlfn.AGGREGATE(15,6,(ROW($P$3:$P$52)-ROW($P$3)+1)/($P$3:$P$52=1),6))="",INDEX($G$3:$G$52,_xlfn.AGGREGATE(15,6,(ROW($P$3:$P$52)-ROW($P$3)+1)/($P$3:$P$52=1),6))&lt;&gt;""),INDEX($G$3:$G$52,_xlfn.AGGREGATE(15,6,(ROW($P$3:$P$52)-ROW($P$3)+1)/($P$3:$P$52=1),6)),""),"")</f>
        <v>1.2.2  APODs SECURED</v>
      </c>
      <c r="P8" s="56">
        <f>IF(AND(G8&lt;&gt;"",LEN(TRIM(G8))&gt;7),1,0)</f>
        <v>1</v>
      </c>
    </row>
    <row r="9" spans="1:16" ht="39.75" customHeight="1">
      <c r="A9" s="97"/>
      <c r="B9" s="62"/>
      <c r="C9" s="97"/>
      <c r="D9" s="63"/>
      <c r="E9" s="63"/>
      <c r="F9" s="63"/>
      <c r="G9" s="64" t="str">
        <f>IFERROR("1.2.2  "&amp;VLOOKUP("1.2.2",'Master Factors'!$N$5:$O$54,2,0),"1.2.2")</f>
        <v>1.2.2  APODs SECURED</v>
      </c>
      <c r="H9" s="50"/>
      <c r="I9" s="54" t="str">
        <f t="array" ref="I9">IFERROR(IF(INDEX($A$3:$A$52,_xlfn.AGGREGATE(15,6,(ROW($P$3:$P$52)-ROW($P$3)+1)/($P$3:$P$52=1),7))&lt;&gt;"",INDEX($A$3:$A$52,_xlfn.AGGREGATE(15,6,(ROW($P$3:$P$52)-ROW($P$3)+1)/($P$3:$P$52=1),7)),IF(INDEX($E$3:$E$52,_xlfn.AGGREGATE(15,6,(ROW($P$3:$P$52)-ROW($P$3)+1)/($P$3:$P$52=1),7))&lt;&gt;"",LEFT(INDEX($E$3:$E$52,_xlfn.AGGREGATE(15,6,(ROW($P$3:$P$52)-ROW($P$3)+1)/($P$3:$P$52=1),7)),FIND("  ",INDEX($E$3:$E$52,_xlfn.AGGREGATE(15,6,(ROW($P$3:$P$52)-ROW($P$3)+1)/($P$3:$P$52=1),7))&amp;"  ")-1),LEFT(INDEX($G$3:$G$52,_xlfn.AGGREGATE(15,6,(ROW($P$3:$P$52)-ROW($P$3)+1)/($P$3:$P$52=1),7)),FIND("  ",INDEX($G$3:$G$52,_xlfn.AGGREGATE(15,6,(ROW($P$3:$P$52)-ROW($P$3)+1)/($P$3:$P$52=1),7))&amp;"  ")-1))),"")</f>
        <v>2</v>
      </c>
      <c r="J9" s="55"/>
      <c r="K9" s="54" t="str">
        <f t="array" ref="K9">IFERROR(IF(INDEX($A$3:$A$52,_xlfn.AGGREGATE(15,6,(ROW($P$3:$P$52)-ROW($P$3)+1)/($P$3:$P$52=1),7))&lt;&gt;"",INDEX($C$3:$C$52,_xlfn.AGGREGATE(15,6,(ROW($P$3:$P$52)-ROW($P$3)+1)/($P$3:$P$52=1),7)),""),"")</f>
        <v>PROTECT NATO citizens</v>
      </c>
      <c r="L9" s="55"/>
      <c r="M9" s="54" t="str">
        <f t="array" ref="M9">IFERROR(IF(AND(INDEX($A$3:$A$52,_xlfn.AGGREGATE(15,6,(ROW($P$3:$P$52)-ROW($P$3)+1)/($P$3:$P$52=1),7))="",INDEX($E$3:$E$52,_xlfn.AGGREGATE(15,6,(ROW($P$3:$P$52)-ROW($P$3)+1)/($P$3:$P$52=1),7))&lt;&gt;""),INDEX($E$3:$E$52,_xlfn.AGGREGATE(15,6,(ROW($P$3:$P$52)-ROW($P$3)+1)/($P$3:$P$52=1),7)),""),"")</f>
        <v/>
      </c>
      <c r="N9" s="55"/>
      <c r="O9" s="54" t="str">
        <f t="array" ref="O9">IFERROR(IF(AND(INDEX($A$3:$A$52,_xlfn.AGGREGATE(15,6,(ROW($P$3:$P$52)-ROW($P$3)+1)/($P$3:$P$52=1),7))="",INDEX($E$3:$E$52,_xlfn.AGGREGATE(15,6,(ROW($P$3:$P$52)-ROW($P$3)+1)/($P$3:$P$52=1),7))="",INDEX($G$3:$G$52,_xlfn.AGGREGATE(15,6,(ROW($P$3:$P$52)-ROW($P$3)+1)/($P$3:$P$52=1),7))&lt;&gt;""),INDEX($G$3:$G$52,_xlfn.AGGREGATE(15,6,(ROW($P$3:$P$52)-ROW($P$3)+1)/($P$3:$P$52=1),7)),""),"")</f>
        <v/>
      </c>
      <c r="P9" s="56">
        <f>IF(AND(G9&lt;&gt;"",LEN(TRIM(G9))&gt;7),1,0)</f>
        <v>1</v>
      </c>
    </row>
    <row r="10" spans="1:16" ht="39.75" customHeight="1">
      <c r="A10" s="97"/>
      <c r="B10" s="57"/>
      <c r="C10" s="97"/>
      <c r="D10" s="58"/>
      <c r="E10" s="59" t="str">
        <f>IFERROR("1.3  "&amp;VLOOKUP("1.3",'Master Factors'!$G$5:$H$54,2,0),"1.3")</f>
        <v>1.3</v>
      </c>
      <c r="F10" s="58"/>
      <c r="G10" s="58"/>
      <c r="H10" s="50"/>
      <c r="I10" s="60" t="str">
        <f t="array" ref="I10">IFERROR(IF(INDEX($A$3:$A$52,_xlfn.AGGREGATE(15,6,(ROW($P$3:$P$52)-ROW($P$3)+1)/($P$3:$P$52=1),8))&lt;&gt;"",INDEX($A$3:$A$52,_xlfn.AGGREGATE(15,6,(ROW($P$3:$P$52)-ROW($P$3)+1)/($P$3:$P$52=1),8)),IF(INDEX($E$3:$E$52,_xlfn.AGGREGATE(15,6,(ROW($P$3:$P$52)-ROW($P$3)+1)/($P$3:$P$52=1),8))&lt;&gt;"",LEFT(INDEX($E$3:$E$52,_xlfn.AGGREGATE(15,6,(ROW($P$3:$P$52)-ROW($P$3)+1)/($P$3:$P$52=1),8)),FIND("  ",INDEX($E$3:$E$52,_xlfn.AGGREGATE(15,6,(ROW($P$3:$P$52)-ROW($P$3)+1)/($P$3:$P$52=1),8))&amp;"  ")-1),LEFT(INDEX($G$3:$G$52,_xlfn.AGGREGATE(15,6,(ROW($P$3:$P$52)-ROW($P$3)+1)/($P$3:$P$52=1),8)),FIND("  ",INDEX($G$3:$G$52,_xlfn.AGGREGATE(15,6,(ROW($P$3:$P$52)-ROW($P$3)+1)/($P$3:$P$52=1),8))&amp;"  ")-1))),"")</f>
        <v>2.1</v>
      </c>
      <c r="J10" s="61"/>
      <c r="K10" s="60" t="str">
        <f t="array" ref="K10">IFERROR(IF(INDEX($A$3:$A$52,_xlfn.AGGREGATE(15,6,(ROW($P$3:$P$52)-ROW($P$3)+1)/($P$3:$P$52=1),8))&lt;&gt;"",INDEX($C$3:$C$52,_xlfn.AGGREGATE(15,6,(ROW($P$3:$P$52)-ROW($P$3)+1)/($P$3:$P$52=1),8)),""),"")</f>
        <v/>
      </c>
      <c r="L10" s="61"/>
      <c r="M10" s="60" t="str">
        <f t="array" ref="M10">IFERROR(IF(AND(INDEX($A$3:$A$52,_xlfn.AGGREGATE(15,6,(ROW($P$3:$P$52)-ROW($P$3)+1)/($P$3:$P$52=1),8))="",INDEX($E$3:$E$52,_xlfn.AGGREGATE(15,6,(ROW($P$3:$P$52)-ROW($P$3)+1)/($P$3:$P$52=1),8))&lt;&gt;""),INDEX($E$3:$E$52,_xlfn.AGGREGATE(15,6,(ROW($P$3:$P$52)-ROW($P$3)+1)/($P$3:$P$52=1),8)),""),"")</f>
        <v>2.1  NATO CIVPOP disposition UNDERSTOOD</v>
      </c>
      <c r="N10" s="61"/>
      <c r="O10" s="60" t="str">
        <f t="array" ref="O10">IFERROR(IF(AND(INDEX($A$3:$A$52,_xlfn.AGGREGATE(15,6,(ROW($P$3:$P$52)-ROW($P$3)+1)/($P$3:$P$52=1),8))="",INDEX($E$3:$E$52,_xlfn.AGGREGATE(15,6,(ROW($P$3:$P$52)-ROW($P$3)+1)/($P$3:$P$52=1),8))="",INDEX($G$3:$G$52,_xlfn.AGGREGATE(15,6,(ROW($P$3:$P$52)-ROW($P$3)+1)/($P$3:$P$52=1),8))&lt;&gt;""),INDEX($G$3:$G$52,_xlfn.AGGREGATE(15,6,(ROW($P$3:$P$52)-ROW($P$3)+1)/($P$3:$P$52=1),8)),""),"")</f>
        <v/>
      </c>
      <c r="P10" s="56">
        <f>IF(AND(E10&lt;&gt;"",LEN(TRIM(E10))&gt;5),1,0)</f>
        <v>0</v>
      </c>
    </row>
    <row r="11" spans="1:16" ht="39.75" customHeight="1">
      <c r="A11" s="97"/>
      <c r="B11" s="62"/>
      <c r="C11" s="97"/>
      <c r="D11" s="63"/>
      <c r="E11" s="63"/>
      <c r="F11" s="63"/>
      <c r="G11" s="64" t="str">
        <f>IFERROR("1.3.1  "&amp;VLOOKUP("1.3.1",'Master Factors'!$N$5:$O$54,2,0),"1.3.1")</f>
        <v>1.3.1</v>
      </c>
      <c r="H11" s="50"/>
      <c r="I11" s="65" t="str">
        <f t="array" ref="I11">IFERROR(IF(INDEX($A$3:$A$52,_xlfn.AGGREGATE(15,6,(ROW($P$3:$P$52)-ROW($P$3)+1)/($P$3:$P$52=1),9))&lt;&gt;"",INDEX($A$3:$A$52,_xlfn.AGGREGATE(15,6,(ROW($P$3:$P$52)-ROW($P$3)+1)/($P$3:$P$52=1),9)),IF(INDEX($E$3:$E$52,_xlfn.AGGREGATE(15,6,(ROW($P$3:$P$52)-ROW($P$3)+1)/($P$3:$P$52=1),9))&lt;&gt;"",LEFT(INDEX($E$3:$E$52,_xlfn.AGGREGATE(15,6,(ROW($P$3:$P$52)-ROW($P$3)+1)/($P$3:$P$52=1),9)),FIND("  ",INDEX($E$3:$E$52,_xlfn.AGGREGATE(15,6,(ROW($P$3:$P$52)-ROW($P$3)+1)/($P$3:$P$52=1),9))&amp;"  ")-1),LEFT(INDEX($G$3:$G$52,_xlfn.AGGREGATE(15,6,(ROW($P$3:$P$52)-ROW($P$3)+1)/($P$3:$P$52=1),9)),FIND("  ",INDEX($G$3:$G$52,_xlfn.AGGREGATE(15,6,(ROW($P$3:$P$52)-ROW($P$3)+1)/($P$3:$P$52=1),9))&amp;"  ")-1))),"")</f>
        <v>2.2</v>
      </c>
      <c r="J11" s="66"/>
      <c r="K11" s="65" t="str">
        <f t="array" ref="K11">IFERROR(IF(INDEX($A$3:$A$52,_xlfn.AGGREGATE(15,6,(ROW($P$3:$P$52)-ROW($P$3)+1)/($P$3:$P$52=1),9))&lt;&gt;"",INDEX($C$3:$C$52,_xlfn.AGGREGATE(15,6,(ROW($P$3:$P$52)-ROW($P$3)+1)/($P$3:$P$52=1),9)),""),"")</f>
        <v/>
      </c>
      <c r="L11" s="66"/>
      <c r="M11" s="65" t="str">
        <f t="array" ref="M11">IFERROR(IF(AND(INDEX($A$3:$A$52,_xlfn.AGGREGATE(15,6,(ROW($P$3:$P$52)-ROW($P$3)+1)/($P$3:$P$52=1),9))="",INDEX($E$3:$E$52,_xlfn.AGGREGATE(15,6,(ROW($P$3:$P$52)-ROW($P$3)+1)/($P$3:$P$52=1),9))&lt;&gt;""),INDEX($E$3:$E$52,_xlfn.AGGREGATE(15,6,(ROW($P$3:$P$52)-ROW($P$3)+1)/($P$3:$P$52=1),9)),""),"")</f>
        <v>2.2  Adversary influence on NATO CIVPOP DENIED</v>
      </c>
      <c r="N11" s="66"/>
      <c r="O11" s="65" t="str">
        <f t="array" ref="O11">IFERROR(IF(AND(INDEX($A$3:$A$52,_xlfn.AGGREGATE(15,6,(ROW($P$3:$P$52)-ROW($P$3)+1)/($P$3:$P$52=1),9))="",INDEX($E$3:$E$52,_xlfn.AGGREGATE(15,6,(ROW($P$3:$P$52)-ROW($P$3)+1)/($P$3:$P$52=1),9))="",INDEX($G$3:$G$52,_xlfn.AGGREGATE(15,6,(ROW($P$3:$P$52)-ROW($P$3)+1)/($P$3:$P$52=1),9))&lt;&gt;""),INDEX($G$3:$G$52,_xlfn.AGGREGATE(15,6,(ROW($P$3:$P$52)-ROW($P$3)+1)/($P$3:$P$52=1),9)),""),"")</f>
        <v/>
      </c>
      <c r="P11" s="56">
        <f>IF(AND(G11&lt;&gt;"",LEN(TRIM(G11))&gt;7),1,0)</f>
        <v>0</v>
      </c>
    </row>
    <row r="12" spans="1:16" ht="39.75" customHeight="1">
      <c r="A12" s="98"/>
      <c r="B12" s="62"/>
      <c r="C12" s="98"/>
      <c r="D12" s="63"/>
      <c r="E12" s="63"/>
      <c r="F12" s="63"/>
      <c r="G12" s="64" t="str">
        <f>IFERROR("1.3.2  "&amp;VLOOKUP("1.3.2",'Master Factors'!$N$5:$O$54,2,0),"1.3.2")</f>
        <v>1.3.2</v>
      </c>
      <c r="H12" s="50"/>
      <c r="I12" s="54" t="str">
        <f t="array" ref="I12">IFERROR(IF(INDEX($A$3:$A$52,_xlfn.AGGREGATE(15,6,(ROW($P$3:$P$52)-ROW($P$3)+1)/($P$3:$P$52=1),10))&lt;&gt;"",INDEX($A$3:$A$52,_xlfn.AGGREGATE(15,6,(ROW($P$3:$P$52)-ROW($P$3)+1)/($P$3:$P$52=1),10)),IF(INDEX($E$3:$E$52,_xlfn.AGGREGATE(15,6,(ROW($P$3:$P$52)-ROW($P$3)+1)/($P$3:$P$52=1),10))&lt;&gt;"",LEFT(INDEX($E$3:$E$52,_xlfn.AGGREGATE(15,6,(ROW($P$3:$P$52)-ROW($P$3)+1)/($P$3:$P$52=1),10)),FIND("  ",INDEX($E$3:$E$52,_xlfn.AGGREGATE(15,6,(ROW($P$3:$P$52)-ROW($P$3)+1)/($P$3:$P$52=1),10))&amp;"  ")-1),LEFT(INDEX($G$3:$G$52,_xlfn.AGGREGATE(15,6,(ROW($P$3:$P$52)-ROW($P$3)+1)/($P$3:$P$52=1),10)),FIND("  ",INDEX($G$3:$G$52,_xlfn.AGGREGATE(15,6,(ROW($P$3:$P$52)-ROW($P$3)+1)/($P$3:$P$52=1),10))&amp;"  ")-1))),"")</f>
        <v>2.2.1</v>
      </c>
      <c r="J12" s="55"/>
      <c r="K12" s="54" t="str">
        <f t="array" ref="K12">IFERROR(IF(INDEX($A$3:$A$52,_xlfn.AGGREGATE(15,6,(ROW($P$3:$P$52)-ROW($P$3)+1)/($P$3:$P$52=1),10))&lt;&gt;"",INDEX($C$3:$C$52,_xlfn.AGGREGATE(15,6,(ROW($P$3:$P$52)-ROW($P$3)+1)/($P$3:$P$52=1),10)),""),"")</f>
        <v/>
      </c>
      <c r="L12" s="55"/>
      <c r="M12" s="54" t="str">
        <f t="array" ref="M12">IFERROR(IF(AND(INDEX($A$3:$A$52,_xlfn.AGGREGATE(15,6,(ROW($P$3:$P$52)-ROW($P$3)+1)/($P$3:$P$52=1),10))="",INDEX($E$3:$E$52,_xlfn.AGGREGATE(15,6,(ROW($P$3:$P$52)-ROW($P$3)+1)/($P$3:$P$52=1),10))&lt;&gt;""),INDEX($E$3:$E$52,_xlfn.AGGREGATE(15,6,(ROW($P$3:$P$52)-ROW($P$3)+1)/($P$3:$P$52=1),10)),""),"")</f>
        <v/>
      </c>
      <c r="N12" s="55"/>
      <c r="O12" s="54" t="str">
        <f t="array" ref="O12">IFERROR(IF(AND(INDEX($A$3:$A$52,_xlfn.AGGREGATE(15,6,(ROW($P$3:$P$52)-ROW($P$3)+1)/($P$3:$P$52=1),10))="",INDEX($E$3:$E$52,_xlfn.AGGREGATE(15,6,(ROW($P$3:$P$52)-ROW($P$3)+1)/($P$3:$P$52=1),10))="",INDEX($G$3:$G$52,_xlfn.AGGREGATE(15,6,(ROW($P$3:$P$52)-ROW($P$3)+1)/($P$3:$P$52=1),10))&lt;&gt;""),INDEX($G$3:$G$52,_xlfn.AGGREGATE(15,6,(ROW($P$3:$P$52)-ROW($P$3)+1)/($P$3:$P$52=1),10)),""),"")</f>
        <v>2.2.1  NEO force GUARDED</v>
      </c>
      <c r="P12" s="56">
        <f>IF(AND(G12&lt;&gt;"",LEN(TRIM(G12))&gt;7),1,0)</f>
        <v>0</v>
      </c>
    </row>
    <row r="13" spans="1:16" ht="39.75" customHeight="1">
      <c r="A13" s="127" t="s">
        <v>83</v>
      </c>
      <c r="B13" s="52"/>
      <c r="C13" s="125" t="str">
        <f>IFERROR(VLOOKUP(2,'Master Factors'!$A$5:$B$54,2,0),"")</f>
        <v>PROTECT NATO citizens</v>
      </c>
      <c r="D13" s="67"/>
      <c r="E13" s="67"/>
      <c r="F13" s="67"/>
      <c r="G13" s="67"/>
      <c r="H13" s="50"/>
      <c r="I13" s="60" t="str">
        <f t="array" ref="I13">IFERROR(IF(INDEX($A$3:$A$52,_xlfn.AGGREGATE(15,6,(ROW($P$3:$P$52)-ROW($P$3)+1)/($P$3:$P$52=1),11))&lt;&gt;"",INDEX($A$3:$A$52,_xlfn.AGGREGATE(15,6,(ROW($P$3:$P$52)-ROW($P$3)+1)/($P$3:$P$52=1),11)),IF(INDEX($E$3:$E$52,_xlfn.AGGREGATE(15,6,(ROW($P$3:$P$52)-ROW($P$3)+1)/($P$3:$P$52=1),11))&lt;&gt;"",LEFT(INDEX($E$3:$E$52,_xlfn.AGGREGATE(15,6,(ROW($P$3:$P$52)-ROW($P$3)+1)/($P$3:$P$52=1),11)),FIND("  ",INDEX($E$3:$E$52,_xlfn.AGGREGATE(15,6,(ROW($P$3:$P$52)-ROW($P$3)+1)/($P$3:$P$52=1),11))&amp;"  ")-1),LEFT(INDEX($G$3:$G$52,_xlfn.AGGREGATE(15,6,(ROW($P$3:$P$52)-ROW($P$3)+1)/($P$3:$P$52=1),11)),FIND("  ",INDEX($G$3:$G$52,_xlfn.AGGREGATE(15,6,(ROW($P$3:$P$52)-ROW($P$3)+1)/($P$3:$P$52=1),11))&amp;"  ")-1))),"")</f>
        <v>2.2.2</v>
      </c>
      <c r="J13" s="61"/>
      <c r="K13" s="60" t="str">
        <f t="array" ref="K13">IFERROR(IF(INDEX($A$3:$A$52,_xlfn.AGGREGATE(15,6,(ROW($P$3:$P$52)-ROW($P$3)+1)/($P$3:$P$52=1),11))&lt;&gt;"",INDEX($C$3:$C$52,_xlfn.AGGREGATE(15,6,(ROW($P$3:$P$52)-ROW($P$3)+1)/($P$3:$P$52=1),11)),""),"")</f>
        <v/>
      </c>
      <c r="L13" s="61"/>
      <c r="M13" s="60" t="str">
        <f t="array" ref="M13">IFERROR(IF(AND(INDEX($A$3:$A$52,_xlfn.AGGREGATE(15,6,(ROW($P$3:$P$52)-ROW($P$3)+1)/($P$3:$P$52=1),11))="",INDEX($E$3:$E$52,_xlfn.AGGREGATE(15,6,(ROW($P$3:$P$52)-ROW($P$3)+1)/($P$3:$P$52=1),11))&lt;&gt;""),INDEX($E$3:$E$52,_xlfn.AGGREGATE(15,6,(ROW($P$3:$P$52)-ROW($P$3)+1)/($P$3:$P$52=1),11)),""),"")</f>
        <v/>
      </c>
      <c r="N13" s="61"/>
      <c r="O13" s="60" t="str">
        <f t="array" ref="O13">IFERROR(IF(AND(INDEX($A$3:$A$52,_xlfn.AGGREGATE(15,6,(ROW($P$3:$P$52)-ROW($P$3)+1)/($P$3:$P$52=1),11))="",INDEX($E$3:$E$52,_xlfn.AGGREGATE(15,6,(ROW($P$3:$P$52)-ROW($P$3)+1)/($P$3:$P$52=1),11))="",INDEX($G$3:$G$52,_xlfn.AGGREGATE(15,6,(ROW($P$3:$P$52)-ROW($P$3)+1)/($P$3:$P$52=1),11))&lt;&gt;""),INDEX($G$3:$G$52,_xlfn.AGGREGATE(15,6,(ROW($P$3:$P$52)-ROW($P$3)+1)/($P$3:$P$52=1),11)),""),"")</f>
        <v>2.2.2  NATO and foreign nationals are SECURED</v>
      </c>
      <c r="P13" s="56">
        <f>IF(AND(A13&lt;&gt;"",C13&lt;&gt;""),1,0)</f>
        <v>1</v>
      </c>
    </row>
    <row r="14" spans="1:16" ht="39.75" customHeight="1">
      <c r="A14" s="97"/>
      <c r="B14" s="57"/>
      <c r="C14" s="97"/>
      <c r="D14" s="68"/>
      <c r="E14" s="69" t="str">
        <f>IFERROR("2.1  "&amp;VLOOKUP("2.1",'Master Factors'!$G$5:$H$54,2,0),"2.1")</f>
        <v>2.1  NATO CIVPOP disposition UNDERSTOOD</v>
      </c>
      <c r="F14" s="68"/>
      <c r="G14" s="68"/>
      <c r="H14" s="50"/>
      <c r="I14" s="65" t="str">
        <f t="array" ref="I14">IFERROR(IF(INDEX($A$3:$A$52,_xlfn.AGGREGATE(15,6,(ROW($P$3:$P$52)-ROW($P$3)+1)/($P$3:$P$52=1),12))&lt;&gt;"",INDEX($A$3:$A$52,_xlfn.AGGREGATE(15,6,(ROW($P$3:$P$52)-ROW($P$3)+1)/($P$3:$P$52=1),12)),IF(INDEX($E$3:$E$52,_xlfn.AGGREGATE(15,6,(ROW($P$3:$P$52)-ROW($P$3)+1)/($P$3:$P$52=1),12))&lt;&gt;"",LEFT(INDEX($E$3:$E$52,_xlfn.AGGREGATE(15,6,(ROW($P$3:$P$52)-ROW($P$3)+1)/($P$3:$P$52=1),12)),FIND("  ",INDEX($E$3:$E$52,_xlfn.AGGREGATE(15,6,(ROW($P$3:$P$52)-ROW($P$3)+1)/($P$3:$P$52=1),12))&amp;"  ")-1),LEFT(INDEX($G$3:$G$52,_xlfn.AGGREGATE(15,6,(ROW($P$3:$P$52)-ROW($P$3)+1)/($P$3:$P$52=1),12)),FIND("  ",INDEX($G$3:$G$52,_xlfn.AGGREGATE(15,6,(ROW($P$3:$P$52)-ROW($P$3)+1)/($P$3:$P$52=1),12))&amp;"  ")-1))),"")</f>
        <v>3</v>
      </c>
      <c r="J14" s="66"/>
      <c r="K14" s="65" t="str">
        <f t="array" ref="K14">IFERROR(IF(INDEX($A$3:$A$52,_xlfn.AGGREGATE(15,6,(ROW($P$3:$P$52)-ROW($P$3)+1)/($P$3:$P$52=1),12))&lt;&gt;"",INDEX($C$3:$C$52,_xlfn.AGGREGATE(15,6,(ROW($P$3:$P$52)-ROW($P$3)+1)/($P$3:$P$52=1),12)),""),"")</f>
        <v>RESTORE GoIND territorial integrity in SUMATRA</v>
      </c>
      <c r="L14" s="66"/>
      <c r="M14" s="65" t="str">
        <f t="array" ref="M14">IFERROR(IF(AND(INDEX($A$3:$A$52,_xlfn.AGGREGATE(15,6,(ROW($P$3:$P$52)-ROW($P$3)+1)/($P$3:$P$52=1),12))="",INDEX($E$3:$E$52,_xlfn.AGGREGATE(15,6,(ROW($P$3:$P$52)-ROW($P$3)+1)/($P$3:$P$52=1),12))&lt;&gt;""),INDEX($E$3:$E$52,_xlfn.AGGREGATE(15,6,(ROW($P$3:$P$52)-ROW($P$3)+1)/($P$3:$P$52=1),12)),""),"")</f>
        <v/>
      </c>
      <c r="N14" s="66"/>
      <c r="O14" s="65" t="str">
        <f t="array" ref="O14">IFERROR(IF(AND(INDEX($A$3:$A$52,_xlfn.AGGREGATE(15,6,(ROW($P$3:$P$52)-ROW($P$3)+1)/($P$3:$P$52=1),12))="",INDEX($E$3:$E$52,_xlfn.AGGREGATE(15,6,(ROW($P$3:$P$52)-ROW($P$3)+1)/($P$3:$P$52=1),12))="",INDEX($G$3:$G$52,_xlfn.AGGREGATE(15,6,(ROW($P$3:$P$52)-ROW($P$3)+1)/($P$3:$P$52=1),12))&lt;&gt;""),INDEX($G$3:$G$52,_xlfn.AGGREGATE(15,6,(ROW($P$3:$P$52)-ROW($P$3)+1)/($P$3:$P$52=1),12)),""),"")</f>
        <v/>
      </c>
      <c r="P14" s="56">
        <f>IF(AND(E14&lt;&gt;"",LEN(TRIM(E14))&gt;5),1,0)</f>
        <v>1</v>
      </c>
    </row>
    <row r="15" spans="1:16" ht="39.75" customHeight="1">
      <c r="A15" s="97"/>
      <c r="B15" s="62"/>
      <c r="C15" s="97"/>
      <c r="D15" s="70"/>
      <c r="E15" s="70"/>
      <c r="F15" s="70"/>
      <c r="G15" s="71" t="str">
        <f>IFERROR("2.1.1  "&amp;VLOOKUP("2.1.1",'Master Factors'!$N$5:$O$54,2,0),"2.1.1")</f>
        <v>2.1.1</v>
      </c>
      <c r="H15" s="50"/>
      <c r="I15" s="54" t="str">
        <f t="array" ref="I15">IFERROR(IF(INDEX($A$3:$A$52,_xlfn.AGGREGATE(15,6,(ROW($P$3:$P$52)-ROW($P$3)+1)/($P$3:$P$52=1),13))&lt;&gt;"",INDEX($A$3:$A$52,_xlfn.AGGREGATE(15,6,(ROW($P$3:$P$52)-ROW($P$3)+1)/($P$3:$P$52=1),13)),IF(INDEX($E$3:$E$52,_xlfn.AGGREGATE(15,6,(ROW($P$3:$P$52)-ROW($P$3)+1)/($P$3:$P$52=1),13))&lt;&gt;"",LEFT(INDEX($E$3:$E$52,_xlfn.AGGREGATE(15,6,(ROW($P$3:$P$52)-ROW($P$3)+1)/($P$3:$P$52=1),13)),FIND("  ",INDEX($E$3:$E$52,_xlfn.AGGREGATE(15,6,(ROW($P$3:$P$52)-ROW($P$3)+1)/($P$3:$P$52=1),13))&amp;"  ")-1),LEFT(INDEX($G$3:$G$52,_xlfn.AGGREGATE(15,6,(ROW($P$3:$P$52)-ROW($P$3)+1)/($P$3:$P$52=1),13)),FIND("  ",INDEX($G$3:$G$52,_xlfn.AGGREGATE(15,6,(ROW($P$3:$P$52)-ROW($P$3)+1)/($P$3:$P$52=1),13))&amp;"  ")-1))),"")</f>
        <v>3.1</v>
      </c>
      <c r="J15" s="55"/>
      <c r="K15" s="54" t="str">
        <f t="array" ref="K15">IFERROR(IF(INDEX($A$3:$A$52,_xlfn.AGGREGATE(15,6,(ROW($P$3:$P$52)-ROW($P$3)+1)/($P$3:$P$52=1),13))&lt;&gt;"",INDEX($C$3:$C$52,_xlfn.AGGREGATE(15,6,(ROW($P$3:$P$52)-ROW($P$3)+1)/($P$3:$P$52=1),13)),""),"")</f>
        <v/>
      </c>
      <c r="L15" s="55"/>
      <c r="M15" s="54" t="str">
        <f t="array" ref="M15">IFERROR(IF(AND(INDEX($A$3:$A$52,_xlfn.AGGREGATE(15,6,(ROW($P$3:$P$52)-ROW($P$3)+1)/($P$3:$P$52=1),13))="",INDEX($E$3:$E$52,_xlfn.AGGREGATE(15,6,(ROW($P$3:$P$52)-ROW($P$3)+1)/($P$3:$P$52=1),13))&lt;&gt;""),INDEX($E$3:$E$52,_xlfn.AGGREGATE(15,6,(ROW($P$3:$P$52)-ROW($P$3)+1)/($P$3:$P$52=1),13)),""),"")</f>
        <v>3.1  IRS cohesion and ISOLATE MEDAN-BELAWAN DISCREDITED</v>
      </c>
      <c r="N15" s="55"/>
      <c r="O15" s="54" t="str">
        <f t="array" ref="O15">IFERROR(IF(AND(INDEX($A$3:$A$52,_xlfn.AGGREGATE(15,6,(ROW($P$3:$P$52)-ROW($P$3)+1)/($P$3:$P$52=1),13))="",INDEX($E$3:$E$52,_xlfn.AGGREGATE(15,6,(ROW($P$3:$P$52)-ROW($P$3)+1)/($P$3:$P$52=1),13))="",INDEX($G$3:$G$52,_xlfn.AGGREGATE(15,6,(ROW($P$3:$P$52)-ROW($P$3)+1)/($P$3:$P$52=1),13))&lt;&gt;""),INDEX($G$3:$G$52,_xlfn.AGGREGATE(15,6,(ROW($P$3:$P$52)-ROW($P$3)+1)/($P$3:$P$52=1),13)),""),"")</f>
        <v/>
      </c>
      <c r="P15" s="56">
        <f>IF(AND(G15&lt;&gt;"",LEN(TRIM(G15))&gt;7),1,0)</f>
        <v>0</v>
      </c>
    </row>
    <row r="16" spans="1:16" ht="39.75" customHeight="1">
      <c r="A16" s="97"/>
      <c r="B16" s="62"/>
      <c r="C16" s="97"/>
      <c r="D16" s="70"/>
      <c r="E16" s="70"/>
      <c r="F16" s="70"/>
      <c r="G16" s="71" t="str">
        <f>IFERROR("2.1.2  "&amp;VLOOKUP("2.1.2",'Master Factors'!$N$5:$O$54,2,0),"2.1.2")</f>
        <v>2.1.2</v>
      </c>
      <c r="H16" s="50"/>
      <c r="I16" s="60" t="str">
        <f t="array" ref="I16">IFERROR(IF(INDEX($A$3:$A$52,_xlfn.AGGREGATE(15,6,(ROW($P$3:$P$52)-ROW($P$3)+1)/($P$3:$P$52=1),14))&lt;&gt;"",INDEX($A$3:$A$52,_xlfn.AGGREGATE(15,6,(ROW($P$3:$P$52)-ROW($P$3)+1)/($P$3:$P$52=1),14)),IF(INDEX($E$3:$E$52,_xlfn.AGGREGATE(15,6,(ROW($P$3:$P$52)-ROW($P$3)+1)/($P$3:$P$52=1),14))&lt;&gt;"",LEFT(INDEX($E$3:$E$52,_xlfn.AGGREGATE(15,6,(ROW($P$3:$P$52)-ROW($P$3)+1)/($P$3:$P$52=1),14)),FIND("  ",INDEX($E$3:$E$52,_xlfn.AGGREGATE(15,6,(ROW($P$3:$P$52)-ROW($P$3)+1)/($P$3:$P$52=1),14))&amp;"  ")-1),LEFT(INDEX($G$3:$G$52,_xlfn.AGGREGATE(15,6,(ROW($P$3:$P$52)-ROW($P$3)+1)/($P$3:$P$52=1),14)),FIND("  ",INDEX($G$3:$G$52,_xlfn.AGGREGATE(15,6,(ROW($P$3:$P$52)-ROW($P$3)+1)/($P$3:$P$52=1),14))&amp;"  ")-1))),"")</f>
        <v>3.1.1</v>
      </c>
      <c r="J16" s="61"/>
      <c r="K16" s="60" t="str">
        <f t="array" ref="K16">IFERROR(IF(INDEX($A$3:$A$52,_xlfn.AGGREGATE(15,6,(ROW($P$3:$P$52)-ROW($P$3)+1)/($P$3:$P$52=1),14))&lt;&gt;"",INDEX($C$3:$C$52,_xlfn.AGGREGATE(15,6,(ROW($P$3:$P$52)-ROW($P$3)+1)/($P$3:$P$52=1),14)),""),"")</f>
        <v/>
      </c>
      <c r="L16" s="61"/>
      <c r="M16" s="60" t="str">
        <f t="array" ref="M16">IFERROR(IF(AND(INDEX($A$3:$A$52,_xlfn.AGGREGATE(15,6,(ROW($P$3:$P$52)-ROW($P$3)+1)/($P$3:$P$52=1),14))="",INDEX($E$3:$E$52,_xlfn.AGGREGATE(15,6,(ROW($P$3:$P$52)-ROW($P$3)+1)/($P$3:$P$52=1),14))&lt;&gt;""),INDEX($E$3:$E$52,_xlfn.AGGREGATE(15,6,(ROW($P$3:$P$52)-ROW($P$3)+1)/($P$3:$P$52=1),14)),""),"")</f>
        <v/>
      </c>
      <c r="N16" s="61"/>
      <c r="O16" s="60" t="str">
        <f t="array" ref="O16">IFERROR(IF(AND(INDEX($A$3:$A$52,_xlfn.AGGREGATE(15,6,(ROW($P$3:$P$52)-ROW($P$3)+1)/($P$3:$P$52=1),14))="",INDEX($E$3:$E$52,_xlfn.AGGREGATE(15,6,(ROW($P$3:$P$52)-ROW($P$3)+1)/($P$3:$P$52=1),14))="",INDEX($G$3:$G$52,_xlfn.AGGREGATE(15,6,(ROW($P$3:$P$52)-ROW($P$3)+1)/($P$3:$P$52=1),14))&lt;&gt;""),INDEX($G$3:$G$52,_xlfn.AGGREGATE(15,6,(ROW($P$3:$P$52)-ROW($P$3)+1)/($P$3:$P$52=1),14)),""),"")</f>
        <v>3.1.1  HASAN is DISCREDITED</v>
      </c>
      <c r="P16" s="56">
        <f>IF(AND(G16&lt;&gt;"",LEN(TRIM(G16))&gt;7),1,0)</f>
        <v>0</v>
      </c>
    </row>
    <row r="17" spans="1:16" ht="39.75" customHeight="1">
      <c r="A17" s="97"/>
      <c r="B17" s="57"/>
      <c r="C17" s="97"/>
      <c r="D17" s="68"/>
      <c r="E17" s="69" t="str">
        <f>IFERROR("2.2  "&amp;VLOOKUP("2.2",'Master Factors'!$G$5:$H$54,2,0),"2.2")</f>
        <v>2.2  Adversary influence on NATO CIVPOP DENIED</v>
      </c>
      <c r="F17" s="68"/>
      <c r="G17" s="68"/>
      <c r="H17" s="50"/>
      <c r="I17" s="65" t="str">
        <f t="array" ref="I17">IFERROR(IF(INDEX($A$3:$A$52,_xlfn.AGGREGATE(15,6,(ROW($P$3:$P$52)-ROW($P$3)+1)/($P$3:$P$52=1),15))&lt;&gt;"",INDEX($A$3:$A$52,_xlfn.AGGREGATE(15,6,(ROW($P$3:$P$52)-ROW($P$3)+1)/($P$3:$P$52=1),15)),IF(INDEX($E$3:$E$52,_xlfn.AGGREGATE(15,6,(ROW($P$3:$P$52)-ROW($P$3)+1)/($P$3:$P$52=1),15))&lt;&gt;"",LEFT(INDEX($E$3:$E$52,_xlfn.AGGREGATE(15,6,(ROW($P$3:$P$52)-ROW($P$3)+1)/($P$3:$P$52=1),15)),FIND("  ",INDEX($E$3:$E$52,_xlfn.AGGREGATE(15,6,(ROW($P$3:$P$52)-ROW($P$3)+1)/($P$3:$P$52=1),15))&amp;"  ")-1),LEFT(INDEX($G$3:$G$52,_xlfn.AGGREGATE(15,6,(ROW($P$3:$P$52)-ROW($P$3)+1)/($P$3:$P$52=1),15)),FIND("  ",INDEX($G$3:$G$52,_xlfn.AGGREGATE(15,6,(ROW($P$3:$P$52)-ROW($P$3)+1)/($P$3:$P$52=1),15))&amp;"  ")-1))),"")</f>
        <v>3.1.2</v>
      </c>
      <c r="J17" s="66"/>
      <c r="K17" s="65" t="str">
        <f t="array" ref="K17">IFERROR(IF(INDEX($A$3:$A$52,_xlfn.AGGREGATE(15,6,(ROW($P$3:$P$52)-ROW($P$3)+1)/($P$3:$P$52=1),15))&lt;&gt;"",INDEX($C$3:$C$52,_xlfn.AGGREGATE(15,6,(ROW($P$3:$P$52)-ROW($P$3)+1)/($P$3:$P$52=1),15)),""),"")</f>
        <v/>
      </c>
      <c r="L17" s="66"/>
      <c r="M17" s="65" t="str">
        <f t="array" ref="M17">IFERROR(IF(AND(INDEX($A$3:$A$52,_xlfn.AGGREGATE(15,6,(ROW($P$3:$P$52)-ROW($P$3)+1)/($P$3:$P$52=1),15))="",INDEX($E$3:$E$52,_xlfn.AGGREGATE(15,6,(ROW($P$3:$P$52)-ROW($P$3)+1)/($P$3:$P$52=1),15))&lt;&gt;""),INDEX($E$3:$E$52,_xlfn.AGGREGATE(15,6,(ROW($P$3:$P$52)-ROW($P$3)+1)/($P$3:$P$52=1),15)),""),"")</f>
        <v/>
      </c>
      <c r="N17" s="66"/>
      <c r="O17" s="65" t="str">
        <f t="array" ref="O17">IFERROR(IF(AND(INDEX($A$3:$A$52,_xlfn.AGGREGATE(15,6,(ROW($P$3:$P$52)-ROW($P$3)+1)/($P$3:$P$52=1),15))="",INDEX($E$3:$E$52,_xlfn.AGGREGATE(15,6,(ROW($P$3:$P$52)-ROW($P$3)+1)/($P$3:$P$52=1),15))="",INDEX($G$3:$G$52,_xlfn.AGGREGATE(15,6,(ROW($P$3:$P$52)-ROW($P$3)+1)/($P$3:$P$52=1),15))&lt;&gt;""),INDEX($G$3:$G$52,_xlfn.AGGREGATE(15,6,(ROW($P$3:$P$52)-ROW($P$3)+1)/($P$3:$P$52=1),15)),""),"")</f>
        <v>3.1.2  MEDAN-BELAWAN ports ISOLATED</v>
      </c>
      <c r="P17" s="56">
        <f>IF(AND(E17&lt;&gt;"",LEN(TRIM(E17))&gt;5),1,0)</f>
        <v>1</v>
      </c>
    </row>
    <row r="18" spans="1:16" ht="39.75" customHeight="1">
      <c r="A18" s="97"/>
      <c r="B18" s="62"/>
      <c r="C18" s="97"/>
      <c r="D18" s="70"/>
      <c r="E18" s="70"/>
      <c r="F18" s="70"/>
      <c r="G18" s="71" t="str">
        <f>IFERROR("2.2.1  "&amp;VLOOKUP("2.2.1",'Master Factors'!$N$5:$O$54,2,0),"2.2.1")</f>
        <v>2.2.1  NEO force GUARDED</v>
      </c>
      <c r="H18" s="50"/>
      <c r="I18" s="54" t="str">
        <f t="array" ref="I18">IFERROR(IF(INDEX($A$3:$A$52,_xlfn.AGGREGATE(15,6,(ROW($P$3:$P$52)-ROW($P$3)+1)/($P$3:$P$52=1),16))&lt;&gt;"",INDEX($A$3:$A$52,_xlfn.AGGREGATE(15,6,(ROW($P$3:$P$52)-ROW($P$3)+1)/($P$3:$P$52=1),16)),IF(INDEX($E$3:$E$52,_xlfn.AGGREGATE(15,6,(ROW($P$3:$P$52)-ROW($P$3)+1)/($P$3:$P$52=1),16))&lt;&gt;"",LEFT(INDEX($E$3:$E$52,_xlfn.AGGREGATE(15,6,(ROW($P$3:$P$52)-ROW($P$3)+1)/($P$3:$P$52=1),16)),FIND("  ",INDEX($E$3:$E$52,_xlfn.AGGREGATE(15,6,(ROW($P$3:$P$52)-ROW($P$3)+1)/($P$3:$P$52=1),16))&amp;"  ")-1),LEFT(INDEX($G$3:$G$52,_xlfn.AGGREGATE(15,6,(ROW($P$3:$P$52)-ROW($P$3)+1)/($P$3:$P$52=1),16)),FIND("  ",INDEX($G$3:$G$52,_xlfn.AGGREGATE(15,6,(ROW($P$3:$P$52)-ROW($P$3)+1)/($P$3:$P$52=1),16))&amp;"  ")-1))),"")</f>
        <v>3.2</v>
      </c>
      <c r="J18" s="55"/>
      <c r="K18" s="54" t="str">
        <f t="array" ref="K18">IFERROR(IF(INDEX($A$3:$A$52,_xlfn.AGGREGATE(15,6,(ROW($P$3:$P$52)-ROW($P$3)+1)/($P$3:$P$52=1),16))&lt;&gt;"",INDEX($C$3:$C$52,_xlfn.AGGREGATE(15,6,(ROW($P$3:$P$52)-ROW($P$3)+1)/($P$3:$P$52=1),16)),""),"")</f>
        <v/>
      </c>
      <c r="L18" s="55"/>
      <c r="M18" s="54" t="str">
        <f t="array" ref="M18">IFERROR(IF(AND(INDEX($A$3:$A$52,_xlfn.AGGREGATE(15,6,(ROW($P$3:$P$52)-ROW($P$3)+1)/($P$3:$P$52=1),16))="",INDEX($E$3:$E$52,_xlfn.AGGREGATE(15,6,(ROW($P$3:$P$52)-ROW($P$3)+1)/($P$3:$P$52=1),16))&lt;&gt;""),INDEX($E$3:$E$52,_xlfn.AGGREGATE(15,6,(ROW($P$3:$P$52)-ROW($P$3)+1)/($P$3:$P$52=1),16)),""),"")</f>
        <v>3.2  GoIND SECURING of SUMATRA SUPPORTED</v>
      </c>
      <c r="N18" s="55"/>
      <c r="O18" s="54" t="str">
        <f t="array" ref="O18">IFERROR(IF(AND(INDEX($A$3:$A$52,_xlfn.AGGREGATE(15,6,(ROW($P$3:$P$52)-ROW($P$3)+1)/($P$3:$P$52=1),16))="",INDEX($E$3:$E$52,_xlfn.AGGREGATE(15,6,(ROW($P$3:$P$52)-ROW($P$3)+1)/($P$3:$P$52=1),16))="",INDEX($G$3:$G$52,_xlfn.AGGREGATE(15,6,(ROW($P$3:$P$52)-ROW($P$3)+1)/($P$3:$P$52=1),16))&lt;&gt;""),INDEX($G$3:$G$52,_xlfn.AGGREGATE(15,6,(ROW($P$3:$P$52)-ROW($P$3)+1)/($P$3:$P$52=1),16)),""),"")</f>
        <v/>
      </c>
      <c r="P18" s="56">
        <f>IF(AND(G18&lt;&gt;"",LEN(TRIM(G18))&gt;7),1,0)</f>
        <v>1</v>
      </c>
    </row>
    <row r="19" spans="1:16" ht="39.75" customHeight="1">
      <c r="A19" s="97"/>
      <c r="B19" s="62"/>
      <c r="C19" s="97"/>
      <c r="D19" s="70"/>
      <c r="E19" s="70"/>
      <c r="F19" s="70"/>
      <c r="G19" s="71" t="str">
        <f>IFERROR("2.2.2  "&amp;VLOOKUP("2.2.2",'Master Factors'!$N$5:$O$54,2,0),"2.2.2")</f>
        <v>2.2.2  NATO and foreign nationals are SECURED</v>
      </c>
      <c r="H19" s="50"/>
      <c r="I19" s="60" t="str">
        <f t="array" ref="I19">IFERROR(IF(INDEX($A$3:$A$52,_xlfn.AGGREGATE(15,6,(ROW($P$3:$P$52)-ROW($P$3)+1)/($P$3:$P$52=1),17))&lt;&gt;"",INDEX($A$3:$A$52,_xlfn.AGGREGATE(15,6,(ROW($P$3:$P$52)-ROW($P$3)+1)/($P$3:$P$52=1),17)),IF(INDEX($E$3:$E$52,_xlfn.AGGREGATE(15,6,(ROW($P$3:$P$52)-ROW($P$3)+1)/($P$3:$P$52=1),17))&lt;&gt;"",LEFT(INDEX($E$3:$E$52,_xlfn.AGGREGATE(15,6,(ROW($P$3:$P$52)-ROW($P$3)+1)/($P$3:$P$52=1),17)),FIND("  ",INDEX($E$3:$E$52,_xlfn.AGGREGATE(15,6,(ROW($P$3:$P$52)-ROW($P$3)+1)/($P$3:$P$52=1),17))&amp;"  ")-1),LEFT(INDEX($G$3:$G$52,_xlfn.AGGREGATE(15,6,(ROW($P$3:$P$52)-ROW($P$3)+1)/($P$3:$P$52=1),17)),FIND("  ",INDEX($G$3:$G$52,_xlfn.AGGREGATE(15,6,(ROW($P$3:$P$52)-ROW($P$3)+1)/($P$3:$P$52=1),17))&amp;"  ")-1))),"")</f>
        <v>3.2.1</v>
      </c>
      <c r="J19" s="61"/>
      <c r="K19" s="60" t="str">
        <f t="array" ref="K19">IFERROR(IF(INDEX($A$3:$A$52,_xlfn.AGGREGATE(15,6,(ROW($P$3:$P$52)-ROW($P$3)+1)/($P$3:$P$52=1),17))&lt;&gt;"",INDEX($C$3:$C$52,_xlfn.AGGREGATE(15,6,(ROW($P$3:$P$52)-ROW($P$3)+1)/($P$3:$P$52=1),17)),""),"")</f>
        <v/>
      </c>
      <c r="L19" s="61"/>
      <c r="M19" s="60" t="str">
        <f t="array" ref="M19">IFERROR(IF(AND(INDEX($A$3:$A$52,_xlfn.AGGREGATE(15,6,(ROW($P$3:$P$52)-ROW($P$3)+1)/($P$3:$P$52=1),17))="",INDEX($E$3:$E$52,_xlfn.AGGREGATE(15,6,(ROW($P$3:$P$52)-ROW($P$3)+1)/($P$3:$P$52=1),17))&lt;&gt;""),INDEX($E$3:$E$52,_xlfn.AGGREGATE(15,6,(ROW($P$3:$P$52)-ROW($P$3)+1)/($P$3:$P$52=1),17)),""),"")</f>
        <v/>
      </c>
      <c r="N19" s="61"/>
      <c r="O19" s="60" t="str">
        <f t="array" ref="O19">IFERROR(IF(AND(INDEX($A$3:$A$52,_xlfn.AGGREGATE(15,6,(ROW($P$3:$P$52)-ROW($P$3)+1)/($P$3:$P$52=1),17))="",INDEX($E$3:$E$52,_xlfn.AGGREGATE(15,6,(ROW($P$3:$P$52)-ROW($P$3)+1)/($P$3:$P$52=1),17))="",INDEX($G$3:$G$52,_xlfn.AGGREGATE(15,6,(ROW($P$3:$P$52)-ROW($P$3)+1)/($P$3:$P$52=1),17))&lt;&gt;""),INDEX($G$3:$G$52,_xlfn.AGGREGATE(15,6,(ROW($P$3:$P$52)-ROW($P$3)+1)/($P$3:$P$52=1),17)),""),"")</f>
        <v>3.2.1  RSOI areas are SECURED</v>
      </c>
      <c r="P19" s="56">
        <f>IF(AND(G19&lt;&gt;"",LEN(TRIM(G19))&gt;7),1,0)</f>
        <v>1</v>
      </c>
    </row>
    <row r="20" spans="1:16" ht="39.75" customHeight="1">
      <c r="A20" s="97"/>
      <c r="B20" s="57"/>
      <c r="C20" s="97"/>
      <c r="D20" s="68"/>
      <c r="E20" s="69" t="str">
        <f>IFERROR("2.3  "&amp;VLOOKUP("2.3",'Master Factors'!$G$5:$H$54,2,0),"2.3")</f>
        <v>2.3</v>
      </c>
      <c r="F20" s="68"/>
      <c r="G20" s="68"/>
      <c r="H20" s="50"/>
      <c r="I20" s="65" t="str">
        <f t="array" ref="I20">IFERROR(IF(INDEX($A$3:$A$52,_xlfn.AGGREGATE(15,6,(ROW($P$3:$P$52)-ROW($P$3)+1)/($P$3:$P$52=1),18))&lt;&gt;"",INDEX($A$3:$A$52,_xlfn.AGGREGATE(15,6,(ROW($P$3:$P$52)-ROW($P$3)+1)/($P$3:$P$52=1),18)),IF(INDEX($E$3:$E$52,_xlfn.AGGREGATE(15,6,(ROW($P$3:$P$52)-ROW($P$3)+1)/($P$3:$P$52=1),18))&lt;&gt;"",LEFT(INDEX($E$3:$E$52,_xlfn.AGGREGATE(15,6,(ROW($P$3:$P$52)-ROW($P$3)+1)/($P$3:$P$52=1),18)),FIND("  ",INDEX($E$3:$E$52,_xlfn.AGGREGATE(15,6,(ROW($P$3:$P$52)-ROW($P$3)+1)/($P$3:$P$52=1),18))&amp;"  ")-1),LEFT(INDEX($G$3:$G$52,_xlfn.AGGREGATE(15,6,(ROW($P$3:$P$52)-ROW($P$3)+1)/($P$3:$P$52=1),18)),FIND("  ",INDEX($G$3:$G$52,_xlfn.AGGREGATE(15,6,(ROW($P$3:$P$52)-ROW($P$3)+1)/($P$3:$P$52=1),18))&amp;"  ")-1))),"")</f>
        <v>3.2.2</v>
      </c>
      <c r="J20" s="66"/>
      <c r="K20" s="65" t="str">
        <f t="array" ref="K20">IFERROR(IF(INDEX($A$3:$A$52,_xlfn.AGGREGATE(15,6,(ROW($P$3:$P$52)-ROW($P$3)+1)/($P$3:$P$52=1),18))&lt;&gt;"",INDEX($C$3:$C$52,_xlfn.AGGREGATE(15,6,(ROW($P$3:$P$52)-ROW($P$3)+1)/($P$3:$P$52=1),18)),""),"")</f>
        <v/>
      </c>
      <c r="L20" s="66"/>
      <c r="M20" s="65" t="str">
        <f t="array" ref="M20">IFERROR(IF(AND(INDEX($A$3:$A$52,_xlfn.AGGREGATE(15,6,(ROW($P$3:$P$52)-ROW($P$3)+1)/($P$3:$P$52=1),18))="",INDEX($E$3:$E$52,_xlfn.AGGREGATE(15,6,(ROW($P$3:$P$52)-ROW($P$3)+1)/($P$3:$P$52=1),18))&lt;&gt;""),INDEX($E$3:$E$52,_xlfn.AGGREGATE(15,6,(ROW($P$3:$P$52)-ROW($P$3)+1)/($P$3:$P$52=1),18)),""),"")</f>
        <v/>
      </c>
      <c r="N20" s="66"/>
      <c r="O20" s="65" t="str">
        <f t="array" ref="O20">IFERROR(IF(AND(INDEX($A$3:$A$52,_xlfn.AGGREGATE(15,6,(ROW($P$3:$P$52)-ROW($P$3)+1)/($P$3:$P$52=1),18))="",INDEX($E$3:$E$52,_xlfn.AGGREGATE(15,6,(ROW($P$3:$P$52)-ROW($P$3)+1)/($P$3:$P$52=1),18))="",INDEX($G$3:$G$52,_xlfn.AGGREGATE(15,6,(ROW($P$3:$P$52)-ROW($P$3)+1)/($P$3:$P$52=1),18))&lt;&gt;""),INDEX($G$3:$G$52,_xlfn.AGGREGATE(15,6,(ROW($P$3:$P$52)-ROW($P$3)+1)/($P$3:$P$52=1),18)),""),"")</f>
        <v>3.2.2  Priority governance / infrastructure nodes SECURED</v>
      </c>
      <c r="P20" s="56">
        <f>IF(AND(E20&lt;&gt;"",LEN(TRIM(E20))&gt;5),1,0)</f>
        <v>0</v>
      </c>
    </row>
    <row r="21" spans="1:16" ht="39.75" customHeight="1">
      <c r="A21" s="97"/>
      <c r="B21" s="62"/>
      <c r="C21" s="97"/>
      <c r="D21" s="70"/>
      <c r="E21" s="70"/>
      <c r="F21" s="70"/>
      <c r="G21" s="71" t="str">
        <f>IFERROR("2.3.1  "&amp;VLOOKUP("2.3.1",'Master Factors'!$N$5:$O$54,2,0),"2.3.1")</f>
        <v>2.3.1</v>
      </c>
      <c r="H21" s="50"/>
      <c r="I21" s="54" t="str">
        <f t="array" ref="I21">IFERROR(IF(INDEX($A$3:$A$52,_xlfn.AGGREGATE(15,6,(ROW($P$3:$P$52)-ROW($P$3)+1)/($P$3:$P$52=1),19))&lt;&gt;"",INDEX($A$3:$A$52,_xlfn.AGGREGATE(15,6,(ROW($P$3:$P$52)-ROW($P$3)+1)/($P$3:$P$52=1),19)),IF(INDEX($E$3:$E$52,_xlfn.AGGREGATE(15,6,(ROW($P$3:$P$52)-ROW($P$3)+1)/($P$3:$P$52=1),19))&lt;&gt;"",LEFT(INDEX($E$3:$E$52,_xlfn.AGGREGATE(15,6,(ROW($P$3:$P$52)-ROW($P$3)+1)/($P$3:$P$52=1),19)),FIND("  ",INDEX($E$3:$E$52,_xlfn.AGGREGATE(15,6,(ROW($P$3:$P$52)-ROW($P$3)+1)/($P$3:$P$52=1),19))&amp;"  ")-1),LEFT(INDEX($G$3:$G$52,_xlfn.AGGREGATE(15,6,(ROW($P$3:$P$52)-ROW($P$3)+1)/($P$3:$P$52=1),19)),FIND("  ",INDEX($G$3:$G$52,_xlfn.AGGREGATE(15,6,(ROW($P$3:$P$52)-ROW($P$3)+1)/($P$3:$P$52=1),19))&amp;"  ")-1))),"")</f>
        <v>3.3</v>
      </c>
      <c r="J21" s="55"/>
      <c r="K21" s="54" t="str">
        <f t="array" ref="K21">IFERROR(IF(INDEX($A$3:$A$52,_xlfn.AGGREGATE(15,6,(ROW($P$3:$P$52)-ROW($P$3)+1)/($P$3:$P$52=1),19))&lt;&gt;"",INDEX($C$3:$C$52,_xlfn.AGGREGATE(15,6,(ROW($P$3:$P$52)-ROW($P$3)+1)/($P$3:$P$52=1),19)),""),"")</f>
        <v/>
      </c>
      <c r="L21" s="55"/>
      <c r="M21" s="54" t="str">
        <f t="array" ref="M21">IFERROR(IF(AND(INDEX($A$3:$A$52,_xlfn.AGGREGATE(15,6,(ROW($P$3:$P$52)-ROW($P$3)+1)/($P$3:$P$52=1),19))="",INDEX($E$3:$E$52,_xlfn.AGGREGATE(15,6,(ROW($P$3:$P$52)-ROW($P$3)+1)/($P$3:$P$52=1),19))&lt;&gt;""),INDEX($E$3:$E$52,_xlfn.AGGREGATE(15,6,(ROW($P$3:$P$52)-ROW($P$3)+1)/($P$3:$P$52=1),19)),""),"")</f>
        <v>3.3  Key locations in SUMATRA SECURED</v>
      </c>
      <c r="N21" s="55"/>
      <c r="O21" s="54" t="str">
        <f t="array" ref="O21">IFERROR(IF(AND(INDEX($A$3:$A$52,_xlfn.AGGREGATE(15,6,(ROW($P$3:$P$52)-ROW($P$3)+1)/($P$3:$P$52=1),19))="",INDEX($E$3:$E$52,_xlfn.AGGREGATE(15,6,(ROW($P$3:$P$52)-ROW($P$3)+1)/($P$3:$P$52=1),19))="",INDEX($G$3:$G$52,_xlfn.AGGREGATE(15,6,(ROW($P$3:$P$52)-ROW($P$3)+1)/($P$3:$P$52=1),19))&lt;&gt;""),INDEX($G$3:$G$52,_xlfn.AGGREGATE(15,6,(ROW($P$3:$P$52)-ROW($P$3)+1)/($P$3:$P$52=1),19)),""),"")</f>
        <v/>
      </c>
      <c r="P21" s="56">
        <f>IF(AND(G21&lt;&gt;"",LEN(TRIM(G21))&gt;7),1,0)</f>
        <v>0</v>
      </c>
    </row>
    <row r="22" spans="1:16" ht="39.75" customHeight="1">
      <c r="A22" s="98"/>
      <c r="B22" s="62"/>
      <c r="C22" s="98"/>
      <c r="D22" s="70"/>
      <c r="E22" s="70"/>
      <c r="F22" s="70"/>
      <c r="G22" s="71" t="str">
        <f>IFERROR("2.3.2  "&amp;VLOOKUP("2.3.2",'Master Factors'!$N$5:$O$54,2,0),"2.3.2")</f>
        <v>2.3.2</v>
      </c>
      <c r="H22" s="50"/>
      <c r="I22" s="60" t="str">
        <f t="array" ref="I22">IFERROR(IF(INDEX($A$3:$A$52,_xlfn.AGGREGATE(15,6,(ROW($P$3:$P$52)-ROW($P$3)+1)/($P$3:$P$52=1),20))&lt;&gt;"",INDEX($A$3:$A$52,_xlfn.AGGREGATE(15,6,(ROW($P$3:$P$52)-ROW($P$3)+1)/($P$3:$P$52=1),20)),IF(INDEX($E$3:$E$52,_xlfn.AGGREGATE(15,6,(ROW($P$3:$P$52)-ROW($P$3)+1)/($P$3:$P$52=1),20))&lt;&gt;"",LEFT(INDEX($E$3:$E$52,_xlfn.AGGREGATE(15,6,(ROW($P$3:$P$52)-ROW($P$3)+1)/($P$3:$P$52=1),20)),FIND("  ",INDEX($E$3:$E$52,_xlfn.AGGREGATE(15,6,(ROW($P$3:$P$52)-ROW($P$3)+1)/($P$3:$P$52=1),20))&amp;"  ")-1),LEFT(INDEX($G$3:$G$52,_xlfn.AGGREGATE(15,6,(ROW($P$3:$P$52)-ROW($P$3)+1)/($P$3:$P$52=1),20)),FIND("  ",INDEX($G$3:$G$52,_xlfn.AGGREGATE(15,6,(ROW($P$3:$P$52)-ROW($P$3)+1)/($P$3:$P$52=1),20))&amp;"  ")-1))),"")</f>
        <v>3.3.1</v>
      </c>
      <c r="J22" s="61"/>
      <c r="K22" s="60" t="str">
        <f t="array" ref="K22">IFERROR(IF(INDEX($A$3:$A$52,_xlfn.AGGREGATE(15,6,(ROW($P$3:$P$52)-ROW($P$3)+1)/($P$3:$P$52=1),20))&lt;&gt;"",INDEX($C$3:$C$52,_xlfn.AGGREGATE(15,6,(ROW($P$3:$P$52)-ROW($P$3)+1)/($P$3:$P$52=1),20)),""),"")</f>
        <v/>
      </c>
      <c r="L22" s="61"/>
      <c r="M22" s="60" t="str">
        <f t="array" ref="M22">IFERROR(IF(AND(INDEX($A$3:$A$52,_xlfn.AGGREGATE(15,6,(ROW($P$3:$P$52)-ROW($P$3)+1)/($P$3:$P$52=1),20))="",INDEX($E$3:$E$52,_xlfn.AGGREGATE(15,6,(ROW($P$3:$P$52)-ROW($P$3)+1)/($P$3:$P$52=1),20))&lt;&gt;""),INDEX($E$3:$E$52,_xlfn.AGGREGATE(15,6,(ROW($P$3:$P$52)-ROW($P$3)+1)/($P$3:$P$52=1),20)),""),"")</f>
        <v/>
      </c>
      <c r="N22" s="61"/>
      <c r="O22" s="60" t="str">
        <f t="array" ref="O22">IFERROR(IF(AND(INDEX($A$3:$A$52,_xlfn.AGGREGATE(15,6,(ROW($P$3:$P$52)-ROW($P$3)+1)/($P$3:$P$52=1),20))="",INDEX($E$3:$E$52,_xlfn.AGGREGATE(15,6,(ROW($P$3:$P$52)-ROW($P$3)+1)/($P$3:$P$52=1),20))="",INDEX($G$3:$G$52,_xlfn.AGGREGATE(15,6,(ROW($P$3:$P$52)-ROW($P$3)+1)/($P$3:$P$52=1),20))&lt;&gt;""),INDEX($G$3:$G$52,_xlfn.AGGREGATE(15,6,(ROW($P$3:$P$52)-ROW($P$3)+1)/($P$3:$P$52=1),20)),""),"")</f>
        <v>3.3.1  GoIND entry force is in SUMATRA is PROTECTED</v>
      </c>
      <c r="P22" s="56">
        <f>IF(AND(G22&lt;&gt;"",LEN(TRIM(G22))&gt;7),1,0)</f>
        <v>0</v>
      </c>
    </row>
    <row r="23" spans="1:16" ht="39.75" customHeight="1">
      <c r="A23" s="127" t="s">
        <v>136</v>
      </c>
      <c r="B23" s="52"/>
      <c r="C23" s="129" t="str">
        <f>IFERROR(VLOOKUP(3,'Master Factors'!$A$5:$B$54,2,0),"")</f>
        <v>RESTORE GoIND territorial integrity in SUMATRA</v>
      </c>
      <c r="D23" s="72"/>
      <c r="E23" s="72"/>
      <c r="F23" s="72"/>
      <c r="G23" s="72"/>
      <c r="H23" s="50"/>
      <c r="I23" s="65" t="str">
        <f t="array" ref="I23">IFERROR(IF(INDEX($A$3:$A$52,_xlfn.AGGREGATE(15,6,(ROW($P$3:$P$52)-ROW($P$3)+1)/($P$3:$P$52=1),21))&lt;&gt;"",INDEX($A$3:$A$52,_xlfn.AGGREGATE(15,6,(ROW($P$3:$P$52)-ROW($P$3)+1)/($P$3:$P$52=1),21)),IF(INDEX($E$3:$E$52,_xlfn.AGGREGATE(15,6,(ROW($P$3:$P$52)-ROW($P$3)+1)/($P$3:$P$52=1),21))&lt;&gt;"",LEFT(INDEX($E$3:$E$52,_xlfn.AGGREGATE(15,6,(ROW($P$3:$P$52)-ROW($P$3)+1)/($P$3:$P$52=1),21)),FIND("  ",INDEX($E$3:$E$52,_xlfn.AGGREGATE(15,6,(ROW($P$3:$P$52)-ROW($P$3)+1)/($P$3:$P$52=1),21))&amp;"  ")-1),LEFT(INDEX($G$3:$G$52,_xlfn.AGGREGATE(15,6,(ROW($P$3:$P$52)-ROW($P$3)+1)/($P$3:$P$52=1),21)),FIND("  ",INDEX($G$3:$G$52,_xlfn.AGGREGATE(15,6,(ROW($P$3:$P$52)-ROW($P$3)+1)/($P$3:$P$52=1),21))&amp;"  ")-1))),"")</f>
        <v>3.3.2</v>
      </c>
      <c r="J23" s="66"/>
      <c r="K23" s="65" t="str">
        <f t="array" ref="K23">IFERROR(IF(INDEX($A$3:$A$52,_xlfn.AGGREGATE(15,6,(ROW($P$3:$P$52)-ROW($P$3)+1)/($P$3:$P$52=1),21))&lt;&gt;"",INDEX($C$3:$C$52,_xlfn.AGGREGATE(15,6,(ROW($P$3:$P$52)-ROW($P$3)+1)/($P$3:$P$52=1),21)),""),"")</f>
        <v/>
      </c>
      <c r="L23" s="66"/>
      <c r="M23" s="65" t="str">
        <f t="array" ref="M23">IFERROR(IF(AND(INDEX($A$3:$A$52,_xlfn.AGGREGATE(15,6,(ROW($P$3:$P$52)-ROW($P$3)+1)/($P$3:$P$52=1),21))="",INDEX($E$3:$E$52,_xlfn.AGGREGATE(15,6,(ROW($P$3:$P$52)-ROW($P$3)+1)/($P$3:$P$52=1),21))&lt;&gt;""),INDEX($E$3:$E$52,_xlfn.AGGREGATE(15,6,(ROW($P$3:$P$52)-ROW($P$3)+1)/($P$3:$P$52=1),21)),""),"")</f>
        <v/>
      </c>
      <c r="N23" s="66"/>
      <c r="O23" s="65" t="str">
        <f t="array" ref="O23">IFERROR(IF(AND(INDEX($A$3:$A$52,_xlfn.AGGREGATE(15,6,(ROW($P$3:$P$52)-ROW($P$3)+1)/($P$3:$P$52=1),21))="",INDEX($E$3:$E$52,_xlfn.AGGREGATE(15,6,(ROW($P$3:$P$52)-ROW($P$3)+1)/($P$3:$P$52=1),21))="",INDEX($G$3:$G$52,_xlfn.AGGREGATE(15,6,(ROW($P$3:$P$52)-ROW($P$3)+1)/($P$3:$P$52=1),21))&lt;&gt;""),INDEX($G$3:$G$52,_xlfn.AGGREGATE(15,6,(ROW($P$3:$P$52)-ROW($P$3)+1)/($P$3:$P$52=1),21)),""),"")</f>
        <v>3.3.2  GoIND authority is STABILISED</v>
      </c>
      <c r="P23" s="56">
        <f>IF(AND(A23&lt;&gt;"",C23&lt;&gt;""),1,0)</f>
        <v>1</v>
      </c>
    </row>
    <row r="24" spans="1:16" ht="39.75" customHeight="1">
      <c r="A24" s="97"/>
      <c r="B24" s="57"/>
      <c r="C24" s="97"/>
      <c r="D24" s="73"/>
      <c r="E24" s="74" t="str">
        <f>IFERROR("3.1  "&amp;VLOOKUP("3.1",'Master Factors'!$G$5:$H$54,2,0),"3.1")</f>
        <v>3.1  IRS cohesion and ISOLATE MEDAN-BELAWAN DISCREDITED</v>
      </c>
      <c r="F24" s="73"/>
      <c r="G24" s="73"/>
      <c r="H24" s="50"/>
      <c r="I24" s="54" t="str">
        <f t="array" ref="I24">IFERROR(IF(INDEX($A$3:$A$52,_xlfn.AGGREGATE(15,6,(ROW($P$3:$P$52)-ROW($P$3)+1)/($P$3:$P$52=1),22))&lt;&gt;"",INDEX($A$3:$A$52,_xlfn.AGGREGATE(15,6,(ROW($P$3:$P$52)-ROW($P$3)+1)/($P$3:$P$52=1),22)),IF(INDEX($E$3:$E$52,_xlfn.AGGREGATE(15,6,(ROW($P$3:$P$52)-ROW($P$3)+1)/($P$3:$P$52=1),22))&lt;&gt;"",LEFT(INDEX($E$3:$E$52,_xlfn.AGGREGATE(15,6,(ROW($P$3:$P$52)-ROW($P$3)+1)/($P$3:$P$52=1),22)),FIND("  ",INDEX($E$3:$E$52,_xlfn.AGGREGATE(15,6,(ROW($P$3:$P$52)-ROW($P$3)+1)/($P$3:$P$52=1),22))&amp;"  ")-1),LEFT(INDEX($G$3:$G$52,_xlfn.AGGREGATE(15,6,(ROW($P$3:$P$52)-ROW($P$3)+1)/($P$3:$P$52=1),22)),FIND("  ",INDEX($G$3:$G$52,_xlfn.AGGREGATE(15,6,(ROW($P$3:$P$52)-ROW($P$3)+1)/($P$3:$P$52=1),22))&amp;"  ")-1))),"")</f>
        <v>4</v>
      </c>
      <c r="J24" s="55"/>
      <c r="K24" s="54" t="str">
        <f t="array" ref="K24">IFERROR(IF(INDEX($A$3:$A$52,_xlfn.AGGREGATE(15,6,(ROW($P$3:$P$52)-ROW($P$3)+1)/($P$3:$P$52=1),22))&lt;&gt;"",INDEX($C$3:$C$52,_xlfn.AGGREGATE(15,6,(ROW($P$3:$P$52)-ROW($P$3)+1)/($P$3:$P$52=1),22)),""),"")</f>
        <v>CONTAIN terror and DETER external influence to widen the conflict</v>
      </c>
      <c r="L24" s="55"/>
      <c r="M24" s="54" t="str">
        <f t="array" ref="M24">IFERROR(IF(AND(INDEX($A$3:$A$52,_xlfn.AGGREGATE(15,6,(ROW($P$3:$P$52)-ROW($P$3)+1)/($P$3:$P$52=1),22))="",INDEX($E$3:$E$52,_xlfn.AGGREGATE(15,6,(ROW($P$3:$P$52)-ROW($P$3)+1)/($P$3:$P$52=1),22))&lt;&gt;""),INDEX($E$3:$E$52,_xlfn.AGGREGATE(15,6,(ROW($P$3:$P$52)-ROW($P$3)+1)/($P$3:$P$52=1),22)),""),"")</f>
        <v/>
      </c>
      <c r="N24" s="55"/>
      <c r="O24" s="54" t="str">
        <f t="array" ref="O24">IFERROR(IF(AND(INDEX($A$3:$A$52,_xlfn.AGGREGATE(15,6,(ROW($P$3:$P$52)-ROW($P$3)+1)/($P$3:$P$52=1),22))="",INDEX($E$3:$E$52,_xlfn.AGGREGATE(15,6,(ROW($P$3:$P$52)-ROW($P$3)+1)/($P$3:$P$52=1),22))="",INDEX($G$3:$G$52,_xlfn.AGGREGATE(15,6,(ROW($P$3:$P$52)-ROW($P$3)+1)/($P$3:$P$52=1),22))&lt;&gt;""),INDEX($G$3:$G$52,_xlfn.AGGREGATE(15,6,(ROW($P$3:$P$52)-ROW($P$3)+1)/($P$3:$P$52=1),22)),""),"")</f>
        <v/>
      </c>
      <c r="P24" s="56">
        <f>IF(AND(E24&lt;&gt;"",LEN(TRIM(E24))&gt;5),1,0)</f>
        <v>1</v>
      </c>
    </row>
    <row r="25" spans="1:16" ht="39.75" customHeight="1">
      <c r="A25" s="97"/>
      <c r="B25" s="62"/>
      <c r="C25" s="97"/>
      <c r="D25" s="75"/>
      <c r="E25" s="75"/>
      <c r="F25" s="75"/>
      <c r="G25" s="76" t="str">
        <f>IFERROR("3.1.1  "&amp;VLOOKUP("3.1.1",'Master Factors'!$N$5:$O$54,2,0),"3.1.1")</f>
        <v>3.1.1  HASAN is DISCREDITED</v>
      </c>
      <c r="H25" s="50"/>
      <c r="I25" s="60" t="str">
        <f t="array" ref="I25">IFERROR(IF(INDEX($A$3:$A$52,_xlfn.AGGREGATE(15,6,(ROW($P$3:$P$52)-ROW($P$3)+1)/($P$3:$P$52=1),23))&lt;&gt;"",INDEX($A$3:$A$52,_xlfn.AGGREGATE(15,6,(ROW($P$3:$P$52)-ROW($P$3)+1)/($P$3:$P$52=1),23)),IF(INDEX($E$3:$E$52,_xlfn.AGGREGATE(15,6,(ROW($P$3:$P$52)-ROW($P$3)+1)/($P$3:$P$52=1),23))&lt;&gt;"",LEFT(INDEX($E$3:$E$52,_xlfn.AGGREGATE(15,6,(ROW($P$3:$P$52)-ROW($P$3)+1)/($P$3:$P$52=1),23)),FIND("  ",INDEX($E$3:$E$52,_xlfn.AGGREGATE(15,6,(ROW($P$3:$P$52)-ROW($P$3)+1)/($P$3:$P$52=1),23))&amp;"  ")-1),LEFT(INDEX($G$3:$G$52,_xlfn.AGGREGATE(15,6,(ROW($P$3:$P$52)-ROW($P$3)+1)/($P$3:$P$52=1),23)),FIND("  ",INDEX($G$3:$G$52,_xlfn.AGGREGATE(15,6,(ROW($P$3:$P$52)-ROW($P$3)+1)/($P$3:$P$52=1),23))&amp;"  ")-1))),"")</f>
        <v>4.1</v>
      </c>
      <c r="J25" s="61"/>
      <c r="K25" s="60" t="str">
        <f t="array" ref="K25">IFERROR(IF(INDEX($A$3:$A$52,_xlfn.AGGREGATE(15,6,(ROW($P$3:$P$52)-ROW($P$3)+1)/($P$3:$P$52=1),23))&lt;&gt;"",INDEX($C$3:$C$52,_xlfn.AGGREGATE(15,6,(ROW($P$3:$P$52)-ROW($P$3)+1)/($P$3:$P$52=1),23)),""),"")</f>
        <v/>
      </c>
      <c r="L25" s="61"/>
      <c r="M25" s="60" t="str">
        <f t="array" ref="M25">IFERROR(IF(AND(INDEX($A$3:$A$52,_xlfn.AGGREGATE(15,6,(ROW($P$3:$P$52)-ROW($P$3)+1)/($P$3:$P$52=1),23))="",INDEX($E$3:$E$52,_xlfn.AGGREGATE(15,6,(ROW($P$3:$P$52)-ROW($P$3)+1)/($P$3:$P$52=1),23))&lt;&gt;""),INDEX($E$3:$E$52,_xlfn.AGGREGATE(15,6,(ROW($P$3:$P$52)-ROW($P$3)+1)/($P$3:$P$52=1),23)),""),"")</f>
        <v>4.1  Terror and external actor networks INTERDICTED</v>
      </c>
      <c r="N25" s="61"/>
      <c r="O25" s="60" t="str">
        <f t="array" ref="O25">IFERROR(IF(AND(INDEX($A$3:$A$52,_xlfn.AGGREGATE(15,6,(ROW($P$3:$P$52)-ROW($P$3)+1)/($P$3:$P$52=1),23))="",INDEX($E$3:$E$52,_xlfn.AGGREGATE(15,6,(ROW($P$3:$P$52)-ROW($P$3)+1)/($P$3:$P$52=1),23))="",INDEX($G$3:$G$52,_xlfn.AGGREGATE(15,6,(ROW($P$3:$P$52)-ROW($P$3)+1)/($P$3:$P$52=1),23))&lt;&gt;""),INDEX($G$3:$G$52,_xlfn.AGGREGATE(15,6,(ROW($P$3:$P$52)-ROW($P$3)+1)/($P$3:$P$52=1),23)),""),"")</f>
        <v/>
      </c>
      <c r="P25" s="56">
        <f>IF(AND(G25&lt;&gt;"",LEN(TRIM(G25))&gt;7),1,0)</f>
        <v>1</v>
      </c>
    </row>
    <row r="26" spans="1:16" ht="39.75" customHeight="1">
      <c r="A26" s="97"/>
      <c r="B26" s="62"/>
      <c r="C26" s="97"/>
      <c r="D26" s="75"/>
      <c r="E26" s="75"/>
      <c r="F26" s="75"/>
      <c r="G26" s="76" t="str">
        <f>IFERROR("3.1.2  "&amp;VLOOKUP("3.1.2",'Master Factors'!$N$5:$O$54,2,0),"3.1.2")</f>
        <v>3.1.2  MEDAN-BELAWAN ports ISOLATED</v>
      </c>
      <c r="H26" s="50"/>
      <c r="I26" s="65" t="str">
        <f t="array" ref="I26">IFERROR(IF(INDEX($A$3:$A$52,_xlfn.AGGREGATE(15,6,(ROW($P$3:$P$52)-ROW($P$3)+1)/($P$3:$P$52=1),24))&lt;&gt;"",INDEX($A$3:$A$52,_xlfn.AGGREGATE(15,6,(ROW($P$3:$P$52)-ROW($P$3)+1)/($P$3:$P$52=1),24)),IF(INDEX($E$3:$E$52,_xlfn.AGGREGATE(15,6,(ROW($P$3:$P$52)-ROW($P$3)+1)/($P$3:$P$52=1),24))&lt;&gt;"",LEFT(INDEX($E$3:$E$52,_xlfn.AGGREGATE(15,6,(ROW($P$3:$P$52)-ROW($P$3)+1)/($P$3:$P$52=1),24)),FIND("  ",INDEX($E$3:$E$52,_xlfn.AGGREGATE(15,6,(ROW($P$3:$P$52)-ROW($P$3)+1)/($P$3:$P$52=1),24))&amp;"  ")-1),LEFT(INDEX($G$3:$G$52,_xlfn.AGGREGATE(15,6,(ROW($P$3:$P$52)-ROW($P$3)+1)/($P$3:$P$52=1),24)),FIND("  ",INDEX($G$3:$G$52,_xlfn.AGGREGATE(15,6,(ROW($P$3:$P$52)-ROW($P$3)+1)/($P$3:$P$52=1),24))&amp;"  ")-1))),"")</f>
        <v>4.1.1</v>
      </c>
      <c r="J26" s="66"/>
      <c r="K26" s="65" t="str">
        <f t="array" ref="K26">IFERROR(IF(INDEX($A$3:$A$52,_xlfn.AGGREGATE(15,6,(ROW($P$3:$P$52)-ROW($P$3)+1)/($P$3:$P$52=1),24))&lt;&gt;"",INDEX($C$3:$C$52,_xlfn.AGGREGATE(15,6,(ROW($P$3:$P$52)-ROW($P$3)+1)/($P$3:$P$52=1),24)),""),"")</f>
        <v/>
      </c>
      <c r="L26" s="66"/>
      <c r="M26" s="65" t="str">
        <f t="array" ref="M26">IFERROR(IF(AND(INDEX($A$3:$A$52,_xlfn.AGGREGATE(15,6,(ROW($P$3:$P$52)-ROW($P$3)+1)/($P$3:$P$52=1),24))="",INDEX($E$3:$E$52,_xlfn.AGGREGATE(15,6,(ROW($P$3:$P$52)-ROW($P$3)+1)/($P$3:$P$52=1),24))&lt;&gt;""),INDEX($E$3:$E$52,_xlfn.AGGREGATE(15,6,(ROW($P$3:$P$52)-ROW($P$3)+1)/($P$3:$P$52=1),24)),""),"")</f>
        <v/>
      </c>
      <c r="N26" s="66"/>
      <c r="O26" s="65" t="str">
        <f t="array" ref="O26">IFERROR(IF(AND(INDEX($A$3:$A$52,_xlfn.AGGREGATE(15,6,(ROW($P$3:$P$52)-ROW($P$3)+1)/($P$3:$P$52=1),24))="",INDEX($E$3:$E$52,_xlfn.AGGREGATE(15,6,(ROW($P$3:$P$52)-ROW($P$3)+1)/($P$3:$P$52=1),24))="",INDEX($G$3:$G$52,_xlfn.AGGREGATE(15,6,(ROW($P$3:$P$52)-ROW($P$3)+1)/($P$3:$P$52=1),24))&lt;&gt;""),INDEX($G$3:$G$52,_xlfn.AGGREGATE(15,6,(ROW($P$3:$P$52)-ROW($P$3)+1)/($P$3:$P$52=1),24)),""),"")</f>
        <v>4.1.1  ISIL/JI operating capacity DISRUPTED</v>
      </c>
      <c r="P26" s="56">
        <f>IF(AND(G26&lt;&gt;"",LEN(TRIM(G26))&gt;7),1,0)</f>
        <v>1</v>
      </c>
    </row>
    <row r="27" spans="1:16" ht="39.75" customHeight="1">
      <c r="A27" s="97"/>
      <c r="B27" s="57"/>
      <c r="C27" s="97"/>
      <c r="D27" s="73"/>
      <c r="E27" s="74" t="str">
        <f>IFERROR("3.2  "&amp;VLOOKUP("3.2",'Master Factors'!$G$5:$H$54,2,0),"3.2")</f>
        <v>3.2  GoIND SECURING of SUMATRA SUPPORTED</v>
      </c>
      <c r="F27" s="73"/>
      <c r="G27" s="73"/>
      <c r="H27" s="50"/>
      <c r="I27" s="54" t="str">
        <f t="array" ref="I27">IFERROR(IF(INDEX($A$3:$A$52,_xlfn.AGGREGATE(15,6,(ROW($P$3:$P$52)-ROW($P$3)+1)/($P$3:$P$52=1),25))&lt;&gt;"",INDEX($A$3:$A$52,_xlfn.AGGREGATE(15,6,(ROW($P$3:$P$52)-ROW($P$3)+1)/($P$3:$P$52=1),25)),IF(INDEX($E$3:$E$52,_xlfn.AGGREGATE(15,6,(ROW($P$3:$P$52)-ROW($P$3)+1)/($P$3:$P$52=1),25))&lt;&gt;"",LEFT(INDEX($E$3:$E$52,_xlfn.AGGREGATE(15,6,(ROW($P$3:$P$52)-ROW($P$3)+1)/($P$3:$P$52=1),25)),FIND("  ",INDEX($E$3:$E$52,_xlfn.AGGREGATE(15,6,(ROW($P$3:$P$52)-ROW($P$3)+1)/($P$3:$P$52=1),25))&amp;"  ")-1),LEFT(INDEX($G$3:$G$52,_xlfn.AGGREGATE(15,6,(ROW($P$3:$P$52)-ROW($P$3)+1)/($P$3:$P$52=1),25)),FIND("  ",INDEX($G$3:$G$52,_xlfn.AGGREGATE(15,6,(ROW($P$3:$P$52)-ROW($P$3)+1)/($P$3:$P$52=1),25))&amp;"  ")-1))),"")</f>
        <v>4.1.2</v>
      </c>
      <c r="J27" s="55"/>
      <c r="K27" s="54" t="str">
        <f t="array" ref="K27">IFERROR(IF(INDEX($A$3:$A$52,_xlfn.AGGREGATE(15,6,(ROW($P$3:$P$52)-ROW($P$3)+1)/($P$3:$P$52=1),25))&lt;&gt;"",INDEX($C$3:$C$52,_xlfn.AGGREGATE(15,6,(ROW($P$3:$P$52)-ROW($P$3)+1)/($P$3:$P$52=1),25)),""),"")</f>
        <v/>
      </c>
      <c r="L27" s="55"/>
      <c r="M27" s="54" t="str">
        <f t="array" ref="M27">IFERROR(IF(AND(INDEX($A$3:$A$52,_xlfn.AGGREGATE(15,6,(ROW($P$3:$P$52)-ROW($P$3)+1)/($P$3:$P$52=1),25))="",INDEX($E$3:$E$52,_xlfn.AGGREGATE(15,6,(ROW($P$3:$P$52)-ROW($P$3)+1)/($P$3:$P$52=1),25))&lt;&gt;""),INDEX($E$3:$E$52,_xlfn.AGGREGATE(15,6,(ROW($P$3:$P$52)-ROW($P$3)+1)/($P$3:$P$52=1),25)),""),"")</f>
        <v/>
      </c>
      <c r="N27" s="55"/>
      <c r="O27" s="54" t="str">
        <f t="array" ref="O27">IFERROR(IF(AND(INDEX($A$3:$A$52,_xlfn.AGGREGATE(15,6,(ROW($P$3:$P$52)-ROW($P$3)+1)/($P$3:$P$52=1),25))="",INDEX($E$3:$E$52,_xlfn.AGGREGATE(15,6,(ROW($P$3:$P$52)-ROW($P$3)+1)/($P$3:$P$52=1),25))="",INDEX($G$3:$G$52,_xlfn.AGGREGATE(15,6,(ROW($P$3:$P$52)-ROW($P$3)+1)/($P$3:$P$52=1),25))&lt;&gt;""),INDEX($G$3:$G$52,_xlfn.AGGREGATE(15,6,(ROW($P$3:$P$52)-ROW($P$3)+1)/($P$3:$P$52=1),25)),""),"")</f>
        <v>4.1.2  External actor networks DISRUPTED</v>
      </c>
      <c r="P27" s="56">
        <f>IF(AND(E27&lt;&gt;"",LEN(TRIM(E27))&gt;5),1,0)</f>
        <v>1</v>
      </c>
    </row>
    <row r="28" spans="1:16" ht="39.75" customHeight="1">
      <c r="A28" s="97"/>
      <c r="B28" s="62"/>
      <c r="C28" s="97"/>
      <c r="D28" s="75"/>
      <c r="E28" s="75"/>
      <c r="F28" s="75"/>
      <c r="G28" s="76" t="str">
        <f>IFERROR("3.2.1  "&amp;VLOOKUP("3.2.1",'Master Factors'!$N$5:$O$54,2,0),"3.2.1")</f>
        <v>3.2.1  RSOI areas are SECURED</v>
      </c>
      <c r="H28" s="50"/>
      <c r="I28" s="60" t="str">
        <f t="array" ref="I28">IFERROR(IF(INDEX($A$3:$A$52,_xlfn.AGGREGATE(15,6,(ROW($P$3:$P$52)-ROW($P$3)+1)/($P$3:$P$52=1),26))&lt;&gt;"",INDEX($A$3:$A$52,_xlfn.AGGREGATE(15,6,(ROW($P$3:$P$52)-ROW($P$3)+1)/($P$3:$P$52=1),26)),IF(INDEX($E$3:$E$52,_xlfn.AGGREGATE(15,6,(ROW($P$3:$P$52)-ROW($P$3)+1)/($P$3:$P$52=1),26))&lt;&gt;"",LEFT(INDEX($E$3:$E$52,_xlfn.AGGREGATE(15,6,(ROW($P$3:$P$52)-ROW($P$3)+1)/($P$3:$P$52=1),26)),FIND("  ",INDEX($E$3:$E$52,_xlfn.AGGREGATE(15,6,(ROW($P$3:$P$52)-ROW($P$3)+1)/($P$3:$P$52=1),26))&amp;"  ")-1),LEFT(INDEX($G$3:$G$52,_xlfn.AGGREGATE(15,6,(ROW($P$3:$P$52)-ROW($P$3)+1)/($P$3:$P$52=1),26)),FIND("  ",INDEX($G$3:$G$52,_xlfn.AGGREGATE(15,6,(ROW($P$3:$P$52)-ROW($P$3)+1)/($P$3:$P$52=1),26))&amp;"  ")-1))),"")</f>
        <v/>
      </c>
      <c r="J28" s="61"/>
      <c r="K28" s="60" t="str">
        <f t="array" ref="K28">IFERROR(IF(INDEX($A$3:$A$52,_xlfn.AGGREGATE(15,6,(ROW($P$3:$P$52)-ROW($P$3)+1)/($P$3:$P$52=1),26))&lt;&gt;"",INDEX($C$3:$C$52,_xlfn.AGGREGATE(15,6,(ROW($P$3:$P$52)-ROW($P$3)+1)/($P$3:$P$52=1),26)),""),"")</f>
        <v/>
      </c>
      <c r="L28" s="61"/>
      <c r="M28" s="60" t="str">
        <f t="array" ref="M28">IFERROR(IF(AND(INDEX($A$3:$A$52,_xlfn.AGGREGATE(15,6,(ROW($P$3:$P$52)-ROW($P$3)+1)/($P$3:$P$52=1),26))="",INDEX($E$3:$E$52,_xlfn.AGGREGATE(15,6,(ROW($P$3:$P$52)-ROW($P$3)+1)/($P$3:$P$52=1),26))&lt;&gt;""),INDEX($E$3:$E$52,_xlfn.AGGREGATE(15,6,(ROW($P$3:$P$52)-ROW($P$3)+1)/($P$3:$P$52=1),26)),""),"")</f>
        <v/>
      </c>
      <c r="N28" s="61"/>
      <c r="O28" s="60" t="str">
        <f t="array" ref="O28">IFERROR(IF(AND(INDEX($A$3:$A$52,_xlfn.AGGREGATE(15,6,(ROW($P$3:$P$52)-ROW($P$3)+1)/($P$3:$P$52=1),26))="",INDEX($E$3:$E$52,_xlfn.AGGREGATE(15,6,(ROW($P$3:$P$52)-ROW($P$3)+1)/($P$3:$P$52=1),26))="",INDEX($G$3:$G$52,_xlfn.AGGREGATE(15,6,(ROW($P$3:$P$52)-ROW($P$3)+1)/($P$3:$P$52=1),26))&lt;&gt;""),INDEX($G$3:$G$52,_xlfn.AGGREGATE(15,6,(ROW($P$3:$P$52)-ROW($P$3)+1)/($P$3:$P$52=1),26)),""),"")</f>
        <v/>
      </c>
      <c r="P28" s="56">
        <f>IF(AND(G28&lt;&gt;"",LEN(TRIM(G28))&gt;7),1,0)</f>
        <v>1</v>
      </c>
    </row>
    <row r="29" spans="1:16" ht="39.75" customHeight="1">
      <c r="A29" s="97"/>
      <c r="B29" s="62"/>
      <c r="C29" s="97"/>
      <c r="D29" s="75"/>
      <c r="E29" s="75"/>
      <c r="F29" s="75"/>
      <c r="G29" s="76" t="str">
        <f>IFERROR("3.2.2  "&amp;VLOOKUP("3.2.2",'Master Factors'!$N$5:$O$54,2,0),"3.2.2")</f>
        <v>3.2.2  Priority governance / infrastructure nodes SECURED</v>
      </c>
      <c r="H29" s="50"/>
      <c r="I29" s="65" t="str">
        <f t="array" ref="I29">IFERROR(IF(INDEX($A$3:$A$52,_xlfn.AGGREGATE(15,6,(ROW($P$3:$P$52)-ROW($P$3)+1)/($P$3:$P$52=1),27))&lt;&gt;"",INDEX($A$3:$A$52,_xlfn.AGGREGATE(15,6,(ROW($P$3:$P$52)-ROW($P$3)+1)/($P$3:$P$52=1),27)),IF(INDEX($E$3:$E$52,_xlfn.AGGREGATE(15,6,(ROW($P$3:$P$52)-ROW($P$3)+1)/($P$3:$P$52=1),27))&lt;&gt;"",LEFT(INDEX($E$3:$E$52,_xlfn.AGGREGATE(15,6,(ROW($P$3:$P$52)-ROW($P$3)+1)/($P$3:$P$52=1),27)),FIND("  ",INDEX($E$3:$E$52,_xlfn.AGGREGATE(15,6,(ROW($P$3:$P$52)-ROW($P$3)+1)/($P$3:$P$52=1),27))&amp;"  ")-1),LEFT(INDEX($G$3:$G$52,_xlfn.AGGREGATE(15,6,(ROW($P$3:$P$52)-ROW($P$3)+1)/($P$3:$P$52=1),27)),FIND("  ",INDEX($G$3:$G$52,_xlfn.AGGREGATE(15,6,(ROW($P$3:$P$52)-ROW($P$3)+1)/($P$3:$P$52=1),27))&amp;"  ")-1))),"")</f>
        <v/>
      </c>
      <c r="J29" s="66"/>
      <c r="K29" s="65" t="str">
        <f t="array" ref="K29">IFERROR(IF(INDEX($A$3:$A$52,_xlfn.AGGREGATE(15,6,(ROW($P$3:$P$52)-ROW($P$3)+1)/($P$3:$P$52=1),27))&lt;&gt;"",INDEX($C$3:$C$52,_xlfn.AGGREGATE(15,6,(ROW($P$3:$P$52)-ROW($P$3)+1)/($P$3:$P$52=1),27)),""),"")</f>
        <v/>
      </c>
      <c r="L29" s="66"/>
      <c r="M29" s="65" t="str">
        <f t="array" ref="M29">IFERROR(IF(AND(INDEX($A$3:$A$52,_xlfn.AGGREGATE(15,6,(ROW($P$3:$P$52)-ROW($P$3)+1)/($P$3:$P$52=1),27))="",INDEX($E$3:$E$52,_xlfn.AGGREGATE(15,6,(ROW($P$3:$P$52)-ROW($P$3)+1)/($P$3:$P$52=1),27))&lt;&gt;""),INDEX($E$3:$E$52,_xlfn.AGGREGATE(15,6,(ROW($P$3:$P$52)-ROW($P$3)+1)/($P$3:$P$52=1),27)),""),"")</f>
        <v/>
      </c>
      <c r="N29" s="66"/>
      <c r="O29" s="65" t="str">
        <f t="array" ref="O29">IFERROR(IF(AND(INDEX($A$3:$A$52,_xlfn.AGGREGATE(15,6,(ROW($P$3:$P$52)-ROW($P$3)+1)/($P$3:$P$52=1),27))="",INDEX($E$3:$E$52,_xlfn.AGGREGATE(15,6,(ROW($P$3:$P$52)-ROW($P$3)+1)/($P$3:$P$52=1),27))="",INDEX($G$3:$G$52,_xlfn.AGGREGATE(15,6,(ROW($P$3:$P$52)-ROW($P$3)+1)/($P$3:$P$52=1),27))&lt;&gt;""),INDEX($G$3:$G$52,_xlfn.AGGREGATE(15,6,(ROW($P$3:$P$52)-ROW($P$3)+1)/($P$3:$P$52=1),27)),""),"")</f>
        <v/>
      </c>
      <c r="P29" s="56">
        <f>IF(AND(G29&lt;&gt;"",LEN(TRIM(G29))&gt;7),1,0)</f>
        <v>1</v>
      </c>
    </row>
    <row r="30" spans="1:16" ht="39.75" customHeight="1">
      <c r="A30" s="97"/>
      <c r="B30" s="57"/>
      <c r="C30" s="97"/>
      <c r="D30" s="73"/>
      <c r="E30" s="74" t="str">
        <f>IFERROR("3.3  "&amp;VLOOKUP("3.3",'Master Factors'!$G$5:$H$54,2,0),"3.3")</f>
        <v>3.3  Key locations in SUMATRA SECURED</v>
      </c>
      <c r="F30" s="73"/>
      <c r="G30" s="73"/>
      <c r="H30" s="50"/>
      <c r="I30" s="54" t="str">
        <f t="array" ref="I30">IFERROR(IF(INDEX($A$3:$A$52,_xlfn.AGGREGATE(15,6,(ROW($P$3:$P$52)-ROW($P$3)+1)/($P$3:$P$52=1),28))&lt;&gt;"",INDEX($A$3:$A$52,_xlfn.AGGREGATE(15,6,(ROW($P$3:$P$52)-ROW($P$3)+1)/($P$3:$P$52=1),28)),IF(INDEX($E$3:$E$52,_xlfn.AGGREGATE(15,6,(ROW($P$3:$P$52)-ROW($P$3)+1)/($P$3:$P$52=1),28))&lt;&gt;"",LEFT(INDEX($E$3:$E$52,_xlfn.AGGREGATE(15,6,(ROW($P$3:$P$52)-ROW($P$3)+1)/($P$3:$P$52=1),28)),FIND("  ",INDEX($E$3:$E$52,_xlfn.AGGREGATE(15,6,(ROW($P$3:$P$52)-ROW($P$3)+1)/($P$3:$P$52=1),28))&amp;"  ")-1),LEFT(INDEX($G$3:$G$52,_xlfn.AGGREGATE(15,6,(ROW($P$3:$P$52)-ROW($P$3)+1)/($P$3:$P$52=1),28)),FIND("  ",INDEX($G$3:$G$52,_xlfn.AGGREGATE(15,6,(ROW($P$3:$P$52)-ROW($P$3)+1)/($P$3:$P$52=1),28))&amp;"  ")-1))),"")</f>
        <v/>
      </c>
      <c r="J30" s="55"/>
      <c r="K30" s="54" t="str">
        <f t="array" ref="K30">IFERROR(IF(INDEX($A$3:$A$52,_xlfn.AGGREGATE(15,6,(ROW($P$3:$P$52)-ROW($P$3)+1)/($P$3:$P$52=1),28))&lt;&gt;"",INDEX($C$3:$C$52,_xlfn.AGGREGATE(15,6,(ROW($P$3:$P$52)-ROW($P$3)+1)/($P$3:$P$52=1),28)),""),"")</f>
        <v/>
      </c>
      <c r="L30" s="55"/>
      <c r="M30" s="54" t="str">
        <f t="array" ref="M30">IFERROR(IF(AND(INDEX($A$3:$A$52,_xlfn.AGGREGATE(15,6,(ROW($P$3:$P$52)-ROW($P$3)+1)/($P$3:$P$52=1),28))="",INDEX($E$3:$E$52,_xlfn.AGGREGATE(15,6,(ROW($P$3:$P$52)-ROW($P$3)+1)/($P$3:$P$52=1),28))&lt;&gt;""),INDEX($E$3:$E$52,_xlfn.AGGREGATE(15,6,(ROW($P$3:$P$52)-ROW($P$3)+1)/($P$3:$P$52=1),28)),""),"")</f>
        <v/>
      </c>
      <c r="N30" s="55"/>
      <c r="O30" s="54" t="str">
        <f t="array" ref="O30">IFERROR(IF(AND(INDEX($A$3:$A$52,_xlfn.AGGREGATE(15,6,(ROW($P$3:$P$52)-ROW($P$3)+1)/($P$3:$P$52=1),28))="",INDEX($E$3:$E$52,_xlfn.AGGREGATE(15,6,(ROW($P$3:$P$52)-ROW($P$3)+1)/($P$3:$P$52=1),28))="",INDEX($G$3:$G$52,_xlfn.AGGREGATE(15,6,(ROW($P$3:$P$52)-ROW($P$3)+1)/($P$3:$P$52=1),28))&lt;&gt;""),INDEX($G$3:$G$52,_xlfn.AGGREGATE(15,6,(ROW($P$3:$P$52)-ROW($P$3)+1)/($P$3:$P$52=1),28)),""),"")</f>
        <v/>
      </c>
      <c r="P30" s="56">
        <f>IF(AND(E30&lt;&gt;"",LEN(TRIM(E30))&gt;5),1,0)</f>
        <v>1</v>
      </c>
    </row>
    <row r="31" spans="1:16" ht="39.75" customHeight="1">
      <c r="A31" s="97"/>
      <c r="B31" s="62"/>
      <c r="C31" s="97"/>
      <c r="D31" s="75"/>
      <c r="E31" s="75"/>
      <c r="F31" s="75"/>
      <c r="G31" s="76" t="str">
        <f>IFERROR("3.3.1  "&amp;VLOOKUP("3.3.1",'Master Factors'!$N$5:$O$54,2,0),"3.3.1")</f>
        <v>3.3.1  GoIND entry force is in SUMATRA is PROTECTED</v>
      </c>
      <c r="H31" s="50"/>
      <c r="I31" s="60" t="str">
        <f t="array" ref="I31">IFERROR(IF(INDEX($A$3:$A$52,_xlfn.AGGREGATE(15,6,(ROW($P$3:$P$52)-ROW($P$3)+1)/($P$3:$P$52=1),29))&lt;&gt;"",INDEX($A$3:$A$52,_xlfn.AGGREGATE(15,6,(ROW($P$3:$P$52)-ROW($P$3)+1)/($P$3:$P$52=1),29)),IF(INDEX($E$3:$E$52,_xlfn.AGGREGATE(15,6,(ROW($P$3:$P$52)-ROW($P$3)+1)/($P$3:$P$52=1),29))&lt;&gt;"",LEFT(INDEX($E$3:$E$52,_xlfn.AGGREGATE(15,6,(ROW($P$3:$P$52)-ROW($P$3)+1)/($P$3:$P$52=1),29)),FIND("  ",INDEX($E$3:$E$52,_xlfn.AGGREGATE(15,6,(ROW($P$3:$P$52)-ROW($P$3)+1)/($P$3:$P$52=1),29))&amp;"  ")-1),LEFT(INDEX($G$3:$G$52,_xlfn.AGGREGATE(15,6,(ROW($P$3:$P$52)-ROW($P$3)+1)/($P$3:$P$52=1),29)),FIND("  ",INDEX($G$3:$G$52,_xlfn.AGGREGATE(15,6,(ROW($P$3:$P$52)-ROW($P$3)+1)/($P$3:$P$52=1),29))&amp;"  ")-1))),"")</f>
        <v/>
      </c>
      <c r="J31" s="61"/>
      <c r="K31" s="60" t="str">
        <f t="array" ref="K31">IFERROR(IF(INDEX($A$3:$A$52,_xlfn.AGGREGATE(15,6,(ROW($P$3:$P$52)-ROW($P$3)+1)/($P$3:$P$52=1),29))&lt;&gt;"",INDEX($C$3:$C$52,_xlfn.AGGREGATE(15,6,(ROW($P$3:$P$52)-ROW($P$3)+1)/($P$3:$P$52=1),29)),""),"")</f>
        <v/>
      </c>
      <c r="L31" s="61"/>
      <c r="M31" s="60" t="str">
        <f t="array" ref="M31">IFERROR(IF(AND(INDEX($A$3:$A$52,_xlfn.AGGREGATE(15,6,(ROW($P$3:$P$52)-ROW($P$3)+1)/($P$3:$P$52=1),29))="",INDEX($E$3:$E$52,_xlfn.AGGREGATE(15,6,(ROW($P$3:$P$52)-ROW($P$3)+1)/($P$3:$P$52=1),29))&lt;&gt;""),INDEX($E$3:$E$52,_xlfn.AGGREGATE(15,6,(ROW($P$3:$P$52)-ROW($P$3)+1)/($P$3:$P$52=1),29)),""),"")</f>
        <v/>
      </c>
      <c r="N31" s="61"/>
      <c r="O31" s="60" t="str">
        <f t="array" ref="O31">IFERROR(IF(AND(INDEX($A$3:$A$52,_xlfn.AGGREGATE(15,6,(ROW($P$3:$P$52)-ROW($P$3)+1)/($P$3:$P$52=1),29))="",INDEX($E$3:$E$52,_xlfn.AGGREGATE(15,6,(ROW($P$3:$P$52)-ROW($P$3)+1)/($P$3:$P$52=1),29))="",INDEX($G$3:$G$52,_xlfn.AGGREGATE(15,6,(ROW($P$3:$P$52)-ROW($P$3)+1)/($P$3:$P$52=1),29))&lt;&gt;""),INDEX($G$3:$G$52,_xlfn.AGGREGATE(15,6,(ROW($P$3:$P$52)-ROW($P$3)+1)/($P$3:$P$52=1),29)),""),"")</f>
        <v/>
      </c>
      <c r="P31" s="56">
        <f>IF(AND(G31&lt;&gt;"",LEN(TRIM(G31))&gt;7),1,0)</f>
        <v>1</v>
      </c>
    </row>
    <row r="32" spans="1:16" ht="39.75" customHeight="1">
      <c r="A32" s="98"/>
      <c r="B32" s="62"/>
      <c r="C32" s="98"/>
      <c r="D32" s="75"/>
      <c r="E32" s="75"/>
      <c r="F32" s="75"/>
      <c r="G32" s="76" t="str">
        <f>IFERROR("3.3.2  "&amp;VLOOKUP("3.3.2",'Master Factors'!$N$5:$O$54,2,0),"3.3.2")</f>
        <v>3.3.2  GoIND authority is STABILISED</v>
      </c>
      <c r="H32" s="50"/>
      <c r="I32" s="65" t="str">
        <f t="array" ref="I32">IFERROR(IF(INDEX($A$3:$A$52,_xlfn.AGGREGATE(15,6,(ROW($P$3:$P$52)-ROW($P$3)+1)/($P$3:$P$52=1),30))&lt;&gt;"",INDEX($A$3:$A$52,_xlfn.AGGREGATE(15,6,(ROW($P$3:$P$52)-ROW($P$3)+1)/($P$3:$P$52=1),30)),IF(INDEX($E$3:$E$52,_xlfn.AGGREGATE(15,6,(ROW($P$3:$P$52)-ROW($P$3)+1)/($P$3:$P$52=1),30))&lt;&gt;"",LEFT(INDEX($E$3:$E$52,_xlfn.AGGREGATE(15,6,(ROW($P$3:$P$52)-ROW($P$3)+1)/($P$3:$P$52=1),30)),FIND("  ",INDEX($E$3:$E$52,_xlfn.AGGREGATE(15,6,(ROW($P$3:$P$52)-ROW($P$3)+1)/($P$3:$P$52=1),30))&amp;"  ")-1),LEFT(INDEX($G$3:$G$52,_xlfn.AGGREGATE(15,6,(ROW($P$3:$P$52)-ROW($P$3)+1)/($P$3:$P$52=1),30)),FIND("  ",INDEX($G$3:$G$52,_xlfn.AGGREGATE(15,6,(ROW($P$3:$P$52)-ROW($P$3)+1)/($P$3:$P$52=1),30))&amp;"  ")-1))),"")</f>
        <v/>
      </c>
      <c r="J32" s="66"/>
      <c r="K32" s="65" t="str">
        <f t="array" ref="K32">IFERROR(IF(INDEX($A$3:$A$52,_xlfn.AGGREGATE(15,6,(ROW($P$3:$P$52)-ROW($P$3)+1)/($P$3:$P$52=1),30))&lt;&gt;"",INDEX($C$3:$C$52,_xlfn.AGGREGATE(15,6,(ROW($P$3:$P$52)-ROW($P$3)+1)/($P$3:$P$52=1),30)),""),"")</f>
        <v/>
      </c>
      <c r="L32" s="66"/>
      <c r="M32" s="65" t="str">
        <f t="array" ref="M32">IFERROR(IF(AND(INDEX($A$3:$A$52,_xlfn.AGGREGATE(15,6,(ROW($P$3:$P$52)-ROW($P$3)+1)/($P$3:$P$52=1),30))="",INDEX($E$3:$E$52,_xlfn.AGGREGATE(15,6,(ROW($P$3:$P$52)-ROW($P$3)+1)/($P$3:$P$52=1),30))&lt;&gt;""),INDEX($E$3:$E$52,_xlfn.AGGREGATE(15,6,(ROW($P$3:$P$52)-ROW($P$3)+1)/($P$3:$P$52=1),30)),""),"")</f>
        <v/>
      </c>
      <c r="N32" s="66"/>
      <c r="O32" s="65" t="str">
        <f t="array" ref="O32">IFERROR(IF(AND(INDEX($A$3:$A$52,_xlfn.AGGREGATE(15,6,(ROW($P$3:$P$52)-ROW($P$3)+1)/($P$3:$P$52=1),30))="",INDEX($E$3:$E$52,_xlfn.AGGREGATE(15,6,(ROW($P$3:$P$52)-ROW($P$3)+1)/($P$3:$P$52=1),30))="",INDEX($G$3:$G$52,_xlfn.AGGREGATE(15,6,(ROW($P$3:$P$52)-ROW($P$3)+1)/($P$3:$P$52=1),30))&lt;&gt;""),INDEX($G$3:$G$52,_xlfn.AGGREGATE(15,6,(ROW($P$3:$P$52)-ROW($P$3)+1)/($P$3:$P$52=1),30)),""),"")</f>
        <v/>
      </c>
      <c r="P32" s="56">
        <f>IF(AND(G32&lt;&gt;"",LEN(TRIM(G32))&gt;7),1,0)</f>
        <v>1</v>
      </c>
    </row>
    <row r="33" spans="1:16" ht="39.75" customHeight="1">
      <c r="A33" s="127" t="s">
        <v>182</v>
      </c>
      <c r="B33" s="52"/>
      <c r="C33" s="128" t="str">
        <f>IFERROR(VLOOKUP(4,'Master Factors'!$A$5:$B$54,2,0),"")</f>
        <v>CONTAIN terror and DETER external influence to widen the conflict</v>
      </c>
      <c r="D33" s="77"/>
      <c r="E33" s="77"/>
      <c r="F33" s="77"/>
      <c r="G33" s="77"/>
      <c r="H33" s="50"/>
      <c r="I33" s="54" t="str">
        <f t="array" ref="I33">IFERROR(IF(INDEX($A$3:$A$52,_xlfn.AGGREGATE(15,6,(ROW($P$3:$P$52)-ROW($P$3)+1)/($P$3:$P$52=1),31))&lt;&gt;"",INDEX($A$3:$A$52,_xlfn.AGGREGATE(15,6,(ROW($P$3:$P$52)-ROW($P$3)+1)/($P$3:$P$52=1),31)),IF(INDEX($E$3:$E$52,_xlfn.AGGREGATE(15,6,(ROW($P$3:$P$52)-ROW($P$3)+1)/($P$3:$P$52=1),31))&lt;&gt;"",LEFT(INDEX($E$3:$E$52,_xlfn.AGGREGATE(15,6,(ROW($P$3:$P$52)-ROW($P$3)+1)/($P$3:$P$52=1),31)),FIND("  ",INDEX($E$3:$E$52,_xlfn.AGGREGATE(15,6,(ROW($P$3:$P$52)-ROW($P$3)+1)/($P$3:$P$52=1),31))&amp;"  ")-1),LEFT(INDEX($G$3:$G$52,_xlfn.AGGREGATE(15,6,(ROW($P$3:$P$52)-ROW($P$3)+1)/($P$3:$P$52=1),31)),FIND("  ",INDEX($G$3:$G$52,_xlfn.AGGREGATE(15,6,(ROW($P$3:$P$52)-ROW($P$3)+1)/($P$3:$P$52=1),31))&amp;"  ")-1))),"")</f>
        <v/>
      </c>
      <c r="J33" s="55"/>
      <c r="K33" s="54" t="str">
        <f t="array" ref="K33">IFERROR(IF(INDEX($A$3:$A$52,_xlfn.AGGREGATE(15,6,(ROW($P$3:$P$52)-ROW($P$3)+1)/($P$3:$P$52=1),31))&lt;&gt;"",INDEX($C$3:$C$52,_xlfn.AGGREGATE(15,6,(ROW($P$3:$P$52)-ROW($P$3)+1)/($P$3:$P$52=1),31)),""),"")</f>
        <v/>
      </c>
      <c r="L33" s="55"/>
      <c r="M33" s="54" t="str">
        <f t="array" ref="M33">IFERROR(IF(AND(INDEX($A$3:$A$52,_xlfn.AGGREGATE(15,6,(ROW($P$3:$P$52)-ROW($P$3)+1)/($P$3:$P$52=1),31))="",INDEX($E$3:$E$52,_xlfn.AGGREGATE(15,6,(ROW($P$3:$P$52)-ROW($P$3)+1)/($P$3:$P$52=1),31))&lt;&gt;""),INDEX($E$3:$E$52,_xlfn.AGGREGATE(15,6,(ROW($P$3:$P$52)-ROW($P$3)+1)/($P$3:$P$52=1),31)),""),"")</f>
        <v/>
      </c>
      <c r="N33" s="55"/>
      <c r="O33" s="54" t="str">
        <f t="array" ref="O33">IFERROR(IF(AND(INDEX($A$3:$A$52,_xlfn.AGGREGATE(15,6,(ROW($P$3:$P$52)-ROW($P$3)+1)/($P$3:$P$52=1),31))="",INDEX($E$3:$E$52,_xlfn.AGGREGATE(15,6,(ROW($P$3:$P$52)-ROW($P$3)+1)/($P$3:$P$52=1),31))="",INDEX($G$3:$G$52,_xlfn.AGGREGATE(15,6,(ROW($P$3:$P$52)-ROW($P$3)+1)/($P$3:$P$52=1),31))&lt;&gt;""),INDEX($G$3:$G$52,_xlfn.AGGREGATE(15,6,(ROW($P$3:$P$52)-ROW($P$3)+1)/($P$3:$P$52=1),31)),""),"")</f>
        <v/>
      </c>
      <c r="P33" s="56">
        <f>IF(AND(A33&lt;&gt;"",C33&lt;&gt;""),1,0)</f>
        <v>1</v>
      </c>
    </row>
    <row r="34" spans="1:16" ht="39.75" customHeight="1">
      <c r="A34" s="97"/>
      <c r="B34" s="57"/>
      <c r="C34" s="97"/>
      <c r="D34" s="78"/>
      <c r="E34" s="79" t="str">
        <f>IFERROR("4.1  "&amp;VLOOKUP("4.1",'Master Factors'!$G$5:$H$54,2,0),"4.1")</f>
        <v>4.1  Terror and external actor networks INTERDICTED</v>
      </c>
      <c r="F34" s="78"/>
      <c r="G34" s="78"/>
      <c r="H34" s="50"/>
      <c r="I34" s="60" t="str">
        <f t="array" ref="I34">IFERROR(IF(INDEX($A$3:$A$52,_xlfn.AGGREGATE(15,6,(ROW($P$3:$P$52)-ROW($P$3)+1)/($P$3:$P$52=1),32))&lt;&gt;"",INDEX($A$3:$A$52,_xlfn.AGGREGATE(15,6,(ROW($P$3:$P$52)-ROW($P$3)+1)/($P$3:$P$52=1),32)),IF(INDEX($E$3:$E$52,_xlfn.AGGREGATE(15,6,(ROW($P$3:$P$52)-ROW($P$3)+1)/($P$3:$P$52=1),32))&lt;&gt;"",LEFT(INDEX($E$3:$E$52,_xlfn.AGGREGATE(15,6,(ROW($P$3:$P$52)-ROW($P$3)+1)/($P$3:$P$52=1),32)),FIND("  ",INDEX($E$3:$E$52,_xlfn.AGGREGATE(15,6,(ROW($P$3:$P$52)-ROW($P$3)+1)/($P$3:$P$52=1),32))&amp;"  ")-1),LEFT(INDEX($G$3:$G$52,_xlfn.AGGREGATE(15,6,(ROW($P$3:$P$52)-ROW($P$3)+1)/($P$3:$P$52=1),32)),FIND("  ",INDEX($G$3:$G$52,_xlfn.AGGREGATE(15,6,(ROW($P$3:$P$52)-ROW($P$3)+1)/($P$3:$P$52=1),32))&amp;"  ")-1))),"")</f>
        <v/>
      </c>
      <c r="J34" s="61"/>
      <c r="K34" s="60" t="str">
        <f t="array" ref="K34">IFERROR(IF(INDEX($A$3:$A$52,_xlfn.AGGREGATE(15,6,(ROW($P$3:$P$52)-ROW($P$3)+1)/($P$3:$P$52=1),32))&lt;&gt;"",INDEX($C$3:$C$52,_xlfn.AGGREGATE(15,6,(ROW($P$3:$P$52)-ROW($P$3)+1)/($P$3:$P$52=1),32)),""),"")</f>
        <v/>
      </c>
      <c r="L34" s="61"/>
      <c r="M34" s="60" t="str">
        <f t="array" ref="M34">IFERROR(IF(AND(INDEX($A$3:$A$52,_xlfn.AGGREGATE(15,6,(ROW($P$3:$P$52)-ROW($P$3)+1)/($P$3:$P$52=1),32))="",INDEX($E$3:$E$52,_xlfn.AGGREGATE(15,6,(ROW($P$3:$P$52)-ROW($P$3)+1)/($P$3:$P$52=1),32))&lt;&gt;""),INDEX($E$3:$E$52,_xlfn.AGGREGATE(15,6,(ROW($P$3:$P$52)-ROW($P$3)+1)/($P$3:$P$52=1),32)),""),"")</f>
        <v/>
      </c>
      <c r="N34" s="61"/>
      <c r="O34" s="60" t="str">
        <f t="array" ref="O34">IFERROR(IF(AND(INDEX($A$3:$A$52,_xlfn.AGGREGATE(15,6,(ROW($P$3:$P$52)-ROW($P$3)+1)/($P$3:$P$52=1),32))="",INDEX($E$3:$E$52,_xlfn.AGGREGATE(15,6,(ROW($P$3:$P$52)-ROW($P$3)+1)/($P$3:$P$52=1),32))="",INDEX($G$3:$G$52,_xlfn.AGGREGATE(15,6,(ROW($P$3:$P$52)-ROW($P$3)+1)/($P$3:$P$52=1),32))&lt;&gt;""),INDEX($G$3:$G$52,_xlfn.AGGREGATE(15,6,(ROW($P$3:$P$52)-ROW($P$3)+1)/($P$3:$P$52=1),32)),""),"")</f>
        <v/>
      </c>
      <c r="P34" s="56">
        <f>IF(AND(E34&lt;&gt;"",LEN(TRIM(E34))&gt;5),1,0)</f>
        <v>1</v>
      </c>
    </row>
    <row r="35" spans="1:16" ht="39.75" customHeight="1">
      <c r="A35" s="97"/>
      <c r="B35" s="62"/>
      <c r="C35" s="97"/>
      <c r="D35" s="80"/>
      <c r="E35" s="80"/>
      <c r="F35" s="80"/>
      <c r="G35" s="81" t="str">
        <f>IFERROR("4.1.1  "&amp;VLOOKUP("4.1.1",'Master Factors'!$N$5:$O$54,2,0),"4.1.1")</f>
        <v>4.1.1  ISIL/JI operating capacity DISRUPTED</v>
      </c>
      <c r="H35" s="50"/>
      <c r="I35" s="65" t="str">
        <f t="array" ref="I35">IFERROR(IF(INDEX($A$3:$A$52,_xlfn.AGGREGATE(15,6,(ROW($P$3:$P$52)-ROW($P$3)+1)/($P$3:$P$52=1),33))&lt;&gt;"",INDEX($A$3:$A$52,_xlfn.AGGREGATE(15,6,(ROW($P$3:$P$52)-ROW($P$3)+1)/($P$3:$P$52=1),33)),IF(INDEX($E$3:$E$52,_xlfn.AGGREGATE(15,6,(ROW($P$3:$P$52)-ROW($P$3)+1)/($P$3:$P$52=1),33))&lt;&gt;"",LEFT(INDEX($E$3:$E$52,_xlfn.AGGREGATE(15,6,(ROW($P$3:$P$52)-ROW($P$3)+1)/($P$3:$P$52=1),33)),FIND("  ",INDEX($E$3:$E$52,_xlfn.AGGREGATE(15,6,(ROW($P$3:$P$52)-ROW($P$3)+1)/($P$3:$P$52=1),33))&amp;"  ")-1),LEFT(INDEX($G$3:$G$52,_xlfn.AGGREGATE(15,6,(ROW($P$3:$P$52)-ROW($P$3)+1)/($P$3:$P$52=1),33)),FIND("  ",INDEX($G$3:$G$52,_xlfn.AGGREGATE(15,6,(ROW($P$3:$P$52)-ROW($P$3)+1)/($P$3:$P$52=1),33))&amp;"  ")-1))),"")</f>
        <v/>
      </c>
      <c r="J35" s="66"/>
      <c r="K35" s="65" t="str">
        <f t="array" ref="K35">IFERROR(IF(INDEX($A$3:$A$52,_xlfn.AGGREGATE(15,6,(ROW($P$3:$P$52)-ROW($P$3)+1)/($P$3:$P$52=1),33))&lt;&gt;"",INDEX($C$3:$C$52,_xlfn.AGGREGATE(15,6,(ROW($P$3:$P$52)-ROW($P$3)+1)/($P$3:$P$52=1),33)),""),"")</f>
        <v/>
      </c>
      <c r="L35" s="66"/>
      <c r="M35" s="65" t="str">
        <f t="array" ref="M35">IFERROR(IF(AND(INDEX($A$3:$A$52,_xlfn.AGGREGATE(15,6,(ROW($P$3:$P$52)-ROW($P$3)+1)/($P$3:$P$52=1),33))="",INDEX($E$3:$E$52,_xlfn.AGGREGATE(15,6,(ROW($P$3:$P$52)-ROW($P$3)+1)/($P$3:$P$52=1),33))&lt;&gt;""),INDEX($E$3:$E$52,_xlfn.AGGREGATE(15,6,(ROW($P$3:$P$52)-ROW($P$3)+1)/($P$3:$P$52=1),33)),""),"")</f>
        <v/>
      </c>
      <c r="N35" s="66"/>
      <c r="O35" s="65" t="str">
        <f t="array" ref="O35">IFERROR(IF(AND(INDEX($A$3:$A$52,_xlfn.AGGREGATE(15,6,(ROW($P$3:$P$52)-ROW($P$3)+1)/($P$3:$P$52=1),33))="",INDEX($E$3:$E$52,_xlfn.AGGREGATE(15,6,(ROW($P$3:$P$52)-ROW($P$3)+1)/($P$3:$P$52=1),33))="",INDEX($G$3:$G$52,_xlfn.AGGREGATE(15,6,(ROW($P$3:$P$52)-ROW($P$3)+1)/($P$3:$P$52=1),33))&lt;&gt;""),INDEX($G$3:$G$52,_xlfn.AGGREGATE(15,6,(ROW($P$3:$P$52)-ROW($P$3)+1)/($P$3:$P$52=1),33)),""),"")</f>
        <v/>
      </c>
      <c r="P35" s="56">
        <f>IF(AND(G35&lt;&gt;"",LEN(TRIM(G35))&gt;7),1,0)</f>
        <v>1</v>
      </c>
    </row>
    <row r="36" spans="1:16" ht="39.75" customHeight="1">
      <c r="A36" s="97"/>
      <c r="B36" s="62"/>
      <c r="C36" s="97"/>
      <c r="D36" s="80"/>
      <c r="E36" s="80"/>
      <c r="F36" s="80"/>
      <c r="G36" s="81" t="str">
        <f>IFERROR("4.1.2  "&amp;VLOOKUP("4.1.2",'Master Factors'!$N$5:$O$54,2,0),"4.1.2")</f>
        <v>4.1.2  External actor networks DISRUPTED</v>
      </c>
      <c r="H36" s="50"/>
      <c r="I36" s="54" t="str">
        <f t="array" ref="I36">IFERROR(IF(INDEX($A$3:$A$52,_xlfn.AGGREGATE(15,6,(ROW($P$3:$P$52)-ROW($P$3)+1)/($P$3:$P$52=1),34))&lt;&gt;"",INDEX($A$3:$A$52,_xlfn.AGGREGATE(15,6,(ROW($P$3:$P$52)-ROW($P$3)+1)/($P$3:$P$52=1),34)),IF(INDEX($E$3:$E$52,_xlfn.AGGREGATE(15,6,(ROW($P$3:$P$52)-ROW($P$3)+1)/($P$3:$P$52=1),34))&lt;&gt;"",LEFT(INDEX($E$3:$E$52,_xlfn.AGGREGATE(15,6,(ROW($P$3:$P$52)-ROW($P$3)+1)/($P$3:$P$52=1),34)),FIND("  ",INDEX($E$3:$E$52,_xlfn.AGGREGATE(15,6,(ROW($P$3:$P$52)-ROW($P$3)+1)/($P$3:$P$52=1),34))&amp;"  ")-1),LEFT(INDEX($G$3:$G$52,_xlfn.AGGREGATE(15,6,(ROW($P$3:$P$52)-ROW($P$3)+1)/($P$3:$P$52=1),34)),FIND("  ",INDEX($G$3:$G$52,_xlfn.AGGREGATE(15,6,(ROW($P$3:$P$52)-ROW($P$3)+1)/($P$3:$P$52=1),34))&amp;"  ")-1))),"")</f>
        <v/>
      </c>
      <c r="J36" s="55"/>
      <c r="K36" s="54" t="str">
        <f t="array" ref="K36">IFERROR(IF(INDEX($A$3:$A$52,_xlfn.AGGREGATE(15,6,(ROW($P$3:$P$52)-ROW($P$3)+1)/($P$3:$P$52=1),34))&lt;&gt;"",INDEX($C$3:$C$52,_xlfn.AGGREGATE(15,6,(ROW($P$3:$P$52)-ROW($P$3)+1)/($P$3:$P$52=1),34)),""),"")</f>
        <v/>
      </c>
      <c r="L36" s="55"/>
      <c r="M36" s="54" t="str">
        <f t="array" ref="M36">IFERROR(IF(AND(INDEX($A$3:$A$52,_xlfn.AGGREGATE(15,6,(ROW($P$3:$P$52)-ROW($P$3)+1)/($P$3:$P$52=1),34))="",INDEX($E$3:$E$52,_xlfn.AGGREGATE(15,6,(ROW($P$3:$P$52)-ROW($P$3)+1)/($P$3:$P$52=1),34))&lt;&gt;""),INDEX($E$3:$E$52,_xlfn.AGGREGATE(15,6,(ROW($P$3:$P$52)-ROW($P$3)+1)/($P$3:$P$52=1),34)),""),"")</f>
        <v/>
      </c>
      <c r="N36" s="55"/>
      <c r="O36" s="54" t="str">
        <f t="array" ref="O36">IFERROR(IF(AND(INDEX($A$3:$A$52,_xlfn.AGGREGATE(15,6,(ROW($P$3:$P$52)-ROW($P$3)+1)/($P$3:$P$52=1),34))="",INDEX($E$3:$E$52,_xlfn.AGGREGATE(15,6,(ROW($P$3:$P$52)-ROW($P$3)+1)/($P$3:$P$52=1),34))="",INDEX($G$3:$G$52,_xlfn.AGGREGATE(15,6,(ROW($P$3:$P$52)-ROW($P$3)+1)/($P$3:$P$52=1),34))&lt;&gt;""),INDEX($G$3:$G$52,_xlfn.AGGREGATE(15,6,(ROW($P$3:$P$52)-ROW($P$3)+1)/($P$3:$P$52=1),34)),""),"")</f>
        <v/>
      </c>
      <c r="P36" s="56">
        <f>IF(AND(G36&lt;&gt;"",LEN(TRIM(G36))&gt;7),1,0)</f>
        <v>1</v>
      </c>
    </row>
    <row r="37" spans="1:16" ht="39.75" customHeight="1">
      <c r="A37" s="97"/>
      <c r="B37" s="57"/>
      <c r="C37" s="97"/>
      <c r="D37" s="78"/>
      <c r="E37" s="79" t="str">
        <f>IFERROR("4.2  "&amp;VLOOKUP("4.2",'Master Factors'!$G$5:$H$54,2,0),"4.2")</f>
        <v>4.2</v>
      </c>
      <c r="F37" s="78"/>
      <c r="G37" s="78"/>
      <c r="H37" s="50"/>
      <c r="I37" s="60" t="str">
        <f t="array" ref="I37">IFERROR(IF(INDEX($A$3:$A$52,_xlfn.AGGREGATE(15,6,(ROW($P$3:$P$52)-ROW($P$3)+1)/($P$3:$P$52=1),35))&lt;&gt;"",INDEX($A$3:$A$52,_xlfn.AGGREGATE(15,6,(ROW($P$3:$P$52)-ROW($P$3)+1)/($P$3:$P$52=1),35)),IF(INDEX($E$3:$E$52,_xlfn.AGGREGATE(15,6,(ROW($P$3:$P$52)-ROW($P$3)+1)/($P$3:$P$52=1),35))&lt;&gt;"",LEFT(INDEX($E$3:$E$52,_xlfn.AGGREGATE(15,6,(ROW($P$3:$P$52)-ROW($P$3)+1)/($P$3:$P$52=1),35)),FIND("  ",INDEX($E$3:$E$52,_xlfn.AGGREGATE(15,6,(ROW($P$3:$P$52)-ROW($P$3)+1)/($P$3:$P$52=1),35))&amp;"  ")-1),LEFT(INDEX($G$3:$G$52,_xlfn.AGGREGATE(15,6,(ROW($P$3:$P$52)-ROW($P$3)+1)/($P$3:$P$52=1),35)),FIND("  ",INDEX($G$3:$G$52,_xlfn.AGGREGATE(15,6,(ROW($P$3:$P$52)-ROW($P$3)+1)/($P$3:$P$52=1),35))&amp;"  ")-1))),"")</f>
        <v/>
      </c>
      <c r="J37" s="61"/>
      <c r="K37" s="60" t="str">
        <f t="array" ref="K37">IFERROR(IF(INDEX($A$3:$A$52,_xlfn.AGGREGATE(15,6,(ROW($P$3:$P$52)-ROW($P$3)+1)/($P$3:$P$52=1),35))&lt;&gt;"",INDEX($C$3:$C$52,_xlfn.AGGREGATE(15,6,(ROW($P$3:$P$52)-ROW($P$3)+1)/($P$3:$P$52=1),35)),""),"")</f>
        <v/>
      </c>
      <c r="L37" s="61"/>
      <c r="M37" s="60" t="str">
        <f t="array" ref="M37">IFERROR(IF(AND(INDEX($A$3:$A$52,_xlfn.AGGREGATE(15,6,(ROW($P$3:$P$52)-ROW($P$3)+1)/($P$3:$P$52=1),35))="",INDEX($E$3:$E$52,_xlfn.AGGREGATE(15,6,(ROW($P$3:$P$52)-ROW($P$3)+1)/($P$3:$P$52=1),35))&lt;&gt;""),INDEX($E$3:$E$52,_xlfn.AGGREGATE(15,6,(ROW($P$3:$P$52)-ROW($P$3)+1)/($P$3:$P$52=1),35)),""),"")</f>
        <v/>
      </c>
      <c r="N37" s="61"/>
      <c r="O37" s="60" t="str">
        <f t="array" ref="O37">IFERROR(IF(AND(INDEX($A$3:$A$52,_xlfn.AGGREGATE(15,6,(ROW($P$3:$P$52)-ROW($P$3)+1)/($P$3:$P$52=1),35))="",INDEX($E$3:$E$52,_xlfn.AGGREGATE(15,6,(ROW($P$3:$P$52)-ROW($P$3)+1)/($P$3:$P$52=1),35))="",INDEX($G$3:$G$52,_xlfn.AGGREGATE(15,6,(ROW($P$3:$P$52)-ROW($P$3)+1)/($P$3:$P$52=1),35))&lt;&gt;""),INDEX($G$3:$G$52,_xlfn.AGGREGATE(15,6,(ROW($P$3:$P$52)-ROW($P$3)+1)/($P$3:$P$52=1),35)),""),"")</f>
        <v/>
      </c>
      <c r="P37" s="56">
        <f>IF(AND(E37&lt;&gt;"",LEN(TRIM(E37))&gt;5),1,0)</f>
        <v>0</v>
      </c>
    </row>
    <row r="38" spans="1:16" ht="39.75" customHeight="1">
      <c r="A38" s="97"/>
      <c r="B38" s="62"/>
      <c r="C38" s="97"/>
      <c r="D38" s="80"/>
      <c r="E38" s="80"/>
      <c r="F38" s="80"/>
      <c r="G38" s="81" t="str">
        <f>IFERROR("4.2.1  "&amp;VLOOKUP("4.2.1",'Master Factors'!$N$5:$O$54,2,0),"4.2.1")</f>
        <v>4.2.1</v>
      </c>
      <c r="H38" s="50"/>
      <c r="I38" s="65" t="str">
        <f t="array" ref="I38">IFERROR(IF(INDEX($A$3:$A$52,_xlfn.AGGREGATE(15,6,(ROW($P$3:$P$52)-ROW($P$3)+1)/($P$3:$P$52=1),36))&lt;&gt;"",INDEX($A$3:$A$52,_xlfn.AGGREGATE(15,6,(ROW($P$3:$P$52)-ROW($P$3)+1)/($P$3:$P$52=1),36)),IF(INDEX($E$3:$E$52,_xlfn.AGGREGATE(15,6,(ROW($P$3:$P$52)-ROW($P$3)+1)/($P$3:$P$52=1),36))&lt;&gt;"",LEFT(INDEX($E$3:$E$52,_xlfn.AGGREGATE(15,6,(ROW($P$3:$P$52)-ROW($P$3)+1)/($P$3:$P$52=1),36)),FIND("  ",INDEX($E$3:$E$52,_xlfn.AGGREGATE(15,6,(ROW($P$3:$P$52)-ROW($P$3)+1)/($P$3:$P$52=1),36))&amp;"  ")-1),LEFT(INDEX($G$3:$G$52,_xlfn.AGGREGATE(15,6,(ROW($P$3:$P$52)-ROW($P$3)+1)/($P$3:$P$52=1),36)),FIND("  ",INDEX($G$3:$G$52,_xlfn.AGGREGATE(15,6,(ROW($P$3:$P$52)-ROW($P$3)+1)/($P$3:$P$52=1),36))&amp;"  ")-1))),"")</f>
        <v/>
      </c>
      <c r="J38" s="66"/>
      <c r="K38" s="65" t="str">
        <f t="array" ref="K38">IFERROR(IF(INDEX($A$3:$A$52,_xlfn.AGGREGATE(15,6,(ROW($P$3:$P$52)-ROW($P$3)+1)/($P$3:$P$52=1),36))&lt;&gt;"",INDEX($C$3:$C$52,_xlfn.AGGREGATE(15,6,(ROW($P$3:$P$52)-ROW($P$3)+1)/($P$3:$P$52=1),36)),""),"")</f>
        <v/>
      </c>
      <c r="L38" s="66"/>
      <c r="M38" s="65" t="str">
        <f t="array" ref="M38">IFERROR(IF(AND(INDEX($A$3:$A$52,_xlfn.AGGREGATE(15,6,(ROW($P$3:$P$52)-ROW($P$3)+1)/($P$3:$P$52=1),36))="",INDEX($E$3:$E$52,_xlfn.AGGREGATE(15,6,(ROW($P$3:$P$52)-ROW($P$3)+1)/($P$3:$P$52=1),36))&lt;&gt;""),INDEX($E$3:$E$52,_xlfn.AGGREGATE(15,6,(ROW($P$3:$P$52)-ROW($P$3)+1)/($P$3:$P$52=1),36)),""),"")</f>
        <v/>
      </c>
      <c r="N38" s="66"/>
      <c r="O38" s="65" t="str">
        <f t="array" ref="O38">IFERROR(IF(AND(INDEX($A$3:$A$52,_xlfn.AGGREGATE(15,6,(ROW($P$3:$P$52)-ROW($P$3)+1)/($P$3:$P$52=1),36))="",INDEX($E$3:$E$52,_xlfn.AGGREGATE(15,6,(ROW($P$3:$P$52)-ROW($P$3)+1)/($P$3:$P$52=1),36))="",INDEX($G$3:$G$52,_xlfn.AGGREGATE(15,6,(ROW($P$3:$P$52)-ROW($P$3)+1)/($P$3:$P$52=1),36))&lt;&gt;""),INDEX($G$3:$G$52,_xlfn.AGGREGATE(15,6,(ROW($P$3:$P$52)-ROW($P$3)+1)/($P$3:$P$52=1),36)),""),"")</f>
        <v/>
      </c>
      <c r="P38" s="56">
        <f>IF(AND(G38&lt;&gt;"",LEN(TRIM(G38))&gt;7),1,0)</f>
        <v>0</v>
      </c>
    </row>
    <row r="39" spans="1:16" ht="39.75" customHeight="1">
      <c r="A39" s="97"/>
      <c r="B39" s="62"/>
      <c r="C39" s="97"/>
      <c r="D39" s="80"/>
      <c r="E39" s="80"/>
      <c r="F39" s="80"/>
      <c r="G39" s="81" t="str">
        <f>IFERROR("4.2.2  "&amp;VLOOKUP("4.2.2",'Master Factors'!$N$5:$O$54,2,0),"4.2.2")</f>
        <v>4.2.2</v>
      </c>
      <c r="H39" s="50"/>
      <c r="I39" s="54" t="str">
        <f t="array" ref="I39">IFERROR(IF(INDEX($A$3:$A$52,_xlfn.AGGREGATE(15,6,(ROW($P$3:$P$52)-ROW($P$3)+1)/($P$3:$P$52=1),37))&lt;&gt;"",INDEX($A$3:$A$52,_xlfn.AGGREGATE(15,6,(ROW($P$3:$P$52)-ROW($P$3)+1)/($P$3:$P$52=1),37)),IF(INDEX($E$3:$E$52,_xlfn.AGGREGATE(15,6,(ROW($P$3:$P$52)-ROW($P$3)+1)/($P$3:$P$52=1),37))&lt;&gt;"",LEFT(INDEX($E$3:$E$52,_xlfn.AGGREGATE(15,6,(ROW($P$3:$P$52)-ROW($P$3)+1)/($P$3:$P$52=1),37)),FIND("  ",INDEX($E$3:$E$52,_xlfn.AGGREGATE(15,6,(ROW($P$3:$P$52)-ROW($P$3)+1)/($P$3:$P$52=1),37))&amp;"  ")-1),LEFT(INDEX($G$3:$G$52,_xlfn.AGGREGATE(15,6,(ROW($P$3:$P$52)-ROW($P$3)+1)/($P$3:$P$52=1),37)),FIND("  ",INDEX($G$3:$G$52,_xlfn.AGGREGATE(15,6,(ROW($P$3:$P$52)-ROW($P$3)+1)/($P$3:$P$52=1),37))&amp;"  ")-1))),"")</f>
        <v/>
      </c>
      <c r="J39" s="55"/>
      <c r="K39" s="54" t="str">
        <f t="array" ref="K39">IFERROR(IF(INDEX($A$3:$A$52,_xlfn.AGGREGATE(15,6,(ROW($P$3:$P$52)-ROW($P$3)+1)/($P$3:$P$52=1),37))&lt;&gt;"",INDEX($C$3:$C$52,_xlfn.AGGREGATE(15,6,(ROW($P$3:$P$52)-ROW($P$3)+1)/($P$3:$P$52=1),37)),""),"")</f>
        <v/>
      </c>
      <c r="L39" s="55"/>
      <c r="M39" s="54" t="str">
        <f t="array" ref="M39">IFERROR(IF(AND(INDEX($A$3:$A$52,_xlfn.AGGREGATE(15,6,(ROW($P$3:$P$52)-ROW($P$3)+1)/($P$3:$P$52=1),37))="",INDEX($E$3:$E$52,_xlfn.AGGREGATE(15,6,(ROW($P$3:$P$52)-ROW($P$3)+1)/($P$3:$P$52=1),37))&lt;&gt;""),INDEX($E$3:$E$52,_xlfn.AGGREGATE(15,6,(ROW($P$3:$P$52)-ROW($P$3)+1)/($P$3:$P$52=1),37)),""),"")</f>
        <v/>
      </c>
      <c r="N39" s="55"/>
      <c r="O39" s="54" t="str">
        <f t="array" ref="O39">IFERROR(IF(AND(INDEX($A$3:$A$52,_xlfn.AGGREGATE(15,6,(ROW($P$3:$P$52)-ROW($P$3)+1)/($P$3:$P$52=1),37))="",INDEX($E$3:$E$52,_xlfn.AGGREGATE(15,6,(ROW($P$3:$P$52)-ROW($P$3)+1)/($P$3:$P$52=1),37))="",INDEX($G$3:$G$52,_xlfn.AGGREGATE(15,6,(ROW($P$3:$P$52)-ROW($P$3)+1)/($P$3:$P$52=1),37))&lt;&gt;""),INDEX($G$3:$G$52,_xlfn.AGGREGATE(15,6,(ROW($P$3:$P$52)-ROW($P$3)+1)/($P$3:$P$52=1),37)),""),"")</f>
        <v/>
      </c>
      <c r="P39" s="56">
        <f>IF(AND(G39&lt;&gt;"",LEN(TRIM(G39))&gt;7),1,0)</f>
        <v>0</v>
      </c>
    </row>
    <row r="40" spans="1:16" ht="39.75" customHeight="1">
      <c r="A40" s="97"/>
      <c r="B40" s="57"/>
      <c r="C40" s="97"/>
      <c r="D40" s="78"/>
      <c r="E40" s="79" t="str">
        <f>IFERROR("4.3  "&amp;VLOOKUP("4.3",'Master Factors'!$G$5:$H$54,2,0),"4.3")</f>
        <v>4.3</v>
      </c>
      <c r="F40" s="78"/>
      <c r="G40" s="78"/>
      <c r="H40" s="50"/>
      <c r="I40" s="60" t="str">
        <f t="array" ref="I40">IFERROR(IF(INDEX($A$3:$A$52,_xlfn.AGGREGATE(15,6,(ROW($P$3:$P$52)-ROW($P$3)+1)/($P$3:$P$52=1),38))&lt;&gt;"",INDEX($A$3:$A$52,_xlfn.AGGREGATE(15,6,(ROW($P$3:$P$52)-ROW($P$3)+1)/($P$3:$P$52=1),38)),IF(INDEX($E$3:$E$52,_xlfn.AGGREGATE(15,6,(ROW($P$3:$P$52)-ROW($P$3)+1)/($P$3:$P$52=1),38))&lt;&gt;"",LEFT(INDEX($E$3:$E$52,_xlfn.AGGREGATE(15,6,(ROW($P$3:$P$52)-ROW($P$3)+1)/($P$3:$P$52=1),38)),FIND("  ",INDEX($E$3:$E$52,_xlfn.AGGREGATE(15,6,(ROW($P$3:$P$52)-ROW($P$3)+1)/($P$3:$P$52=1),38))&amp;"  ")-1),LEFT(INDEX($G$3:$G$52,_xlfn.AGGREGATE(15,6,(ROW($P$3:$P$52)-ROW($P$3)+1)/($P$3:$P$52=1),38)),FIND("  ",INDEX($G$3:$G$52,_xlfn.AGGREGATE(15,6,(ROW($P$3:$P$52)-ROW($P$3)+1)/($P$3:$P$52=1),38))&amp;"  ")-1))),"")</f>
        <v/>
      </c>
      <c r="J40" s="61"/>
      <c r="K40" s="60" t="str">
        <f t="array" ref="K40">IFERROR(IF(INDEX($A$3:$A$52,_xlfn.AGGREGATE(15,6,(ROW($P$3:$P$52)-ROW($P$3)+1)/($P$3:$P$52=1),38))&lt;&gt;"",INDEX($C$3:$C$52,_xlfn.AGGREGATE(15,6,(ROW($P$3:$P$52)-ROW($P$3)+1)/($P$3:$P$52=1),38)),""),"")</f>
        <v/>
      </c>
      <c r="L40" s="61"/>
      <c r="M40" s="60" t="str">
        <f t="array" ref="M40">IFERROR(IF(AND(INDEX($A$3:$A$52,_xlfn.AGGREGATE(15,6,(ROW($P$3:$P$52)-ROW($P$3)+1)/($P$3:$P$52=1),38))="",INDEX($E$3:$E$52,_xlfn.AGGREGATE(15,6,(ROW($P$3:$P$52)-ROW($P$3)+1)/($P$3:$P$52=1),38))&lt;&gt;""),INDEX($E$3:$E$52,_xlfn.AGGREGATE(15,6,(ROW($P$3:$P$52)-ROW($P$3)+1)/($P$3:$P$52=1),38)),""),"")</f>
        <v/>
      </c>
      <c r="N40" s="61"/>
      <c r="O40" s="60" t="str">
        <f t="array" ref="O40">IFERROR(IF(AND(INDEX($A$3:$A$52,_xlfn.AGGREGATE(15,6,(ROW($P$3:$P$52)-ROW($P$3)+1)/($P$3:$P$52=1),38))="",INDEX($E$3:$E$52,_xlfn.AGGREGATE(15,6,(ROW($P$3:$P$52)-ROW($P$3)+1)/($P$3:$P$52=1),38))="",INDEX($G$3:$G$52,_xlfn.AGGREGATE(15,6,(ROW($P$3:$P$52)-ROW($P$3)+1)/($P$3:$P$52=1),38))&lt;&gt;""),INDEX($G$3:$G$52,_xlfn.AGGREGATE(15,6,(ROW($P$3:$P$52)-ROW($P$3)+1)/($P$3:$P$52=1),38)),""),"")</f>
        <v/>
      </c>
      <c r="P40" s="56">
        <f>IF(AND(E40&lt;&gt;"",LEN(TRIM(E40))&gt;5),1,0)</f>
        <v>0</v>
      </c>
    </row>
    <row r="41" spans="1:16" ht="39.75" customHeight="1">
      <c r="A41" s="97"/>
      <c r="B41" s="62"/>
      <c r="C41" s="97"/>
      <c r="D41" s="80"/>
      <c r="E41" s="80"/>
      <c r="F41" s="80"/>
      <c r="G41" s="81" t="str">
        <f>IFERROR("4.3.1  "&amp;VLOOKUP("4.3.1",'Master Factors'!$N$5:$O$54,2,0),"4.3.1")</f>
        <v>4.3.1</v>
      </c>
      <c r="H41" s="50"/>
      <c r="I41" s="65" t="str">
        <f t="array" ref="I41">IFERROR(IF(INDEX($A$3:$A$52,_xlfn.AGGREGATE(15,6,(ROW($P$3:$P$52)-ROW($P$3)+1)/($P$3:$P$52=1),39))&lt;&gt;"",INDEX($A$3:$A$52,_xlfn.AGGREGATE(15,6,(ROW($P$3:$P$52)-ROW($P$3)+1)/($P$3:$P$52=1),39)),IF(INDEX($E$3:$E$52,_xlfn.AGGREGATE(15,6,(ROW($P$3:$P$52)-ROW($P$3)+1)/($P$3:$P$52=1),39))&lt;&gt;"",LEFT(INDEX($E$3:$E$52,_xlfn.AGGREGATE(15,6,(ROW($P$3:$P$52)-ROW($P$3)+1)/($P$3:$P$52=1),39)),FIND("  ",INDEX($E$3:$E$52,_xlfn.AGGREGATE(15,6,(ROW($P$3:$P$52)-ROW($P$3)+1)/($P$3:$P$52=1),39))&amp;"  ")-1),LEFT(INDEX($G$3:$G$52,_xlfn.AGGREGATE(15,6,(ROW($P$3:$P$52)-ROW($P$3)+1)/($P$3:$P$52=1),39)),FIND("  ",INDEX($G$3:$G$52,_xlfn.AGGREGATE(15,6,(ROW($P$3:$P$52)-ROW($P$3)+1)/($P$3:$P$52=1),39))&amp;"  ")-1))),"")</f>
        <v/>
      </c>
      <c r="J41" s="66"/>
      <c r="K41" s="65" t="str">
        <f t="array" ref="K41">IFERROR(IF(INDEX($A$3:$A$52,_xlfn.AGGREGATE(15,6,(ROW($P$3:$P$52)-ROW($P$3)+1)/($P$3:$P$52=1),39))&lt;&gt;"",INDEX($C$3:$C$52,_xlfn.AGGREGATE(15,6,(ROW($P$3:$P$52)-ROW($P$3)+1)/($P$3:$P$52=1),39)),""),"")</f>
        <v/>
      </c>
      <c r="L41" s="66"/>
      <c r="M41" s="65" t="str">
        <f t="array" ref="M41">IFERROR(IF(AND(INDEX($A$3:$A$52,_xlfn.AGGREGATE(15,6,(ROW($P$3:$P$52)-ROW($P$3)+1)/($P$3:$P$52=1),39))="",INDEX($E$3:$E$52,_xlfn.AGGREGATE(15,6,(ROW($P$3:$P$52)-ROW($P$3)+1)/($P$3:$P$52=1),39))&lt;&gt;""),INDEX($E$3:$E$52,_xlfn.AGGREGATE(15,6,(ROW($P$3:$P$52)-ROW($P$3)+1)/($P$3:$P$52=1),39)),""),"")</f>
        <v/>
      </c>
      <c r="N41" s="66"/>
      <c r="O41" s="65" t="str">
        <f t="array" ref="O41">IFERROR(IF(AND(INDEX($A$3:$A$52,_xlfn.AGGREGATE(15,6,(ROW($P$3:$P$52)-ROW($P$3)+1)/($P$3:$P$52=1),39))="",INDEX($E$3:$E$52,_xlfn.AGGREGATE(15,6,(ROW($P$3:$P$52)-ROW($P$3)+1)/($P$3:$P$52=1),39))="",INDEX($G$3:$G$52,_xlfn.AGGREGATE(15,6,(ROW($P$3:$P$52)-ROW($P$3)+1)/($P$3:$P$52=1),39))&lt;&gt;""),INDEX($G$3:$G$52,_xlfn.AGGREGATE(15,6,(ROW($P$3:$P$52)-ROW($P$3)+1)/($P$3:$P$52=1),39)),""),"")</f>
        <v/>
      </c>
      <c r="P41" s="56">
        <f>IF(AND(G41&lt;&gt;"",LEN(TRIM(G41))&gt;7),1,0)</f>
        <v>0</v>
      </c>
    </row>
    <row r="42" spans="1:16" ht="39.75" customHeight="1">
      <c r="A42" s="98"/>
      <c r="B42" s="62"/>
      <c r="C42" s="98"/>
      <c r="D42" s="80"/>
      <c r="E42" s="80"/>
      <c r="F42" s="80"/>
      <c r="G42" s="81" t="str">
        <f>IFERROR("4.3.2  "&amp;VLOOKUP("4.3.2",'Master Factors'!$N$5:$O$54,2,0),"4.3.2")</f>
        <v>4.3.2</v>
      </c>
      <c r="H42" s="50"/>
      <c r="I42" s="54" t="str">
        <f t="array" ref="I42">IFERROR(IF(INDEX($A$3:$A$52,_xlfn.AGGREGATE(15,6,(ROW($P$3:$P$52)-ROW($P$3)+1)/($P$3:$P$52=1),40))&lt;&gt;"",INDEX($A$3:$A$52,_xlfn.AGGREGATE(15,6,(ROW($P$3:$P$52)-ROW($P$3)+1)/($P$3:$P$52=1),40)),IF(INDEX($E$3:$E$52,_xlfn.AGGREGATE(15,6,(ROW($P$3:$P$52)-ROW($P$3)+1)/($P$3:$P$52=1),40))&lt;&gt;"",LEFT(INDEX($E$3:$E$52,_xlfn.AGGREGATE(15,6,(ROW($P$3:$P$52)-ROW($P$3)+1)/($P$3:$P$52=1),40)),FIND("  ",INDEX($E$3:$E$52,_xlfn.AGGREGATE(15,6,(ROW($P$3:$P$52)-ROW($P$3)+1)/($P$3:$P$52=1),40))&amp;"  ")-1),LEFT(INDEX($G$3:$G$52,_xlfn.AGGREGATE(15,6,(ROW($P$3:$P$52)-ROW($P$3)+1)/($P$3:$P$52=1),40)),FIND("  ",INDEX($G$3:$G$52,_xlfn.AGGREGATE(15,6,(ROW($P$3:$P$52)-ROW($P$3)+1)/($P$3:$P$52=1),40))&amp;"  ")-1))),"")</f>
        <v/>
      </c>
      <c r="J42" s="55"/>
      <c r="K42" s="54" t="str">
        <f t="array" ref="K42">IFERROR(IF(INDEX($A$3:$A$52,_xlfn.AGGREGATE(15,6,(ROW($P$3:$P$52)-ROW($P$3)+1)/($P$3:$P$52=1),40))&lt;&gt;"",INDEX($C$3:$C$52,_xlfn.AGGREGATE(15,6,(ROW($P$3:$P$52)-ROW($P$3)+1)/($P$3:$P$52=1),40)),""),"")</f>
        <v/>
      </c>
      <c r="L42" s="55"/>
      <c r="M42" s="54" t="str">
        <f t="array" ref="M42">IFERROR(IF(AND(INDEX($A$3:$A$52,_xlfn.AGGREGATE(15,6,(ROW($P$3:$P$52)-ROW($P$3)+1)/($P$3:$P$52=1),40))="",INDEX($E$3:$E$52,_xlfn.AGGREGATE(15,6,(ROW($P$3:$P$52)-ROW($P$3)+1)/($P$3:$P$52=1),40))&lt;&gt;""),INDEX($E$3:$E$52,_xlfn.AGGREGATE(15,6,(ROW($P$3:$P$52)-ROW($P$3)+1)/($P$3:$P$52=1),40)),""),"")</f>
        <v/>
      </c>
      <c r="N42" s="55"/>
      <c r="O42" s="54" t="str">
        <f t="array" ref="O42">IFERROR(IF(AND(INDEX($A$3:$A$52,_xlfn.AGGREGATE(15,6,(ROW($P$3:$P$52)-ROW($P$3)+1)/($P$3:$P$52=1),40))="",INDEX($E$3:$E$52,_xlfn.AGGREGATE(15,6,(ROW($P$3:$P$52)-ROW($P$3)+1)/($P$3:$P$52=1),40))="",INDEX($G$3:$G$52,_xlfn.AGGREGATE(15,6,(ROW($P$3:$P$52)-ROW($P$3)+1)/($P$3:$P$52=1),40))&lt;&gt;""),INDEX($G$3:$G$52,_xlfn.AGGREGATE(15,6,(ROW($P$3:$P$52)-ROW($P$3)+1)/($P$3:$P$52=1),40)),""),"")</f>
        <v/>
      </c>
      <c r="P42" s="56">
        <f>IF(AND(G42&lt;&gt;"",LEN(TRIM(G42))&gt;7),1,0)</f>
        <v>0</v>
      </c>
    </row>
    <row r="43" spans="1:16" ht="39.75" customHeight="1">
      <c r="A43" s="127" t="s">
        <v>219</v>
      </c>
      <c r="B43" s="52"/>
      <c r="C43" s="126" t="str">
        <f>IFERROR(VLOOKUP(5,'Master Factors'!$A$5:$B$54,2,0),"")</f>
        <v/>
      </c>
      <c r="D43" s="82"/>
      <c r="E43" s="82"/>
      <c r="F43" s="82"/>
      <c r="G43" s="82"/>
      <c r="H43" s="50"/>
      <c r="I43" s="60" t="str">
        <f t="array" ref="I43">IFERROR(IF(INDEX($A$3:$A$52,_xlfn.AGGREGATE(15,6,(ROW($P$3:$P$52)-ROW($P$3)+1)/($P$3:$P$52=1),41))&lt;&gt;"",INDEX($A$3:$A$52,_xlfn.AGGREGATE(15,6,(ROW($P$3:$P$52)-ROW($P$3)+1)/($P$3:$P$52=1),41)),IF(INDEX($E$3:$E$52,_xlfn.AGGREGATE(15,6,(ROW($P$3:$P$52)-ROW($P$3)+1)/($P$3:$P$52=1),41))&lt;&gt;"",LEFT(INDEX($E$3:$E$52,_xlfn.AGGREGATE(15,6,(ROW($P$3:$P$52)-ROW($P$3)+1)/($P$3:$P$52=1),41)),FIND("  ",INDEX($E$3:$E$52,_xlfn.AGGREGATE(15,6,(ROW($P$3:$P$52)-ROW($P$3)+1)/($P$3:$P$52=1),41))&amp;"  ")-1),LEFT(INDEX($G$3:$G$52,_xlfn.AGGREGATE(15,6,(ROW($P$3:$P$52)-ROW($P$3)+1)/($P$3:$P$52=1),41)),FIND("  ",INDEX($G$3:$G$52,_xlfn.AGGREGATE(15,6,(ROW($P$3:$P$52)-ROW($P$3)+1)/($P$3:$P$52=1),41))&amp;"  ")-1))),"")</f>
        <v/>
      </c>
      <c r="J43" s="61"/>
      <c r="K43" s="60" t="str">
        <f t="array" ref="K43">IFERROR(IF(INDEX($A$3:$A$52,_xlfn.AGGREGATE(15,6,(ROW($P$3:$P$52)-ROW($P$3)+1)/($P$3:$P$52=1),41))&lt;&gt;"",INDEX($C$3:$C$52,_xlfn.AGGREGATE(15,6,(ROW($P$3:$P$52)-ROW($P$3)+1)/($P$3:$P$52=1),41)),""),"")</f>
        <v/>
      </c>
      <c r="L43" s="61"/>
      <c r="M43" s="60" t="str">
        <f t="array" ref="M43">IFERROR(IF(AND(INDEX($A$3:$A$52,_xlfn.AGGREGATE(15,6,(ROW($P$3:$P$52)-ROW($P$3)+1)/($P$3:$P$52=1),41))="",INDEX($E$3:$E$52,_xlfn.AGGREGATE(15,6,(ROW($P$3:$P$52)-ROW($P$3)+1)/($P$3:$P$52=1),41))&lt;&gt;""),INDEX($E$3:$E$52,_xlfn.AGGREGATE(15,6,(ROW($P$3:$P$52)-ROW($P$3)+1)/($P$3:$P$52=1),41)),""),"")</f>
        <v/>
      </c>
      <c r="N43" s="61"/>
      <c r="O43" s="60" t="str">
        <f t="array" ref="O43">IFERROR(IF(AND(INDEX($A$3:$A$52,_xlfn.AGGREGATE(15,6,(ROW($P$3:$P$52)-ROW($P$3)+1)/($P$3:$P$52=1),41))="",INDEX($E$3:$E$52,_xlfn.AGGREGATE(15,6,(ROW($P$3:$P$52)-ROW($P$3)+1)/($P$3:$P$52=1),41))="",INDEX($G$3:$G$52,_xlfn.AGGREGATE(15,6,(ROW($P$3:$P$52)-ROW($P$3)+1)/($P$3:$P$52=1),41))&lt;&gt;""),INDEX($G$3:$G$52,_xlfn.AGGREGATE(15,6,(ROW($P$3:$P$52)-ROW($P$3)+1)/($P$3:$P$52=1),41)),""),"")</f>
        <v/>
      </c>
      <c r="P43" s="56">
        <f>IF(AND(A43&lt;&gt;"",C43&lt;&gt;""),1,0)</f>
        <v>0</v>
      </c>
    </row>
    <row r="44" spans="1:16" ht="39.75" customHeight="1">
      <c r="A44" s="97"/>
      <c r="B44" s="57"/>
      <c r="C44" s="97"/>
      <c r="D44" s="83"/>
      <c r="E44" s="84" t="str">
        <f>IFERROR("5.1  "&amp;VLOOKUP("5.1",'Master Factors'!$G$5:$H$54,2,0),"5.1")</f>
        <v>5.1</v>
      </c>
      <c r="F44" s="83"/>
      <c r="G44" s="83"/>
      <c r="H44" s="50"/>
      <c r="I44" s="65" t="str">
        <f t="array" ref="I44">IFERROR(IF(INDEX($A$3:$A$52,_xlfn.AGGREGATE(15,6,(ROW($P$3:$P$52)-ROW($P$3)+1)/($P$3:$P$52=1),42))&lt;&gt;"",INDEX($A$3:$A$52,_xlfn.AGGREGATE(15,6,(ROW($P$3:$P$52)-ROW($P$3)+1)/($P$3:$P$52=1),42)),IF(INDEX($E$3:$E$52,_xlfn.AGGREGATE(15,6,(ROW($P$3:$P$52)-ROW($P$3)+1)/($P$3:$P$52=1),42))&lt;&gt;"",LEFT(INDEX($E$3:$E$52,_xlfn.AGGREGATE(15,6,(ROW($P$3:$P$52)-ROW($P$3)+1)/($P$3:$P$52=1),42)),FIND("  ",INDEX($E$3:$E$52,_xlfn.AGGREGATE(15,6,(ROW($P$3:$P$52)-ROW($P$3)+1)/($P$3:$P$52=1),42))&amp;"  ")-1),LEFT(INDEX($G$3:$G$52,_xlfn.AGGREGATE(15,6,(ROW($P$3:$P$52)-ROW($P$3)+1)/($P$3:$P$52=1),42)),FIND("  ",INDEX($G$3:$G$52,_xlfn.AGGREGATE(15,6,(ROW($P$3:$P$52)-ROW($P$3)+1)/($P$3:$P$52=1),42))&amp;"  ")-1))),"")</f>
        <v/>
      </c>
      <c r="J44" s="66"/>
      <c r="K44" s="65" t="str">
        <f t="array" ref="K44">IFERROR(IF(INDEX($A$3:$A$52,_xlfn.AGGREGATE(15,6,(ROW($P$3:$P$52)-ROW($P$3)+1)/($P$3:$P$52=1),42))&lt;&gt;"",INDEX($C$3:$C$52,_xlfn.AGGREGATE(15,6,(ROW($P$3:$P$52)-ROW($P$3)+1)/($P$3:$P$52=1),42)),""),"")</f>
        <v/>
      </c>
      <c r="L44" s="66"/>
      <c r="M44" s="65" t="str">
        <f t="array" ref="M44">IFERROR(IF(AND(INDEX($A$3:$A$52,_xlfn.AGGREGATE(15,6,(ROW($P$3:$P$52)-ROW($P$3)+1)/($P$3:$P$52=1),42))="",INDEX($E$3:$E$52,_xlfn.AGGREGATE(15,6,(ROW($P$3:$P$52)-ROW($P$3)+1)/($P$3:$P$52=1),42))&lt;&gt;""),INDEX($E$3:$E$52,_xlfn.AGGREGATE(15,6,(ROW($P$3:$P$52)-ROW($P$3)+1)/($P$3:$P$52=1),42)),""),"")</f>
        <v/>
      </c>
      <c r="N44" s="66"/>
      <c r="O44" s="65" t="str">
        <f t="array" ref="O44">IFERROR(IF(AND(INDEX($A$3:$A$52,_xlfn.AGGREGATE(15,6,(ROW($P$3:$P$52)-ROW($P$3)+1)/($P$3:$P$52=1),42))="",INDEX($E$3:$E$52,_xlfn.AGGREGATE(15,6,(ROW($P$3:$P$52)-ROW($P$3)+1)/($P$3:$P$52=1),42))="",INDEX($G$3:$G$52,_xlfn.AGGREGATE(15,6,(ROW($P$3:$P$52)-ROW($P$3)+1)/($P$3:$P$52=1),42))&lt;&gt;""),INDEX($G$3:$G$52,_xlfn.AGGREGATE(15,6,(ROW($P$3:$P$52)-ROW($P$3)+1)/($P$3:$P$52=1),42)),""),"")</f>
        <v/>
      </c>
      <c r="P44" s="56">
        <f>IF(AND(E44&lt;&gt;"",LEN(TRIM(E44))&gt;5),1,0)</f>
        <v>0</v>
      </c>
    </row>
    <row r="45" spans="1:16" ht="39.75" customHeight="1">
      <c r="A45" s="97"/>
      <c r="B45" s="62"/>
      <c r="C45" s="97"/>
      <c r="D45" s="85"/>
      <c r="E45" s="85"/>
      <c r="F45" s="85"/>
      <c r="G45" s="86" t="str">
        <f>IFERROR("5.1.1  "&amp;VLOOKUP("5.1.1",'Master Factors'!$N$5:$O$54,2,0),"5.1.1")</f>
        <v>5.1.1</v>
      </c>
      <c r="H45" s="50"/>
      <c r="I45" s="54" t="str">
        <f t="array" ref="I45">IFERROR(IF(INDEX($A$3:$A$52,_xlfn.AGGREGATE(15,6,(ROW($P$3:$P$52)-ROW($P$3)+1)/($P$3:$P$52=1),43))&lt;&gt;"",INDEX($A$3:$A$52,_xlfn.AGGREGATE(15,6,(ROW($P$3:$P$52)-ROW($P$3)+1)/($P$3:$P$52=1),43)),IF(INDEX($E$3:$E$52,_xlfn.AGGREGATE(15,6,(ROW($P$3:$P$52)-ROW($P$3)+1)/($P$3:$P$52=1),43))&lt;&gt;"",LEFT(INDEX($E$3:$E$52,_xlfn.AGGREGATE(15,6,(ROW($P$3:$P$52)-ROW($P$3)+1)/($P$3:$P$52=1),43)),FIND("  ",INDEX($E$3:$E$52,_xlfn.AGGREGATE(15,6,(ROW($P$3:$P$52)-ROW($P$3)+1)/($P$3:$P$52=1),43))&amp;"  ")-1),LEFT(INDEX($G$3:$G$52,_xlfn.AGGREGATE(15,6,(ROW($P$3:$P$52)-ROW($P$3)+1)/($P$3:$P$52=1),43)),FIND("  ",INDEX($G$3:$G$52,_xlfn.AGGREGATE(15,6,(ROW($P$3:$P$52)-ROW($P$3)+1)/($P$3:$P$52=1),43))&amp;"  ")-1))),"")</f>
        <v/>
      </c>
      <c r="J45" s="55"/>
      <c r="K45" s="54" t="str">
        <f t="array" ref="K45">IFERROR(IF(INDEX($A$3:$A$52,_xlfn.AGGREGATE(15,6,(ROW($P$3:$P$52)-ROW($P$3)+1)/($P$3:$P$52=1),43))&lt;&gt;"",INDEX($C$3:$C$52,_xlfn.AGGREGATE(15,6,(ROW($P$3:$P$52)-ROW($P$3)+1)/($P$3:$P$52=1),43)),""),"")</f>
        <v/>
      </c>
      <c r="L45" s="55"/>
      <c r="M45" s="54" t="str">
        <f t="array" ref="M45">IFERROR(IF(AND(INDEX($A$3:$A$52,_xlfn.AGGREGATE(15,6,(ROW($P$3:$P$52)-ROW($P$3)+1)/($P$3:$P$52=1),43))="",INDEX($E$3:$E$52,_xlfn.AGGREGATE(15,6,(ROW($P$3:$P$52)-ROW($P$3)+1)/($P$3:$P$52=1),43))&lt;&gt;""),INDEX($E$3:$E$52,_xlfn.AGGREGATE(15,6,(ROW($P$3:$P$52)-ROW($P$3)+1)/($P$3:$P$52=1),43)),""),"")</f>
        <v/>
      </c>
      <c r="N45" s="55"/>
      <c r="O45" s="54" t="str">
        <f t="array" ref="O45">IFERROR(IF(AND(INDEX($A$3:$A$52,_xlfn.AGGREGATE(15,6,(ROW($P$3:$P$52)-ROW($P$3)+1)/($P$3:$P$52=1),43))="",INDEX($E$3:$E$52,_xlfn.AGGREGATE(15,6,(ROW($P$3:$P$52)-ROW($P$3)+1)/($P$3:$P$52=1),43))="",INDEX($G$3:$G$52,_xlfn.AGGREGATE(15,6,(ROW($P$3:$P$52)-ROW($P$3)+1)/($P$3:$P$52=1),43))&lt;&gt;""),INDEX($G$3:$G$52,_xlfn.AGGREGATE(15,6,(ROW($P$3:$P$52)-ROW($P$3)+1)/($P$3:$P$52=1),43)),""),"")</f>
        <v/>
      </c>
      <c r="P45" s="56">
        <f>IF(AND(G45&lt;&gt;"",LEN(TRIM(G45))&gt;7),1,0)</f>
        <v>0</v>
      </c>
    </row>
    <row r="46" spans="1:16" ht="39.75" customHeight="1">
      <c r="A46" s="97"/>
      <c r="B46" s="62"/>
      <c r="C46" s="97"/>
      <c r="D46" s="85"/>
      <c r="E46" s="85"/>
      <c r="F46" s="85"/>
      <c r="G46" s="86" t="str">
        <f>IFERROR("5.1.2  "&amp;VLOOKUP("5.1.2",'Master Factors'!$N$5:$O$54,2,0),"5.1.2")</f>
        <v>5.1.2</v>
      </c>
      <c r="H46" s="50"/>
      <c r="I46" s="60" t="str">
        <f t="array" ref="I46">IFERROR(IF(INDEX($A$3:$A$52,_xlfn.AGGREGATE(15,6,(ROW($P$3:$P$52)-ROW($P$3)+1)/($P$3:$P$52=1),44))&lt;&gt;"",INDEX($A$3:$A$52,_xlfn.AGGREGATE(15,6,(ROW($P$3:$P$52)-ROW($P$3)+1)/($P$3:$P$52=1),44)),IF(INDEX($E$3:$E$52,_xlfn.AGGREGATE(15,6,(ROW($P$3:$P$52)-ROW($P$3)+1)/($P$3:$P$52=1),44))&lt;&gt;"",LEFT(INDEX($E$3:$E$52,_xlfn.AGGREGATE(15,6,(ROW($P$3:$P$52)-ROW($P$3)+1)/($P$3:$P$52=1),44)),FIND("  ",INDEX($E$3:$E$52,_xlfn.AGGREGATE(15,6,(ROW($P$3:$P$52)-ROW($P$3)+1)/($P$3:$P$52=1),44))&amp;"  ")-1),LEFT(INDEX($G$3:$G$52,_xlfn.AGGREGATE(15,6,(ROW($P$3:$P$52)-ROW($P$3)+1)/($P$3:$P$52=1),44)),FIND("  ",INDEX($G$3:$G$52,_xlfn.AGGREGATE(15,6,(ROW($P$3:$P$52)-ROW($P$3)+1)/($P$3:$P$52=1),44))&amp;"  ")-1))),"")</f>
        <v/>
      </c>
      <c r="J46" s="61"/>
      <c r="K46" s="60" t="str">
        <f t="array" ref="K46">IFERROR(IF(INDEX($A$3:$A$52,_xlfn.AGGREGATE(15,6,(ROW($P$3:$P$52)-ROW($P$3)+1)/($P$3:$P$52=1),44))&lt;&gt;"",INDEX($C$3:$C$52,_xlfn.AGGREGATE(15,6,(ROW($P$3:$P$52)-ROW($P$3)+1)/($P$3:$P$52=1),44)),""),"")</f>
        <v/>
      </c>
      <c r="L46" s="61"/>
      <c r="M46" s="60" t="str">
        <f t="array" ref="M46">IFERROR(IF(AND(INDEX($A$3:$A$52,_xlfn.AGGREGATE(15,6,(ROW($P$3:$P$52)-ROW($P$3)+1)/($P$3:$P$52=1),44))="",INDEX($E$3:$E$52,_xlfn.AGGREGATE(15,6,(ROW($P$3:$P$52)-ROW($P$3)+1)/($P$3:$P$52=1),44))&lt;&gt;""),INDEX($E$3:$E$52,_xlfn.AGGREGATE(15,6,(ROW($P$3:$P$52)-ROW($P$3)+1)/($P$3:$P$52=1),44)),""),"")</f>
        <v/>
      </c>
      <c r="N46" s="61"/>
      <c r="O46" s="60" t="str">
        <f t="array" ref="O46">IFERROR(IF(AND(INDEX($A$3:$A$52,_xlfn.AGGREGATE(15,6,(ROW($P$3:$P$52)-ROW($P$3)+1)/($P$3:$P$52=1),44))="",INDEX($E$3:$E$52,_xlfn.AGGREGATE(15,6,(ROW($P$3:$P$52)-ROW($P$3)+1)/($P$3:$P$52=1),44))="",INDEX($G$3:$G$52,_xlfn.AGGREGATE(15,6,(ROW($P$3:$P$52)-ROW($P$3)+1)/($P$3:$P$52=1),44))&lt;&gt;""),INDEX($G$3:$G$52,_xlfn.AGGREGATE(15,6,(ROW($P$3:$P$52)-ROW($P$3)+1)/($P$3:$P$52=1),44)),""),"")</f>
        <v/>
      </c>
      <c r="P46" s="56">
        <f>IF(AND(G46&lt;&gt;"",LEN(TRIM(G46))&gt;7),1,0)</f>
        <v>0</v>
      </c>
    </row>
    <row r="47" spans="1:16" ht="39.75" customHeight="1">
      <c r="A47" s="97"/>
      <c r="B47" s="57"/>
      <c r="C47" s="97"/>
      <c r="D47" s="83"/>
      <c r="E47" s="84" t="str">
        <f>IFERROR("5.2  "&amp;VLOOKUP("5.2",'Master Factors'!$G$5:$H$54,2,0),"5.2")</f>
        <v>5.2</v>
      </c>
      <c r="F47" s="83"/>
      <c r="G47" s="83"/>
      <c r="H47" s="50"/>
      <c r="I47" s="65" t="str">
        <f t="array" ref="I47">IFERROR(IF(INDEX($A$3:$A$52,_xlfn.AGGREGATE(15,6,(ROW($P$3:$P$52)-ROW($P$3)+1)/($P$3:$P$52=1),45))&lt;&gt;"",INDEX($A$3:$A$52,_xlfn.AGGREGATE(15,6,(ROW($P$3:$P$52)-ROW($P$3)+1)/($P$3:$P$52=1),45)),IF(INDEX($E$3:$E$52,_xlfn.AGGREGATE(15,6,(ROW($P$3:$P$52)-ROW($P$3)+1)/($P$3:$P$52=1),45))&lt;&gt;"",LEFT(INDEX($E$3:$E$52,_xlfn.AGGREGATE(15,6,(ROW($P$3:$P$52)-ROW($P$3)+1)/($P$3:$P$52=1),45)),FIND("  ",INDEX($E$3:$E$52,_xlfn.AGGREGATE(15,6,(ROW($P$3:$P$52)-ROW($P$3)+1)/($P$3:$P$52=1),45))&amp;"  ")-1),LEFT(INDEX($G$3:$G$52,_xlfn.AGGREGATE(15,6,(ROW($P$3:$P$52)-ROW($P$3)+1)/($P$3:$P$52=1),45)),FIND("  ",INDEX($G$3:$G$52,_xlfn.AGGREGATE(15,6,(ROW($P$3:$P$52)-ROW($P$3)+1)/($P$3:$P$52=1),45))&amp;"  ")-1))),"")</f>
        <v/>
      </c>
      <c r="J47" s="66"/>
      <c r="K47" s="65" t="str">
        <f t="array" ref="K47">IFERROR(IF(INDEX($A$3:$A$52,_xlfn.AGGREGATE(15,6,(ROW($P$3:$P$52)-ROW($P$3)+1)/($P$3:$P$52=1),45))&lt;&gt;"",INDEX($C$3:$C$52,_xlfn.AGGREGATE(15,6,(ROW($P$3:$P$52)-ROW($P$3)+1)/($P$3:$P$52=1),45)),""),"")</f>
        <v/>
      </c>
      <c r="L47" s="66"/>
      <c r="M47" s="65" t="str">
        <f t="array" ref="M47">IFERROR(IF(AND(INDEX($A$3:$A$52,_xlfn.AGGREGATE(15,6,(ROW($P$3:$P$52)-ROW($P$3)+1)/($P$3:$P$52=1),45))="",INDEX($E$3:$E$52,_xlfn.AGGREGATE(15,6,(ROW($P$3:$P$52)-ROW($P$3)+1)/($P$3:$P$52=1),45))&lt;&gt;""),INDEX($E$3:$E$52,_xlfn.AGGREGATE(15,6,(ROW($P$3:$P$52)-ROW($P$3)+1)/($P$3:$P$52=1),45)),""),"")</f>
        <v/>
      </c>
      <c r="N47" s="66"/>
      <c r="O47" s="65" t="str">
        <f t="array" ref="O47">IFERROR(IF(AND(INDEX($A$3:$A$52,_xlfn.AGGREGATE(15,6,(ROW($P$3:$P$52)-ROW($P$3)+1)/($P$3:$P$52=1),45))="",INDEX($E$3:$E$52,_xlfn.AGGREGATE(15,6,(ROW($P$3:$P$52)-ROW($P$3)+1)/($P$3:$P$52=1),45))="",INDEX($G$3:$G$52,_xlfn.AGGREGATE(15,6,(ROW($P$3:$P$52)-ROW($P$3)+1)/($P$3:$P$52=1),45))&lt;&gt;""),INDEX($G$3:$G$52,_xlfn.AGGREGATE(15,6,(ROW($P$3:$P$52)-ROW($P$3)+1)/($P$3:$P$52=1),45)),""),"")</f>
        <v/>
      </c>
      <c r="P47" s="56">
        <f>IF(AND(E47&lt;&gt;"",LEN(TRIM(E47))&gt;5),1,0)</f>
        <v>0</v>
      </c>
    </row>
    <row r="48" spans="1:16" ht="39.75" customHeight="1">
      <c r="A48" s="97"/>
      <c r="B48" s="62"/>
      <c r="C48" s="97"/>
      <c r="D48" s="85"/>
      <c r="E48" s="85"/>
      <c r="F48" s="85"/>
      <c r="G48" s="86" t="str">
        <f>IFERROR("5.2.1  "&amp;VLOOKUP("5.2.1",'Master Factors'!$N$5:$O$54,2,0),"5.2.1")</f>
        <v>5.2.1</v>
      </c>
      <c r="H48" s="50"/>
      <c r="I48" s="54" t="str">
        <f t="array" ref="I48">IFERROR(IF(INDEX($A$3:$A$52,_xlfn.AGGREGATE(15,6,(ROW($P$3:$P$52)-ROW($P$3)+1)/($P$3:$P$52=1),46))&lt;&gt;"",INDEX($A$3:$A$52,_xlfn.AGGREGATE(15,6,(ROW($P$3:$P$52)-ROW($P$3)+1)/($P$3:$P$52=1),46)),IF(INDEX($E$3:$E$52,_xlfn.AGGREGATE(15,6,(ROW($P$3:$P$52)-ROW($P$3)+1)/($P$3:$P$52=1),46))&lt;&gt;"",LEFT(INDEX($E$3:$E$52,_xlfn.AGGREGATE(15,6,(ROW($P$3:$P$52)-ROW($P$3)+1)/($P$3:$P$52=1),46)),FIND("  ",INDEX($E$3:$E$52,_xlfn.AGGREGATE(15,6,(ROW($P$3:$P$52)-ROW($P$3)+1)/($P$3:$P$52=1),46))&amp;"  ")-1),LEFT(INDEX($G$3:$G$52,_xlfn.AGGREGATE(15,6,(ROW($P$3:$P$52)-ROW($P$3)+1)/($P$3:$P$52=1),46)),FIND("  ",INDEX($G$3:$G$52,_xlfn.AGGREGATE(15,6,(ROW($P$3:$P$52)-ROW($P$3)+1)/($P$3:$P$52=1),46))&amp;"  ")-1))),"")</f>
        <v/>
      </c>
      <c r="J48" s="55"/>
      <c r="K48" s="54" t="str">
        <f t="array" ref="K48">IFERROR(IF(INDEX($A$3:$A$52,_xlfn.AGGREGATE(15,6,(ROW($P$3:$P$52)-ROW($P$3)+1)/($P$3:$P$52=1),46))&lt;&gt;"",INDEX($C$3:$C$52,_xlfn.AGGREGATE(15,6,(ROW($P$3:$P$52)-ROW($P$3)+1)/($P$3:$P$52=1),46)),""),"")</f>
        <v/>
      </c>
      <c r="L48" s="55"/>
      <c r="M48" s="54" t="str">
        <f t="array" ref="M48">IFERROR(IF(AND(INDEX($A$3:$A$52,_xlfn.AGGREGATE(15,6,(ROW($P$3:$P$52)-ROW($P$3)+1)/($P$3:$P$52=1),46))="",INDEX($E$3:$E$52,_xlfn.AGGREGATE(15,6,(ROW($P$3:$P$52)-ROW($P$3)+1)/($P$3:$P$52=1),46))&lt;&gt;""),INDEX($E$3:$E$52,_xlfn.AGGREGATE(15,6,(ROW($P$3:$P$52)-ROW($P$3)+1)/($P$3:$P$52=1),46)),""),"")</f>
        <v/>
      </c>
      <c r="N48" s="55"/>
      <c r="O48" s="54" t="str">
        <f t="array" ref="O48">IFERROR(IF(AND(INDEX($A$3:$A$52,_xlfn.AGGREGATE(15,6,(ROW($P$3:$P$52)-ROW($P$3)+1)/($P$3:$P$52=1),46))="",INDEX($E$3:$E$52,_xlfn.AGGREGATE(15,6,(ROW($P$3:$P$52)-ROW($P$3)+1)/($P$3:$P$52=1),46))="",INDEX($G$3:$G$52,_xlfn.AGGREGATE(15,6,(ROW($P$3:$P$52)-ROW($P$3)+1)/($P$3:$P$52=1),46))&lt;&gt;""),INDEX($G$3:$G$52,_xlfn.AGGREGATE(15,6,(ROW($P$3:$P$52)-ROW($P$3)+1)/($P$3:$P$52=1),46)),""),"")</f>
        <v/>
      </c>
      <c r="P48" s="56">
        <f>IF(AND(G48&lt;&gt;"",LEN(TRIM(G48))&gt;7),1,0)</f>
        <v>0</v>
      </c>
    </row>
    <row r="49" spans="1:16" ht="39.75" customHeight="1">
      <c r="A49" s="97"/>
      <c r="B49" s="62"/>
      <c r="C49" s="97"/>
      <c r="D49" s="85"/>
      <c r="E49" s="85"/>
      <c r="F49" s="85"/>
      <c r="G49" s="86" t="str">
        <f>IFERROR("5.2.2  "&amp;VLOOKUP("5.2.2",'Master Factors'!$N$5:$O$54,2,0),"5.2.2")</f>
        <v>5.2.2</v>
      </c>
      <c r="H49" s="50"/>
      <c r="I49" s="60" t="str">
        <f t="array" ref="I49">IFERROR(IF(INDEX($A$3:$A$52,_xlfn.AGGREGATE(15,6,(ROW($P$3:$P$52)-ROW($P$3)+1)/($P$3:$P$52=1),47))&lt;&gt;"",INDEX($A$3:$A$52,_xlfn.AGGREGATE(15,6,(ROW($P$3:$P$52)-ROW($P$3)+1)/($P$3:$P$52=1),47)),IF(INDEX($E$3:$E$52,_xlfn.AGGREGATE(15,6,(ROW($P$3:$P$52)-ROW($P$3)+1)/($P$3:$P$52=1),47))&lt;&gt;"",LEFT(INDEX($E$3:$E$52,_xlfn.AGGREGATE(15,6,(ROW($P$3:$P$52)-ROW($P$3)+1)/($P$3:$P$52=1),47)),FIND("  ",INDEX($E$3:$E$52,_xlfn.AGGREGATE(15,6,(ROW($P$3:$P$52)-ROW($P$3)+1)/($P$3:$P$52=1),47))&amp;"  ")-1),LEFT(INDEX($G$3:$G$52,_xlfn.AGGREGATE(15,6,(ROW($P$3:$P$52)-ROW($P$3)+1)/($P$3:$P$52=1),47)),FIND("  ",INDEX($G$3:$G$52,_xlfn.AGGREGATE(15,6,(ROW($P$3:$P$52)-ROW($P$3)+1)/($P$3:$P$52=1),47))&amp;"  ")-1))),"")</f>
        <v/>
      </c>
      <c r="J49" s="61"/>
      <c r="K49" s="60" t="str">
        <f t="array" ref="K49">IFERROR(IF(INDEX($A$3:$A$52,_xlfn.AGGREGATE(15,6,(ROW($P$3:$P$52)-ROW($P$3)+1)/($P$3:$P$52=1),47))&lt;&gt;"",INDEX($C$3:$C$52,_xlfn.AGGREGATE(15,6,(ROW($P$3:$P$52)-ROW($P$3)+1)/($P$3:$P$52=1),47)),""),"")</f>
        <v/>
      </c>
      <c r="L49" s="61"/>
      <c r="M49" s="60" t="str">
        <f t="array" ref="M49">IFERROR(IF(AND(INDEX($A$3:$A$52,_xlfn.AGGREGATE(15,6,(ROW($P$3:$P$52)-ROW($P$3)+1)/($P$3:$P$52=1),47))="",INDEX($E$3:$E$52,_xlfn.AGGREGATE(15,6,(ROW($P$3:$P$52)-ROW($P$3)+1)/($P$3:$P$52=1),47))&lt;&gt;""),INDEX($E$3:$E$52,_xlfn.AGGREGATE(15,6,(ROW($P$3:$P$52)-ROW($P$3)+1)/($P$3:$P$52=1),47)),""),"")</f>
        <v/>
      </c>
      <c r="N49" s="61"/>
      <c r="O49" s="60" t="str">
        <f t="array" ref="O49">IFERROR(IF(AND(INDEX($A$3:$A$52,_xlfn.AGGREGATE(15,6,(ROW($P$3:$P$52)-ROW($P$3)+1)/($P$3:$P$52=1),47))="",INDEX($E$3:$E$52,_xlfn.AGGREGATE(15,6,(ROW($P$3:$P$52)-ROW($P$3)+1)/($P$3:$P$52=1),47))="",INDEX($G$3:$G$52,_xlfn.AGGREGATE(15,6,(ROW($P$3:$P$52)-ROW($P$3)+1)/($P$3:$P$52=1),47))&lt;&gt;""),INDEX($G$3:$G$52,_xlfn.AGGREGATE(15,6,(ROW($P$3:$P$52)-ROW($P$3)+1)/($P$3:$P$52=1),47)),""),"")</f>
        <v/>
      </c>
      <c r="P49" s="56">
        <f>IF(AND(G49&lt;&gt;"",LEN(TRIM(G49))&gt;7),1,0)</f>
        <v>0</v>
      </c>
    </row>
    <row r="50" spans="1:16" ht="39.75" customHeight="1">
      <c r="A50" s="97"/>
      <c r="B50" s="57"/>
      <c r="C50" s="97"/>
      <c r="D50" s="83"/>
      <c r="E50" s="84" t="str">
        <f>IFERROR("5.3  "&amp;VLOOKUP("5.3",'Master Factors'!$G$5:$H$54,2,0),"5.3")</f>
        <v>5.3</v>
      </c>
      <c r="F50" s="83"/>
      <c r="G50" s="83"/>
      <c r="H50" s="50"/>
      <c r="I50" s="65" t="str">
        <f t="array" ref="I50">IFERROR(IF(INDEX($A$3:$A$52,_xlfn.AGGREGATE(15,6,(ROW($P$3:$P$52)-ROW($P$3)+1)/($P$3:$P$52=1),48))&lt;&gt;"",INDEX($A$3:$A$52,_xlfn.AGGREGATE(15,6,(ROW($P$3:$P$52)-ROW($P$3)+1)/($P$3:$P$52=1),48)),IF(INDEX($E$3:$E$52,_xlfn.AGGREGATE(15,6,(ROW($P$3:$P$52)-ROW($P$3)+1)/($P$3:$P$52=1),48))&lt;&gt;"",LEFT(INDEX($E$3:$E$52,_xlfn.AGGREGATE(15,6,(ROW($P$3:$P$52)-ROW($P$3)+1)/($P$3:$P$52=1),48)),FIND("  ",INDEX($E$3:$E$52,_xlfn.AGGREGATE(15,6,(ROW($P$3:$P$52)-ROW($P$3)+1)/($P$3:$P$52=1),48))&amp;"  ")-1),LEFT(INDEX($G$3:$G$52,_xlfn.AGGREGATE(15,6,(ROW($P$3:$P$52)-ROW($P$3)+1)/($P$3:$P$52=1),48)),FIND("  ",INDEX($G$3:$G$52,_xlfn.AGGREGATE(15,6,(ROW($P$3:$P$52)-ROW($P$3)+1)/($P$3:$P$52=1),48))&amp;"  ")-1))),"")</f>
        <v/>
      </c>
      <c r="J50" s="66"/>
      <c r="K50" s="65" t="str">
        <f t="array" ref="K50">IFERROR(IF(INDEX($A$3:$A$52,_xlfn.AGGREGATE(15,6,(ROW($P$3:$P$52)-ROW($P$3)+1)/($P$3:$P$52=1),48))&lt;&gt;"",INDEX($C$3:$C$52,_xlfn.AGGREGATE(15,6,(ROW($P$3:$P$52)-ROW($P$3)+1)/($P$3:$P$52=1),48)),""),"")</f>
        <v/>
      </c>
      <c r="L50" s="66"/>
      <c r="M50" s="65" t="str">
        <f t="array" ref="M50">IFERROR(IF(AND(INDEX($A$3:$A$52,_xlfn.AGGREGATE(15,6,(ROW($P$3:$P$52)-ROW($P$3)+1)/($P$3:$P$52=1),48))="",INDEX($E$3:$E$52,_xlfn.AGGREGATE(15,6,(ROW($P$3:$P$52)-ROW($P$3)+1)/($P$3:$P$52=1),48))&lt;&gt;""),INDEX($E$3:$E$52,_xlfn.AGGREGATE(15,6,(ROW($P$3:$P$52)-ROW($P$3)+1)/($P$3:$P$52=1),48)),""),"")</f>
        <v/>
      </c>
      <c r="N50" s="66"/>
      <c r="O50" s="65" t="str">
        <f t="array" ref="O50">IFERROR(IF(AND(INDEX($A$3:$A$52,_xlfn.AGGREGATE(15,6,(ROW($P$3:$P$52)-ROW($P$3)+1)/($P$3:$P$52=1),48))="",INDEX($E$3:$E$52,_xlfn.AGGREGATE(15,6,(ROW($P$3:$P$52)-ROW($P$3)+1)/($P$3:$P$52=1),48))="",INDEX($G$3:$G$52,_xlfn.AGGREGATE(15,6,(ROW($P$3:$P$52)-ROW($P$3)+1)/($P$3:$P$52=1),48))&lt;&gt;""),INDEX($G$3:$G$52,_xlfn.AGGREGATE(15,6,(ROW($P$3:$P$52)-ROW($P$3)+1)/($P$3:$P$52=1),48)),""),"")</f>
        <v/>
      </c>
      <c r="P50" s="56">
        <f>IF(AND(E50&lt;&gt;"",LEN(TRIM(E50))&gt;5),1,0)</f>
        <v>0</v>
      </c>
    </row>
    <row r="51" spans="1:16" ht="39.75" customHeight="1">
      <c r="A51" s="97"/>
      <c r="B51" s="62"/>
      <c r="C51" s="97"/>
      <c r="D51" s="85"/>
      <c r="E51" s="85"/>
      <c r="F51" s="85"/>
      <c r="G51" s="86" t="str">
        <f>IFERROR("5.3.1  "&amp;VLOOKUP("5.3.1",'Master Factors'!$N$5:$O$54,2,0),"5.3.1")</f>
        <v>5.3.1</v>
      </c>
      <c r="H51" s="50"/>
      <c r="I51" s="54" t="str">
        <f t="array" ref="I51">IFERROR(IF(INDEX($A$3:$A$52,_xlfn.AGGREGATE(15,6,(ROW($P$3:$P$52)-ROW($P$3)+1)/($P$3:$P$52=1),49))&lt;&gt;"",INDEX($A$3:$A$52,_xlfn.AGGREGATE(15,6,(ROW($P$3:$P$52)-ROW($P$3)+1)/($P$3:$P$52=1),49)),IF(INDEX($E$3:$E$52,_xlfn.AGGREGATE(15,6,(ROW($P$3:$P$52)-ROW($P$3)+1)/($P$3:$P$52=1),49))&lt;&gt;"",LEFT(INDEX($E$3:$E$52,_xlfn.AGGREGATE(15,6,(ROW($P$3:$P$52)-ROW($P$3)+1)/($P$3:$P$52=1),49)),FIND("  ",INDEX($E$3:$E$52,_xlfn.AGGREGATE(15,6,(ROW($P$3:$P$52)-ROW($P$3)+1)/($P$3:$P$52=1),49))&amp;"  ")-1),LEFT(INDEX($G$3:$G$52,_xlfn.AGGREGATE(15,6,(ROW($P$3:$P$52)-ROW($P$3)+1)/($P$3:$P$52=1),49)),FIND("  ",INDEX($G$3:$G$52,_xlfn.AGGREGATE(15,6,(ROW($P$3:$P$52)-ROW($P$3)+1)/($P$3:$P$52=1),49))&amp;"  ")-1))),"")</f>
        <v/>
      </c>
      <c r="J51" s="55"/>
      <c r="K51" s="54" t="str">
        <f t="array" ref="K51">IFERROR(IF(INDEX($A$3:$A$52,_xlfn.AGGREGATE(15,6,(ROW($P$3:$P$52)-ROW($P$3)+1)/($P$3:$P$52=1),49))&lt;&gt;"",INDEX($C$3:$C$52,_xlfn.AGGREGATE(15,6,(ROW($P$3:$P$52)-ROW($P$3)+1)/($P$3:$P$52=1),49)),""),"")</f>
        <v/>
      </c>
      <c r="L51" s="55"/>
      <c r="M51" s="54" t="str">
        <f t="array" ref="M51">IFERROR(IF(AND(INDEX($A$3:$A$52,_xlfn.AGGREGATE(15,6,(ROW($P$3:$P$52)-ROW($P$3)+1)/($P$3:$P$52=1),49))="",INDEX($E$3:$E$52,_xlfn.AGGREGATE(15,6,(ROW($P$3:$P$52)-ROW($P$3)+1)/($P$3:$P$52=1),49))&lt;&gt;""),INDEX($E$3:$E$52,_xlfn.AGGREGATE(15,6,(ROW($P$3:$P$52)-ROW($P$3)+1)/($P$3:$P$52=1),49)),""),"")</f>
        <v/>
      </c>
      <c r="N51" s="55"/>
      <c r="O51" s="54" t="str">
        <f t="array" ref="O51">IFERROR(IF(AND(INDEX($A$3:$A$52,_xlfn.AGGREGATE(15,6,(ROW($P$3:$P$52)-ROW($P$3)+1)/($P$3:$P$52=1),49))="",INDEX($E$3:$E$52,_xlfn.AGGREGATE(15,6,(ROW($P$3:$P$52)-ROW($P$3)+1)/($P$3:$P$52=1),49))="",INDEX($G$3:$G$52,_xlfn.AGGREGATE(15,6,(ROW($P$3:$P$52)-ROW($P$3)+1)/($P$3:$P$52=1),49))&lt;&gt;""),INDEX($G$3:$G$52,_xlfn.AGGREGATE(15,6,(ROW($P$3:$P$52)-ROW($P$3)+1)/($P$3:$P$52=1),49)),""),"")</f>
        <v/>
      </c>
      <c r="P51" s="56">
        <f>IF(AND(G51&lt;&gt;"",LEN(TRIM(G51))&gt;7),1,0)</f>
        <v>0</v>
      </c>
    </row>
    <row r="52" spans="1:16" ht="39.75" customHeight="1">
      <c r="A52" s="98"/>
      <c r="B52" s="62"/>
      <c r="C52" s="98"/>
      <c r="D52" s="85"/>
      <c r="E52" s="85"/>
      <c r="F52" s="85"/>
      <c r="G52" s="86" t="str">
        <f>IFERROR("5.3.2  "&amp;VLOOKUP("5.3.2",'Master Factors'!$N$5:$O$54,2,0),"5.3.2")</f>
        <v>5.3.2</v>
      </c>
      <c r="H52" s="50"/>
      <c r="I52" s="60" t="str">
        <f t="array" ref="I52">IFERROR(IF(INDEX($A$3:$A$52,_xlfn.AGGREGATE(15,6,(ROW($P$3:$P$52)-ROW($P$3)+1)/($P$3:$P$52=1),50))&lt;&gt;"",INDEX($A$3:$A$52,_xlfn.AGGREGATE(15,6,(ROW($P$3:$P$52)-ROW($P$3)+1)/($P$3:$P$52=1),50)),IF(INDEX($E$3:$E$52,_xlfn.AGGREGATE(15,6,(ROW($P$3:$P$52)-ROW($P$3)+1)/($P$3:$P$52=1),50))&lt;&gt;"",LEFT(INDEX($E$3:$E$52,_xlfn.AGGREGATE(15,6,(ROW($P$3:$P$52)-ROW($P$3)+1)/($P$3:$P$52=1),50)),FIND("  ",INDEX($E$3:$E$52,_xlfn.AGGREGATE(15,6,(ROW($P$3:$P$52)-ROW($P$3)+1)/($P$3:$P$52=1),50))&amp;"  ")-1),LEFT(INDEX($G$3:$G$52,_xlfn.AGGREGATE(15,6,(ROW($P$3:$P$52)-ROW($P$3)+1)/($P$3:$P$52=1),50)),FIND("  ",INDEX($G$3:$G$52,_xlfn.AGGREGATE(15,6,(ROW($P$3:$P$52)-ROW($P$3)+1)/($P$3:$P$52=1),50))&amp;"  ")-1))),"")</f>
        <v/>
      </c>
      <c r="J52" s="61"/>
      <c r="K52" s="60" t="str">
        <f t="array" ref="K52">IFERROR(IF(INDEX($A$3:$A$52,_xlfn.AGGREGATE(15,6,(ROW($P$3:$P$52)-ROW($P$3)+1)/($P$3:$P$52=1),50))&lt;&gt;"",INDEX($C$3:$C$52,_xlfn.AGGREGATE(15,6,(ROW($P$3:$P$52)-ROW($P$3)+1)/($P$3:$P$52=1),50)),""),"")</f>
        <v/>
      </c>
      <c r="L52" s="61"/>
      <c r="M52" s="60" t="str">
        <f t="array" ref="M52">IFERROR(IF(AND(INDEX($A$3:$A$52,_xlfn.AGGREGATE(15,6,(ROW($P$3:$P$52)-ROW($P$3)+1)/($P$3:$P$52=1),50))="",INDEX($E$3:$E$52,_xlfn.AGGREGATE(15,6,(ROW($P$3:$P$52)-ROW($P$3)+1)/($P$3:$P$52=1),50))&lt;&gt;""),INDEX($E$3:$E$52,_xlfn.AGGREGATE(15,6,(ROW($P$3:$P$52)-ROW($P$3)+1)/($P$3:$P$52=1),50)),""),"")</f>
        <v/>
      </c>
      <c r="N52" s="61"/>
      <c r="O52" s="60" t="str">
        <f t="array" ref="O52">IFERROR(IF(AND(INDEX($A$3:$A$52,_xlfn.AGGREGATE(15,6,(ROW($P$3:$P$52)-ROW($P$3)+1)/($P$3:$P$52=1),50))="",INDEX($E$3:$E$52,_xlfn.AGGREGATE(15,6,(ROW($P$3:$P$52)-ROW($P$3)+1)/($P$3:$P$52=1),50))="",INDEX($G$3:$G$52,_xlfn.AGGREGATE(15,6,(ROW($P$3:$P$52)-ROW($P$3)+1)/($P$3:$P$52=1),50))&lt;&gt;""),INDEX($G$3:$G$52,_xlfn.AGGREGATE(15,6,(ROW($P$3:$P$52)-ROW($P$3)+1)/($P$3:$P$52=1),50)),""),"")</f>
        <v/>
      </c>
      <c r="P52" s="56">
        <f>IF(AND(G52&lt;&gt;"",LEN(TRIM(G52))&gt;7),1,0)</f>
        <v>0</v>
      </c>
    </row>
  </sheetData>
  <mergeCells count="12">
    <mergeCell ref="C3:C12"/>
    <mergeCell ref="A1:G1"/>
    <mergeCell ref="I1:O1"/>
    <mergeCell ref="C13:C22"/>
    <mergeCell ref="C43:C52"/>
    <mergeCell ref="A43:A52"/>
    <mergeCell ref="C33:C42"/>
    <mergeCell ref="A3:A12"/>
    <mergeCell ref="A13:A22"/>
    <mergeCell ref="A33:A42"/>
    <mergeCell ref="A23:A32"/>
    <mergeCell ref="C23:C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zoomScale="55" zoomScaleNormal="55" workbookViewId="0">
      <selection activeCell="G26" sqref="A1:G26"/>
    </sheetView>
  </sheetViews>
  <sheetFormatPr defaultRowHeight="14.5"/>
  <cols>
    <col min="1" max="1" width="3.54296875" customWidth="1"/>
    <col min="2" max="2" width="8.7265625" hidden="1" customWidth="1"/>
    <col min="3" max="3" width="32.90625" customWidth="1"/>
    <col min="4" max="4" width="5.7265625" hidden="1" customWidth="1"/>
    <col min="5" max="5" width="42.54296875" customWidth="1"/>
    <col min="6" max="6" width="0.26953125" customWidth="1"/>
    <col min="7" max="7" width="52" customWidth="1"/>
  </cols>
  <sheetData>
    <row r="1" spans="1:7" ht="46" customHeight="1">
      <c r="A1" s="51" t="s">
        <v>1284</v>
      </c>
      <c r="B1" s="51"/>
      <c r="C1" s="51" t="s">
        <v>1285</v>
      </c>
      <c r="D1" s="51"/>
      <c r="E1" s="51" t="s">
        <v>1286</v>
      </c>
      <c r="F1" s="51"/>
      <c r="G1" s="51" t="s">
        <v>1287</v>
      </c>
    </row>
    <row r="2" spans="1:7">
      <c r="A2" s="54" t="str">
        <f t="array" ref="A2">IFERROR(IF(INDEX('Synch Matrix'!$A$3:$A$52,_xlfn.AGGREGATE(15,6,(ROW('Synch Matrix'!$P$3:$P$52)-ROW('Synch Matrix'!$P$3)+1)/('Synch Matrix'!$P$3:$P$52=1),1))&lt;&gt;"",INDEX('Synch Matrix'!$A$3:$A$52,_xlfn.AGGREGATE(15,6,(ROW('Synch Matrix'!$P$3:$P$52)-ROW('Synch Matrix'!$P$3)+1)/('Synch Matrix'!$P$3:$P$52=1),1)),IF(INDEX('Synch Matrix'!$E$3:$E$52,_xlfn.AGGREGATE(15,6,(ROW('Synch Matrix'!$P$3:$P$52)-ROW('Synch Matrix'!$P$3)+1)/('Synch Matrix'!$P$3:$P$52=1),1))&lt;&gt;"",LEFT(INDEX('Synch Matrix'!$E$3:$E$52,_xlfn.AGGREGATE(15,6,(ROW('Synch Matrix'!$P$3:$P$52)-ROW('Synch Matrix'!$P$3)+1)/('Synch Matrix'!$P$3:$P$52=1),1)),FIND("  ",INDEX('Synch Matrix'!$E$3:$E$52,_xlfn.AGGREGATE(15,6,(ROW('Synch Matrix'!$P$3:$P$52)-ROW('Synch Matrix'!$P$3)+1)/('Synch Matrix'!$P$3:$P$52=1),1))&amp;"  ")-1),LEFT(INDEX('Synch Matrix'!$G$3:$G$52,_xlfn.AGGREGATE(15,6,(ROW('Synch Matrix'!$P$3:$P$52)-ROW('Synch Matrix'!$P$3)+1)/('Synch Matrix'!$P$3:$P$52=1),1)),FIND("  ",INDEX('Synch Matrix'!$G$3:$G$52,_xlfn.AGGREGATE(15,6,(ROW('Synch Matrix'!$P$3:$P$52)-ROW('Synch Matrix'!$P$3)+1)/('Synch Matrix'!$P$3:$P$52=1),1))&amp;"  ")-1))),"")</f>
        <v>1</v>
      </c>
      <c r="B2" s="55"/>
      <c r="C2" s="54" t="str">
        <f t="array" ref="C2">IFERROR(IF(INDEX('Synch Matrix'!$A$3:$A$52,_xlfn.AGGREGATE(15,6,(ROW('Synch Matrix'!$P$3:$P$52)-ROW('Synch Matrix'!$P$3)+1)/('Synch Matrix'!$P$3:$P$52=1),1))&lt;&gt;"",INDEX('Synch Matrix'!$C$3:$C$52,_xlfn.AGGREGATE(15,6,(ROW('Synch Matrix'!$P$3:$P$52)-ROW('Synch Matrix'!$P$3)+1)/('Synch Matrix'!$P$3:$P$52=1),1)),""),"")</f>
        <v>DISRUPT IRS maritime coercion</v>
      </c>
      <c r="D2" s="55"/>
      <c r="E2" s="54" t="str">
        <f t="array" ref="E2">IFERROR(IF(AND(INDEX('Synch Matrix'!$A$3:$A$52,_xlfn.AGGREGATE(15,6,(ROW('Synch Matrix'!$P$3:$P$52)-ROW('Synch Matrix'!$P$3)+1)/('Synch Matrix'!$P$3:$P$52=1),1))="",INDEX('Synch Matrix'!$E$3:$E$52,_xlfn.AGGREGATE(15,6,(ROW('Synch Matrix'!$P$3:$P$52)-ROW('Synch Matrix'!$P$3)+1)/('Synch Matrix'!$P$3:$P$52=1),1))&lt;&gt;""),INDEX('Synch Matrix'!$E$3:$E$52,_xlfn.AGGREGATE(15,6,(ROW('Synch Matrix'!$P$3:$P$52)-ROW('Synch Matrix'!$P$3)+1)/('Synch Matrix'!$P$3:$P$52=1),1)),""),"")</f>
        <v/>
      </c>
      <c r="F2" s="55"/>
      <c r="G2" s="54" t="str">
        <f t="array" ref="G2">IFERROR(IF(AND(INDEX('Synch Matrix'!$A$3:$A$52,_xlfn.AGGREGATE(15,6,(ROW('Synch Matrix'!$P$3:$P$52)-ROW('Synch Matrix'!$P$3)+1)/('Synch Matrix'!$P$3:$P$52=1),1))="",INDEX('Synch Matrix'!$E$3:$E$52,_xlfn.AGGREGATE(15,6,(ROW('Synch Matrix'!$P$3:$P$52)-ROW('Synch Matrix'!$P$3)+1)/('Synch Matrix'!$P$3:$P$52=1),1))="",INDEX('Synch Matrix'!$G$3:$G$52,_xlfn.AGGREGATE(15,6,(ROW('Synch Matrix'!$P$3:$P$52)-ROW('Synch Matrix'!$P$3)+1)/('Synch Matrix'!$P$3:$P$52=1),1))&lt;&gt;""),INDEX('Synch Matrix'!$G$3:$G$52,_xlfn.AGGREGATE(15,6,(ROW('Synch Matrix'!$P$3:$P$52)-ROW('Synch Matrix'!$P$3)+1)/('Synch Matrix'!$P$3:$P$52=1),1)),""),"")</f>
        <v/>
      </c>
    </row>
    <row r="3" spans="1:7">
      <c r="A3" s="60"/>
      <c r="B3" s="61"/>
      <c r="C3" s="60" t="str">
        <f t="array" ref="C3">IFERROR(IF(INDEX('Synch Matrix'!$A$3:$A$52,_xlfn.AGGREGATE(15,6,(ROW('Synch Matrix'!$P$3:$P$52)-ROW('Synch Matrix'!$P$3)+1)/('Synch Matrix'!$P$3:$P$52=1),2))&lt;&gt;"",INDEX('Synch Matrix'!$C$3:$C$52,_xlfn.AGGREGATE(15,6,(ROW('Synch Matrix'!$P$3:$P$52)-ROW('Synch Matrix'!$P$3)+1)/('Synch Matrix'!$P$3:$P$52=1),2)),""),"")</f>
        <v/>
      </c>
      <c r="D3" s="61"/>
      <c r="E3" s="60" t="str">
        <f t="array" ref="E3">IFERROR(IF(AND(INDEX('Synch Matrix'!$A$3:$A$52,_xlfn.AGGREGATE(15,6,(ROW('Synch Matrix'!$P$3:$P$52)-ROW('Synch Matrix'!$P$3)+1)/('Synch Matrix'!$P$3:$P$52=1),2))="",INDEX('Synch Matrix'!$E$3:$E$52,_xlfn.AGGREGATE(15,6,(ROW('Synch Matrix'!$P$3:$P$52)-ROW('Synch Matrix'!$P$3)+1)/('Synch Matrix'!$P$3:$P$52=1),2))&lt;&gt;""),INDEX('Synch Matrix'!$E$3:$E$52,_xlfn.AGGREGATE(15,6,(ROW('Synch Matrix'!$P$3:$P$52)-ROW('Synch Matrix'!$P$3)+1)/('Synch Matrix'!$P$3:$P$52=1),2)),""),"")</f>
        <v>1.1  Rebel A2/AD PREVENTED</v>
      </c>
      <c r="F3" s="61"/>
      <c r="G3" s="60" t="str">
        <f t="array" ref="G3">IFERROR(IF(AND(INDEX('Synch Matrix'!$A$3:$A$52,_xlfn.AGGREGATE(15,6,(ROW('Synch Matrix'!$P$3:$P$52)-ROW('Synch Matrix'!$P$3)+1)/('Synch Matrix'!$P$3:$P$52=1),2))="",INDEX('Synch Matrix'!$E$3:$E$52,_xlfn.AGGREGATE(15,6,(ROW('Synch Matrix'!$P$3:$P$52)-ROW('Synch Matrix'!$P$3)+1)/('Synch Matrix'!$P$3:$P$52=1),2))="",INDEX('Synch Matrix'!$G$3:$G$52,_xlfn.AGGREGATE(15,6,(ROW('Synch Matrix'!$P$3:$P$52)-ROW('Synch Matrix'!$P$3)+1)/('Synch Matrix'!$P$3:$P$52=1),2))&lt;&gt;""),INDEX('Synch Matrix'!$G$3:$G$52,_xlfn.AGGREGATE(15,6,(ROW('Synch Matrix'!$P$3:$P$52)-ROW('Synch Matrix'!$P$3)+1)/('Synch Matrix'!$P$3:$P$52=1),2)),""),"")</f>
        <v/>
      </c>
    </row>
    <row r="4" spans="1:7">
      <c r="A4" s="65"/>
      <c r="B4" s="66"/>
      <c r="C4" s="65" t="str">
        <f t="array" ref="C4">IFERROR(IF(INDEX('Synch Matrix'!$A$3:$A$52,_xlfn.AGGREGATE(15,6,(ROW('Synch Matrix'!$P$3:$P$52)-ROW('Synch Matrix'!$P$3)+1)/('Synch Matrix'!$P$3:$P$52=1),3))&lt;&gt;"",INDEX('Synch Matrix'!$C$3:$C$52,_xlfn.AGGREGATE(15,6,(ROW('Synch Matrix'!$P$3:$P$52)-ROW('Synch Matrix'!$P$3)+1)/('Synch Matrix'!$P$3:$P$52=1),3)),""),"")</f>
        <v/>
      </c>
      <c r="D4" s="66"/>
      <c r="E4" s="65" t="str">
        <f t="array" ref="E4">IFERROR(IF(AND(INDEX('Synch Matrix'!$A$3:$A$52,_xlfn.AGGREGATE(15,6,(ROW('Synch Matrix'!$P$3:$P$52)-ROW('Synch Matrix'!$P$3)+1)/('Synch Matrix'!$P$3:$P$52=1),3))="",INDEX('Synch Matrix'!$E$3:$E$52,_xlfn.AGGREGATE(15,6,(ROW('Synch Matrix'!$P$3:$P$52)-ROW('Synch Matrix'!$P$3)+1)/('Synch Matrix'!$P$3:$P$52=1),3))&lt;&gt;""),INDEX('Synch Matrix'!$E$3:$E$52,_xlfn.AGGREGATE(15,6,(ROW('Synch Matrix'!$P$3:$P$52)-ROW('Synch Matrix'!$P$3)+1)/('Synch Matrix'!$P$3:$P$52=1),3)),""),"")</f>
        <v/>
      </c>
      <c r="F4" s="66"/>
      <c r="G4" s="65" t="str">
        <f t="array" ref="G4">IFERROR(IF(AND(INDEX('Synch Matrix'!$A$3:$A$52,_xlfn.AGGREGATE(15,6,(ROW('Synch Matrix'!$P$3:$P$52)-ROW('Synch Matrix'!$P$3)+1)/('Synch Matrix'!$P$3:$P$52=1),3))="",INDEX('Synch Matrix'!$E$3:$E$52,_xlfn.AGGREGATE(15,6,(ROW('Synch Matrix'!$P$3:$P$52)-ROW('Synch Matrix'!$P$3)+1)/('Synch Matrix'!$P$3:$P$52=1),3))="",INDEX('Synch Matrix'!$G$3:$G$52,_xlfn.AGGREGATE(15,6,(ROW('Synch Matrix'!$P$3:$P$52)-ROW('Synch Matrix'!$P$3)+1)/('Synch Matrix'!$P$3:$P$52=1),3))&lt;&gt;""),INDEX('Synch Matrix'!$G$3:$G$52,_xlfn.AGGREGATE(15,6,(ROW('Synch Matrix'!$P$3:$P$52)-ROW('Synch Matrix'!$P$3)+1)/('Synch Matrix'!$P$3:$P$52=1),3)),""),"")</f>
        <v>1.1.1  IRS integrated A2/AD system INTERDICTED</v>
      </c>
    </row>
    <row r="5" spans="1:7">
      <c r="A5" s="54"/>
      <c r="B5" s="55"/>
      <c r="C5" s="54" t="str">
        <f t="array" ref="C5">IFERROR(IF(INDEX('Synch Matrix'!$A$3:$A$52,_xlfn.AGGREGATE(15,6,(ROW('Synch Matrix'!$P$3:$P$52)-ROW('Synch Matrix'!$P$3)+1)/('Synch Matrix'!$P$3:$P$52=1),4))&lt;&gt;"",INDEX('Synch Matrix'!$C$3:$C$52,_xlfn.AGGREGATE(15,6,(ROW('Synch Matrix'!$P$3:$P$52)-ROW('Synch Matrix'!$P$3)+1)/('Synch Matrix'!$P$3:$P$52=1),4)),""),"")</f>
        <v/>
      </c>
      <c r="D5" s="55"/>
      <c r="E5" s="54" t="str">
        <f t="array" ref="E5">IFERROR(IF(AND(INDEX('Synch Matrix'!$A$3:$A$52,_xlfn.AGGREGATE(15,6,(ROW('Synch Matrix'!$P$3:$P$52)-ROW('Synch Matrix'!$P$3)+1)/('Synch Matrix'!$P$3:$P$52=1),4))="",INDEX('Synch Matrix'!$E$3:$E$52,_xlfn.AGGREGATE(15,6,(ROW('Synch Matrix'!$P$3:$P$52)-ROW('Synch Matrix'!$P$3)+1)/('Synch Matrix'!$P$3:$P$52=1),4))&lt;&gt;""),INDEX('Synch Matrix'!$E$3:$E$52,_xlfn.AGGREGATE(15,6,(ROW('Synch Matrix'!$P$3:$P$52)-ROW('Synch Matrix'!$P$3)+1)/('Synch Matrix'!$P$3:$P$52=1),4)),""),"")</f>
        <v>1.2  XLOCs SECURED</v>
      </c>
      <c r="F5" s="55"/>
      <c r="G5" s="54" t="str">
        <f t="array" ref="G5">IFERROR(IF(AND(INDEX('Synch Matrix'!$A$3:$A$52,_xlfn.AGGREGATE(15,6,(ROW('Synch Matrix'!$P$3:$P$52)-ROW('Synch Matrix'!$P$3)+1)/('Synch Matrix'!$P$3:$P$52=1),4))="",INDEX('Synch Matrix'!$E$3:$E$52,_xlfn.AGGREGATE(15,6,(ROW('Synch Matrix'!$P$3:$P$52)-ROW('Synch Matrix'!$P$3)+1)/('Synch Matrix'!$P$3:$P$52=1),4))="",INDEX('Synch Matrix'!$G$3:$G$52,_xlfn.AGGREGATE(15,6,(ROW('Synch Matrix'!$P$3:$P$52)-ROW('Synch Matrix'!$P$3)+1)/('Synch Matrix'!$P$3:$P$52=1),4))&lt;&gt;""),INDEX('Synch Matrix'!$G$3:$G$52,_xlfn.AGGREGATE(15,6,(ROW('Synch Matrix'!$P$3:$P$52)-ROW('Synch Matrix'!$P$3)+1)/('Synch Matrix'!$P$3:$P$52=1),4)),""),"")</f>
        <v/>
      </c>
    </row>
    <row r="6" spans="1:7">
      <c r="A6" s="60"/>
      <c r="B6" s="61"/>
      <c r="C6" s="60" t="str">
        <f t="array" ref="C6">IFERROR(IF(INDEX('Synch Matrix'!$A$3:$A$52,_xlfn.AGGREGATE(15,6,(ROW('Synch Matrix'!$P$3:$P$52)-ROW('Synch Matrix'!$P$3)+1)/('Synch Matrix'!$P$3:$P$52=1),5))&lt;&gt;"",INDEX('Synch Matrix'!$C$3:$C$52,_xlfn.AGGREGATE(15,6,(ROW('Synch Matrix'!$P$3:$P$52)-ROW('Synch Matrix'!$P$3)+1)/('Synch Matrix'!$P$3:$P$52=1),5)),""),"")</f>
        <v/>
      </c>
      <c r="D6" s="61"/>
      <c r="E6" s="60" t="str">
        <f t="array" ref="E6">IFERROR(IF(AND(INDEX('Synch Matrix'!$A$3:$A$52,_xlfn.AGGREGATE(15,6,(ROW('Synch Matrix'!$P$3:$P$52)-ROW('Synch Matrix'!$P$3)+1)/('Synch Matrix'!$P$3:$P$52=1),5))="",INDEX('Synch Matrix'!$E$3:$E$52,_xlfn.AGGREGATE(15,6,(ROW('Synch Matrix'!$P$3:$P$52)-ROW('Synch Matrix'!$P$3)+1)/('Synch Matrix'!$P$3:$P$52=1),5))&lt;&gt;""),INDEX('Synch Matrix'!$E$3:$E$52,_xlfn.AGGREGATE(15,6,(ROW('Synch Matrix'!$P$3:$P$52)-ROW('Synch Matrix'!$P$3)+1)/('Synch Matrix'!$P$3:$P$52=1),5)),""),"")</f>
        <v/>
      </c>
      <c r="F6" s="61"/>
      <c r="G6" s="60" t="str">
        <f t="array" ref="G6">IFERROR(IF(AND(INDEX('Synch Matrix'!$A$3:$A$52,_xlfn.AGGREGATE(15,6,(ROW('Synch Matrix'!$P$3:$P$52)-ROW('Synch Matrix'!$P$3)+1)/('Synch Matrix'!$P$3:$P$52=1),5))="",INDEX('Synch Matrix'!$E$3:$E$52,_xlfn.AGGREGATE(15,6,(ROW('Synch Matrix'!$P$3:$P$52)-ROW('Synch Matrix'!$P$3)+1)/('Synch Matrix'!$P$3:$P$52=1),5))="",INDEX('Synch Matrix'!$G$3:$G$52,_xlfn.AGGREGATE(15,6,(ROW('Synch Matrix'!$P$3:$P$52)-ROW('Synch Matrix'!$P$3)+1)/('Synch Matrix'!$P$3:$P$52=1),5))&lt;&gt;""),INDEX('Synch Matrix'!$G$3:$G$52,_xlfn.AGGREGATE(15,6,(ROW('Synch Matrix'!$P$3:$P$52)-ROW('Synch Matrix'!$P$3)+1)/('Synch Matrix'!$P$3:$P$52=1),5)),""),"")</f>
        <v>1.2.1  SPODs SECURED</v>
      </c>
    </row>
    <row r="7" spans="1:7">
      <c r="A7" s="65"/>
      <c r="B7" s="66"/>
      <c r="C7" s="65" t="str">
        <f t="array" ref="C7">IFERROR(IF(INDEX('Synch Matrix'!$A$3:$A$52,_xlfn.AGGREGATE(15,6,(ROW('Synch Matrix'!$P$3:$P$52)-ROW('Synch Matrix'!$P$3)+1)/('Synch Matrix'!$P$3:$P$52=1),6))&lt;&gt;"",INDEX('Synch Matrix'!$C$3:$C$52,_xlfn.AGGREGATE(15,6,(ROW('Synch Matrix'!$P$3:$P$52)-ROW('Synch Matrix'!$P$3)+1)/('Synch Matrix'!$P$3:$P$52=1),6)),""),"")</f>
        <v/>
      </c>
      <c r="D7" s="66"/>
      <c r="E7" s="65" t="str">
        <f t="array" ref="E7">IFERROR(IF(AND(INDEX('Synch Matrix'!$A$3:$A$52,_xlfn.AGGREGATE(15,6,(ROW('Synch Matrix'!$P$3:$P$52)-ROW('Synch Matrix'!$P$3)+1)/('Synch Matrix'!$P$3:$P$52=1),6))="",INDEX('Synch Matrix'!$E$3:$E$52,_xlfn.AGGREGATE(15,6,(ROW('Synch Matrix'!$P$3:$P$52)-ROW('Synch Matrix'!$P$3)+1)/('Synch Matrix'!$P$3:$P$52=1),6))&lt;&gt;""),INDEX('Synch Matrix'!$E$3:$E$52,_xlfn.AGGREGATE(15,6,(ROW('Synch Matrix'!$P$3:$P$52)-ROW('Synch Matrix'!$P$3)+1)/('Synch Matrix'!$P$3:$P$52=1),6)),""),"")</f>
        <v/>
      </c>
      <c r="F7" s="66"/>
      <c r="G7" s="65" t="str">
        <f t="array" ref="G7">IFERROR(IF(AND(INDEX('Synch Matrix'!$A$3:$A$52,_xlfn.AGGREGATE(15,6,(ROW('Synch Matrix'!$P$3:$P$52)-ROW('Synch Matrix'!$P$3)+1)/('Synch Matrix'!$P$3:$P$52=1),6))="",INDEX('Synch Matrix'!$E$3:$E$52,_xlfn.AGGREGATE(15,6,(ROW('Synch Matrix'!$P$3:$P$52)-ROW('Synch Matrix'!$P$3)+1)/('Synch Matrix'!$P$3:$P$52=1),6))="",INDEX('Synch Matrix'!$G$3:$G$52,_xlfn.AGGREGATE(15,6,(ROW('Synch Matrix'!$P$3:$P$52)-ROW('Synch Matrix'!$P$3)+1)/('Synch Matrix'!$P$3:$P$52=1),6))&lt;&gt;""),INDEX('Synch Matrix'!$G$3:$G$52,_xlfn.AGGREGATE(15,6,(ROW('Synch Matrix'!$P$3:$P$52)-ROW('Synch Matrix'!$P$3)+1)/('Synch Matrix'!$P$3:$P$52=1),6)),""),"")</f>
        <v>1.2.2  APODs SECURED</v>
      </c>
    </row>
    <row r="8" spans="1:7">
      <c r="A8" s="54" t="str">
        <f t="array" ref="A8">IFERROR(IF(INDEX('Synch Matrix'!$A$3:$A$52,_xlfn.AGGREGATE(15,6,(ROW('Synch Matrix'!$P$3:$P$52)-ROW('Synch Matrix'!$P$3)+1)/('Synch Matrix'!$P$3:$P$52=1),7))&lt;&gt;"",INDEX('Synch Matrix'!$A$3:$A$52,_xlfn.AGGREGATE(15,6,(ROW('Synch Matrix'!$P$3:$P$52)-ROW('Synch Matrix'!$P$3)+1)/('Synch Matrix'!$P$3:$P$52=1),7)),IF(INDEX('Synch Matrix'!$E$3:$E$52,_xlfn.AGGREGATE(15,6,(ROW('Synch Matrix'!$P$3:$P$52)-ROW('Synch Matrix'!$P$3)+1)/('Synch Matrix'!$P$3:$P$52=1),7))&lt;&gt;"",LEFT(INDEX('Synch Matrix'!$E$3:$E$52,_xlfn.AGGREGATE(15,6,(ROW('Synch Matrix'!$P$3:$P$52)-ROW('Synch Matrix'!$P$3)+1)/('Synch Matrix'!$P$3:$P$52=1),7)),FIND("  ",INDEX('Synch Matrix'!$E$3:$E$52,_xlfn.AGGREGATE(15,6,(ROW('Synch Matrix'!$P$3:$P$52)-ROW('Synch Matrix'!$P$3)+1)/('Synch Matrix'!$P$3:$P$52=1),7))&amp;"  ")-1),LEFT(INDEX('Synch Matrix'!$G$3:$G$52,_xlfn.AGGREGATE(15,6,(ROW('Synch Matrix'!$P$3:$P$52)-ROW('Synch Matrix'!$P$3)+1)/('Synch Matrix'!$P$3:$P$52=1),7)),FIND("  ",INDEX('Synch Matrix'!$G$3:$G$52,_xlfn.AGGREGATE(15,6,(ROW('Synch Matrix'!$P$3:$P$52)-ROW('Synch Matrix'!$P$3)+1)/('Synch Matrix'!$P$3:$P$52=1),7))&amp;"  ")-1))),"")</f>
        <v>2</v>
      </c>
      <c r="B8" s="55"/>
      <c r="C8" s="54" t="str">
        <f t="array" ref="C8">IFERROR(IF(INDEX('Synch Matrix'!$A$3:$A$52,_xlfn.AGGREGATE(15,6,(ROW('Synch Matrix'!$P$3:$P$52)-ROW('Synch Matrix'!$P$3)+1)/('Synch Matrix'!$P$3:$P$52=1),7))&lt;&gt;"",INDEX('Synch Matrix'!$C$3:$C$52,_xlfn.AGGREGATE(15,6,(ROW('Synch Matrix'!$P$3:$P$52)-ROW('Synch Matrix'!$P$3)+1)/('Synch Matrix'!$P$3:$P$52=1),7)),""),"")</f>
        <v>PROTECT NATO citizens</v>
      </c>
      <c r="D8" s="55"/>
      <c r="E8" s="54" t="str">
        <f t="array" ref="E8">IFERROR(IF(AND(INDEX('Synch Matrix'!$A$3:$A$52,_xlfn.AGGREGATE(15,6,(ROW('Synch Matrix'!$P$3:$P$52)-ROW('Synch Matrix'!$P$3)+1)/('Synch Matrix'!$P$3:$P$52=1),7))="",INDEX('Synch Matrix'!$E$3:$E$52,_xlfn.AGGREGATE(15,6,(ROW('Synch Matrix'!$P$3:$P$52)-ROW('Synch Matrix'!$P$3)+1)/('Synch Matrix'!$P$3:$P$52=1),7))&lt;&gt;""),INDEX('Synch Matrix'!$E$3:$E$52,_xlfn.AGGREGATE(15,6,(ROW('Synch Matrix'!$P$3:$P$52)-ROW('Synch Matrix'!$P$3)+1)/('Synch Matrix'!$P$3:$P$52=1),7)),""),"")</f>
        <v/>
      </c>
      <c r="F8" s="55"/>
      <c r="G8" s="54" t="str">
        <f t="array" ref="G8">IFERROR(IF(AND(INDEX('Synch Matrix'!$A$3:$A$52,_xlfn.AGGREGATE(15,6,(ROW('Synch Matrix'!$P$3:$P$52)-ROW('Synch Matrix'!$P$3)+1)/('Synch Matrix'!$P$3:$P$52=1),7))="",INDEX('Synch Matrix'!$E$3:$E$52,_xlfn.AGGREGATE(15,6,(ROW('Synch Matrix'!$P$3:$P$52)-ROW('Synch Matrix'!$P$3)+1)/('Synch Matrix'!$P$3:$P$52=1),7))="",INDEX('Synch Matrix'!$G$3:$G$52,_xlfn.AGGREGATE(15,6,(ROW('Synch Matrix'!$P$3:$P$52)-ROW('Synch Matrix'!$P$3)+1)/('Synch Matrix'!$P$3:$P$52=1),7))&lt;&gt;""),INDEX('Synch Matrix'!$G$3:$G$52,_xlfn.AGGREGATE(15,6,(ROW('Synch Matrix'!$P$3:$P$52)-ROW('Synch Matrix'!$P$3)+1)/('Synch Matrix'!$P$3:$P$52=1),7)),""),"")</f>
        <v/>
      </c>
    </row>
    <row r="9" spans="1:7">
      <c r="A9" s="60"/>
      <c r="B9" s="61"/>
      <c r="C9" s="60" t="str">
        <f t="array" ref="C9">IFERROR(IF(INDEX('Synch Matrix'!$A$3:$A$52,_xlfn.AGGREGATE(15,6,(ROW('Synch Matrix'!$P$3:$P$52)-ROW('Synch Matrix'!$P$3)+1)/('Synch Matrix'!$P$3:$P$52=1),8))&lt;&gt;"",INDEX('Synch Matrix'!$C$3:$C$52,_xlfn.AGGREGATE(15,6,(ROW('Synch Matrix'!$P$3:$P$52)-ROW('Synch Matrix'!$P$3)+1)/('Synch Matrix'!$P$3:$P$52=1),8)),""),"")</f>
        <v/>
      </c>
      <c r="D9" s="61"/>
      <c r="E9" s="60" t="str">
        <f t="array" ref="E9">IFERROR(IF(AND(INDEX('Synch Matrix'!$A$3:$A$52,_xlfn.AGGREGATE(15,6,(ROW('Synch Matrix'!$P$3:$P$52)-ROW('Synch Matrix'!$P$3)+1)/('Synch Matrix'!$P$3:$P$52=1),8))="",INDEX('Synch Matrix'!$E$3:$E$52,_xlfn.AGGREGATE(15,6,(ROW('Synch Matrix'!$P$3:$P$52)-ROW('Synch Matrix'!$P$3)+1)/('Synch Matrix'!$P$3:$P$52=1),8))&lt;&gt;""),INDEX('Synch Matrix'!$E$3:$E$52,_xlfn.AGGREGATE(15,6,(ROW('Synch Matrix'!$P$3:$P$52)-ROW('Synch Matrix'!$P$3)+1)/('Synch Matrix'!$P$3:$P$52=1),8)),""),"")</f>
        <v>2.1  NATO CIVPOP disposition UNDERSTOOD</v>
      </c>
      <c r="F9" s="61"/>
      <c r="G9" s="60" t="str">
        <f t="array" ref="G9">IFERROR(IF(AND(INDEX('Synch Matrix'!$A$3:$A$52,_xlfn.AGGREGATE(15,6,(ROW('Synch Matrix'!$P$3:$P$52)-ROW('Synch Matrix'!$P$3)+1)/('Synch Matrix'!$P$3:$P$52=1),8))="",INDEX('Synch Matrix'!$E$3:$E$52,_xlfn.AGGREGATE(15,6,(ROW('Synch Matrix'!$P$3:$P$52)-ROW('Synch Matrix'!$P$3)+1)/('Synch Matrix'!$P$3:$P$52=1),8))="",INDEX('Synch Matrix'!$G$3:$G$52,_xlfn.AGGREGATE(15,6,(ROW('Synch Matrix'!$P$3:$P$52)-ROW('Synch Matrix'!$P$3)+1)/('Synch Matrix'!$P$3:$P$52=1),8))&lt;&gt;""),INDEX('Synch Matrix'!$G$3:$G$52,_xlfn.AGGREGATE(15,6,(ROW('Synch Matrix'!$P$3:$P$52)-ROW('Synch Matrix'!$P$3)+1)/('Synch Matrix'!$P$3:$P$52=1),8)),""),"")</f>
        <v/>
      </c>
    </row>
    <row r="10" spans="1:7">
      <c r="A10" s="65"/>
      <c r="B10" s="66"/>
      <c r="C10" s="65" t="str">
        <f t="array" ref="C10">IFERROR(IF(INDEX('Synch Matrix'!$A$3:$A$52,_xlfn.AGGREGATE(15,6,(ROW('Synch Matrix'!$P$3:$P$52)-ROW('Synch Matrix'!$P$3)+1)/('Synch Matrix'!$P$3:$P$52=1),9))&lt;&gt;"",INDEX('Synch Matrix'!$C$3:$C$52,_xlfn.AGGREGATE(15,6,(ROW('Synch Matrix'!$P$3:$P$52)-ROW('Synch Matrix'!$P$3)+1)/('Synch Matrix'!$P$3:$P$52=1),9)),""),"")</f>
        <v/>
      </c>
      <c r="D10" s="66"/>
      <c r="E10" s="65" t="str">
        <f t="array" ref="E10">IFERROR(IF(AND(INDEX('Synch Matrix'!$A$3:$A$52,_xlfn.AGGREGATE(15,6,(ROW('Synch Matrix'!$P$3:$P$52)-ROW('Synch Matrix'!$P$3)+1)/('Synch Matrix'!$P$3:$P$52=1),9))="",INDEX('Synch Matrix'!$E$3:$E$52,_xlfn.AGGREGATE(15,6,(ROW('Synch Matrix'!$P$3:$P$52)-ROW('Synch Matrix'!$P$3)+1)/('Synch Matrix'!$P$3:$P$52=1),9))&lt;&gt;""),INDEX('Synch Matrix'!$E$3:$E$52,_xlfn.AGGREGATE(15,6,(ROW('Synch Matrix'!$P$3:$P$52)-ROW('Synch Matrix'!$P$3)+1)/('Synch Matrix'!$P$3:$P$52=1),9)),""),"")</f>
        <v>2.2  Adversary influence on NATO CIVPOP DENIED</v>
      </c>
      <c r="F10" s="66"/>
      <c r="G10" s="65" t="str">
        <f t="array" ref="G10">IFERROR(IF(AND(INDEX('Synch Matrix'!$A$3:$A$52,_xlfn.AGGREGATE(15,6,(ROW('Synch Matrix'!$P$3:$P$52)-ROW('Synch Matrix'!$P$3)+1)/('Synch Matrix'!$P$3:$P$52=1),9))="",INDEX('Synch Matrix'!$E$3:$E$52,_xlfn.AGGREGATE(15,6,(ROW('Synch Matrix'!$P$3:$P$52)-ROW('Synch Matrix'!$P$3)+1)/('Synch Matrix'!$P$3:$P$52=1),9))="",INDEX('Synch Matrix'!$G$3:$G$52,_xlfn.AGGREGATE(15,6,(ROW('Synch Matrix'!$P$3:$P$52)-ROW('Synch Matrix'!$P$3)+1)/('Synch Matrix'!$P$3:$P$52=1),9))&lt;&gt;""),INDEX('Synch Matrix'!$G$3:$G$52,_xlfn.AGGREGATE(15,6,(ROW('Synch Matrix'!$P$3:$P$52)-ROW('Synch Matrix'!$P$3)+1)/('Synch Matrix'!$P$3:$P$52=1),9)),""),"")</f>
        <v/>
      </c>
    </row>
    <row r="11" spans="1:7">
      <c r="A11" s="54"/>
      <c r="B11" s="55"/>
      <c r="C11" s="54" t="str">
        <f t="array" ref="C11">IFERROR(IF(INDEX('Synch Matrix'!$A$3:$A$52,_xlfn.AGGREGATE(15,6,(ROW('Synch Matrix'!$P$3:$P$52)-ROW('Synch Matrix'!$P$3)+1)/('Synch Matrix'!$P$3:$P$52=1),10))&lt;&gt;"",INDEX('Synch Matrix'!$C$3:$C$52,_xlfn.AGGREGATE(15,6,(ROW('Synch Matrix'!$P$3:$P$52)-ROW('Synch Matrix'!$P$3)+1)/('Synch Matrix'!$P$3:$P$52=1),10)),""),"")</f>
        <v/>
      </c>
      <c r="D11" s="55"/>
      <c r="E11" s="54" t="str">
        <f t="array" ref="E11">IFERROR(IF(AND(INDEX('Synch Matrix'!$A$3:$A$52,_xlfn.AGGREGATE(15,6,(ROW('Synch Matrix'!$P$3:$P$52)-ROW('Synch Matrix'!$P$3)+1)/('Synch Matrix'!$P$3:$P$52=1),10))="",INDEX('Synch Matrix'!$E$3:$E$52,_xlfn.AGGREGATE(15,6,(ROW('Synch Matrix'!$P$3:$P$52)-ROW('Synch Matrix'!$P$3)+1)/('Synch Matrix'!$P$3:$P$52=1),10))&lt;&gt;""),INDEX('Synch Matrix'!$E$3:$E$52,_xlfn.AGGREGATE(15,6,(ROW('Synch Matrix'!$P$3:$P$52)-ROW('Synch Matrix'!$P$3)+1)/('Synch Matrix'!$P$3:$P$52=1),10)),""),"")</f>
        <v/>
      </c>
      <c r="F11" s="55"/>
      <c r="G11" s="54" t="str">
        <f t="array" ref="G11">IFERROR(IF(AND(INDEX('Synch Matrix'!$A$3:$A$52,_xlfn.AGGREGATE(15,6,(ROW('Synch Matrix'!$P$3:$P$52)-ROW('Synch Matrix'!$P$3)+1)/('Synch Matrix'!$P$3:$P$52=1),10))="",INDEX('Synch Matrix'!$E$3:$E$52,_xlfn.AGGREGATE(15,6,(ROW('Synch Matrix'!$P$3:$P$52)-ROW('Synch Matrix'!$P$3)+1)/('Synch Matrix'!$P$3:$P$52=1),10))="",INDEX('Synch Matrix'!$G$3:$G$52,_xlfn.AGGREGATE(15,6,(ROW('Synch Matrix'!$P$3:$P$52)-ROW('Synch Matrix'!$P$3)+1)/('Synch Matrix'!$P$3:$P$52=1),10))&lt;&gt;""),INDEX('Synch Matrix'!$G$3:$G$52,_xlfn.AGGREGATE(15,6,(ROW('Synch Matrix'!$P$3:$P$52)-ROW('Synch Matrix'!$P$3)+1)/('Synch Matrix'!$P$3:$P$52=1),10)),""),"")</f>
        <v>2.2.1  NEO force GUARDED</v>
      </c>
    </row>
    <row r="12" spans="1:7">
      <c r="A12" s="60"/>
      <c r="B12" s="61"/>
      <c r="C12" s="60" t="str">
        <f t="array" ref="C12">IFERROR(IF(INDEX('Synch Matrix'!$A$3:$A$52,_xlfn.AGGREGATE(15,6,(ROW('Synch Matrix'!$P$3:$P$52)-ROW('Synch Matrix'!$P$3)+1)/('Synch Matrix'!$P$3:$P$52=1),11))&lt;&gt;"",INDEX('Synch Matrix'!$C$3:$C$52,_xlfn.AGGREGATE(15,6,(ROW('Synch Matrix'!$P$3:$P$52)-ROW('Synch Matrix'!$P$3)+1)/('Synch Matrix'!$P$3:$P$52=1),11)),""),"")</f>
        <v/>
      </c>
      <c r="D12" s="61"/>
      <c r="E12" s="60" t="str">
        <f t="array" ref="E12">IFERROR(IF(AND(INDEX('Synch Matrix'!$A$3:$A$52,_xlfn.AGGREGATE(15,6,(ROW('Synch Matrix'!$P$3:$P$52)-ROW('Synch Matrix'!$P$3)+1)/('Synch Matrix'!$P$3:$P$52=1),11))="",INDEX('Synch Matrix'!$E$3:$E$52,_xlfn.AGGREGATE(15,6,(ROW('Synch Matrix'!$P$3:$P$52)-ROW('Synch Matrix'!$P$3)+1)/('Synch Matrix'!$P$3:$P$52=1),11))&lt;&gt;""),INDEX('Synch Matrix'!$E$3:$E$52,_xlfn.AGGREGATE(15,6,(ROW('Synch Matrix'!$P$3:$P$52)-ROW('Synch Matrix'!$P$3)+1)/('Synch Matrix'!$P$3:$P$52=1),11)),""),"")</f>
        <v/>
      </c>
      <c r="F12" s="61"/>
      <c r="G12" s="60" t="str">
        <f t="array" ref="G12">IFERROR(IF(AND(INDEX('Synch Matrix'!$A$3:$A$52,_xlfn.AGGREGATE(15,6,(ROW('Synch Matrix'!$P$3:$P$52)-ROW('Synch Matrix'!$P$3)+1)/('Synch Matrix'!$P$3:$P$52=1),11))="",INDEX('Synch Matrix'!$E$3:$E$52,_xlfn.AGGREGATE(15,6,(ROW('Synch Matrix'!$P$3:$P$52)-ROW('Synch Matrix'!$P$3)+1)/('Synch Matrix'!$P$3:$P$52=1),11))="",INDEX('Synch Matrix'!$G$3:$G$52,_xlfn.AGGREGATE(15,6,(ROW('Synch Matrix'!$P$3:$P$52)-ROW('Synch Matrix'!$P$3)+1)/('Synch Matrix'!$P$3:$P$52=1),11))&lt;&gt;""),INDEX('Synch Matrix'!$G$3:$G$52,_xlfn.AGGREGATE(15,6,(ROW('Synch Matrix'!$P$3:$P$52)-ROW('Synch Matrix'!$P$3)+1)/('Synch Matrix'!$P$3:$P$52=1),11)),""),"")</f>
        <v>2.2.2  NATO and foreign nationals are SECURED</v>
      </c>
    </row>
    <row r="13" spans="1:7" ht="23">
      <c r="A13" s="65" t="str">
        <f t="array" ref="A13">IFERROR(IF(INDEX('Synch Matrix'!$A$3:$A$52,_xlfn.AGGREGATE(15,6,(ROW('Synch Matrix'!$P$3:$P$52)-ROW('Synch Matrix'!$P$3)+1)/('Synch Matrix'!$P$3:$P$52=1),12))&lt;&gt;"",INDEX('Synch Matrix'!$A$3:$A$52,_xlfn.AGGREGATE(15,6,(ROW('Synch Matrix'!$P$3:$P$52)-ROW('Synch Matrix'!$P$3)+1)/('Synch Matrix'!$P$3:$P$52=1),12)),IF(INDEX('Synch Matrix'!$E$3:$E$52,_xlfn.AGGREGATE(15,6,(ROW('Synch Matrix'!$P$3:$P$52)-ROW('Synch Matrix'!$P$3)+1)/('Synch Matrix'!$P$3:$P$52=1),12))&lt;&gt;"",LEFT(INDEX('Synch Matrix'!$E$3:$E$52,_xlfn.AGGREGATE(15,6,(ROW('Synch Matrix'!$P$3:$P$52)-ROW('Synch Matrix'!$P$3)+1)/('Synch Matrix'!$P$3:$P$52=1),12)),FIND("  ",INDEX('Synch Matrix'!$E$3:$E$52,_xlfn.AGGREGATE(15,6,(ROW('Synch Matrix'!$P$3:$P$52)-ROW('Synch Matrix'!$P$3)+1)/('Synch Matrix'!$P$3:$P$52=1),12))&amp;"  ")-1),LEFT(INDEX('Synch Matrix'!$G$3:$G$52,_xlfn.AGGREGATE(15,6,(ROW('Synch Matrix'!$P$3:$P$52)-ROW('Synch Matrix'!$P$3)+1)/('Synch Matrix'!$P$3:$P$52=1),12)),FIND("  ",INDEX('Synch Matrix'!$G$3:$G$52,_xlfn.AGGREGATE(15,6,(ROW('Synch Matrix'!$P$3:$P$52)-ROW('Synch Matrix'!$P$3)+1)/('Synch Matrix'!$P$3:$P$52=1),12))&amp;"  ")-1))),"")</f>
        <v>3</v>
      </c>
      <c r="B13" s="66"/>
      <c r="C13" s="65" t="str">
        <f t="array" ref="C13">IFERROR(IF(INDEX('Synch Matrix'!$A$3:$A$52,_xlfn.AGGREGATE(15,6,(ROW('Synch Matrix'!$P$3:$P$52)-ROW('Synch Matrix'!$P$3)+1)/('Synch Matrix'!$P$3:$P$52=1),12))&lt;&gt;"",INDEX('Synch Matrix'!$C$3:$C$52,_xlfn.AGGREGATE(15,6,(ROW('Synch Matrix'!$P$3:$P$52)-ROW('Synch Matrix'!$P$3)+1)/('Synch Matrix'!$P$3:$P$52=1),12)),""),"")</f>
        <v>RESTORE GoIND territorial integrity in SUMATRA</v>
      </c>
      <c r="D13" s="66"/>
      <c r="E13" s="65" t="str">
        <f t="array" ref="E13">IFERROR(IF(AND(INDEX('Synch Matrix'!$A$3:$A$52,_xlfn.AGGREGATE(15,6,(ROW('Synch Matrix'!$P$3:$P$52)-ROW('Synch Matrix'!$P$3)+1)/('Synch Matrix'!$P$3:$P$52=1),12))="",INDEX('Synch Matrix'!$E$3:$E$52,_xlfn.AGGREGATE(15,6,(ROW('Synch Matrix'!$P$3:$P$52)-ROW('Synch Matrix'!$P$3)+1)/('Synch Matrix'!$P$3:$P$52=1),12))&lt;&gt;""),INDEX('Synch Matrix'!$E$3:$E$52,_xlfn.AGGREGATE(15,6,(ROW('Synch Matrix'!$P$3:$P$52)-ROW('Synch Matrix'!$P$3)+1)/('Synch Matrix'!$P$3:$P$52=1),12)),""),"")</f>
        <v/>
      </c>
      <c r="F13" s="66"/>
      <c r="G13" s="65" t="str">
        <f t="array" ref="G13">IFERROR(IF(AND(INDEX('Synch Matrix'!$A$3:$A$52,_xlfn.AGGREGATE(15,6,(ROW('Synch Matrix'!$P$3:$P$52)-ROW('Synch Matrix'!$P$3)+1)/('Synch Matrix'!$P$3:$P$52=1),12))="",INDEX('Synch Matrix'!$E$3:$E$52,_xlfn.AGGREGATE(15,6,(ROW('Synch Matrix'!$P$3:$P$52)-ROW('Synch Matrix'!$P$3)+1)/('Synch Matrix'!$P$3:$P$52=1),12))="",INDEX('Synch Matrix'!$G$3:$G$52,_xlfn.AGGREGATE(15,6,(ROW('Synch Matrix'!$P$3:$P$52)-ROW('Synch Matrix'!$P$3)+1)/('Synch Matrix'!$P$3:$P$52=1),12))&lt;&gt;""),INDEX('Synch Matrix'!$G$3:$G$52,_xlfn.AGGREGATE(15,6,(ROW('Synch Matrix'!$P$3:$P$52)-ROW('Synch Matrix'!$P$3)+1)/('Synch Matrix'!$P$3:$P$52=1),12)),""),"")</f>
        <v/>
      </c>
    </row>
    <row r="14" spans="1:7" ht="23" customHeight="1">
      <c r="A14" s="54"/>
      <c r="B14" s="55"/>
      <c r="C14" s="54" t="str">
        <f t="array" ref="C14">IFERROR(IF(INDEX('Synch Matrix'!$A$3:$A$52,_xlfn.AGGREGATE(15,6,(ROW('Synch Matrix'!$P$3:$P$52)-ROW('Synch Matrix'!$P$3)+1)/('Synch Matrix'!$P$3:$P$52=1),13))&lt;&gt;"",INDEX('Synch Matrix'!$C$3:$C$52,_xlfn.AGGREGATE(15,6,(ROW('Synch Matrix'!$P$3:$P$52)-ROW('Synch Matrix'!$P$3)+1)/('Synch Matrix'!$P$3:$P$52=1),13)),""),"")</f>
        <v/>
      </c>
      <c r="D14" s="55"/>
      <c r="E14" s="54" t="str">
        <f t="array" ref="E14">IFERROR(IF(AND(INDEX('Synch Matrix'!$A$3:$A$52,_xlfn.AGGREGATE(15,6,(ROW('Synch Matrix'!$P$3:$P$52)-ROW('Synch Matrix'!$P$3)+1)/('Synch Matrix'!$P$3:$P$52=1),13))="",INDEX('Synch Matrix'!$E$3:$E$52,_xlfn.AGGREGATE(15,6,(ROW('Synch Matrix'!$P$3:$P$52)-ROW('Synch Matrix'!$P$3)+1)/('Synch Matrix'!$P$3:$P$52=1),13))&lt;&gt;""),INDEX('Synch Matrix'!$E$3:$E$52,_xlfn.AGGREGATE(15,6,(ROW('Synch Matrix'!$P$3:$P$52)-ROW('Synch Matrix'!$P$3)+1)/('Synch Matrix'!$P$3:$P$52=1),13)),""),"")</f>
        <v>3.1  IRS cohesion and ISOLATE MEDAN-BELAWAN DISCREDITED</v>
      </c>
      <c r="F14" s="55"/>
      <c r="G14" s="54" t="str">
        <f t="array" ref="G14">IFERROR(IF(AND(INDEX('Synch Matrix'!$A$3:$A$52,_xlfn.AGGREGATE(15,6,(ROW('Synch Matrix'!$P$3:$P$52)-ROW('Synch Matrix'!$P$3)+1)/('Synch Matrix'!$P$3:$P$52=1),13))="",INDEX('Synch Matrix'!$E$3:$E$52,_xlfn.AGGREGATE(15,6,(ROW('Synch Matrix'!$P$3:$P$52)-ROW('Synch Matrix'!$P$3)+1)/('Synch Matrix'!$P$3:$P$52=1),13))="",INDEX('Synch Matrix'!$G$3:$G$52,_xlfn.AGGREGATE(15,6,(ROW('Synch Matrix'!$P$3:$P$52)-ROW('Synch Matrix'!$P$3)+1)/('Synch Matrix'!$P$3:$P$52=1),13))&lt;&gt;""),INDEX('Synch Matrix'!$G$3:$G$52,_xlfn.AGGREGATE(15,6,(ROW('Synch Matrix'!$P$3:$P$52)-ROW('Synch Matrix'!$P$3)+1)/('Synch Matrix'!$P$3:$P$52=1),13)),""),"")</f>
        <v/>
      </c>
    </row>
    <row r="15" spans="1:7">
      <c r="A15" s="60"/>
      <c r="B15" s="61"/>
      <c r="C15" s="60" t="str">
        <f t="array" ref="C15">IFERROR(IF(INDEX('Synch Matrix'!$A$3:$A$52,_xlfn.AGGREGATE(15,6,(ROW('Synch Matrix'!$P$3:$P$52)-ROW('Synch Matrix'!$P$3)+1)/('Synch Matrix'!$P$3:$P$52=1),14))&lt;&gt;"",INDEX('Synch Matrix'!$C$3:$C$52,_xlfn.AGGREGATE(15,6,(ROW('Synch Matrix'!$P$3:$P$52)-ROW('Synch Matrix'!$P$3)+1)/('Synch Matrix'!$P$3:$P$52=1),14)),""),"")</f>
        <v/>
      </c>
      <c r="D15" s="61"/>
      <c r="E15" s="60" t="str">
        <f t="array" ref="E15">IFERROR(IF(AND(INDEX('Synch Matrix'!$A$3:$A$52,_xlfn.AGGREGATE(15,6,(ROW('Synch Matrix'!$P$3:$P$52)-ROW('Synch Matrix'!$P$3)+1)/('Synch Matrix'!$P$3:$P$52=1),14))="",INDEX('Synch Matrix'!$E$3:$E$52,_xlfn.AGGREGATE(15,6,(ROW('Synch Matrix'!$P$3:$P$52)-ROW('Synch Matrix'!$P$3)+1)/('Synch Matrix'!$P$3:$P$52=1),14))&lt;&gt;""),INDEX('Synch Matrix'!$E$3:$E$52,_xlfn.AGGREGATE(15,6,(ROW('Synch Matrix'!$P$3:$P$52)-ROW('Synch Matrix'!$P$3)+1)/('Synch Matrix'!$P$3:$P$52=1),14)),""),"")</f>
        <v/>
      </c>
      <c r="F15" s="61"/>
      <c r="G15" s="60" t="str">
        <f t="array" ref="G15">IFERROR(IF(AND(INDEX('Synch Matrix'!$A$3:$A$52,_xlfn.AGGREGATE(15,6,(ROW('Synch Matrix'!$P$3:$P$52)-ROW('Synch Matrix'!$P$3)+1)/('Synch Matrix'!$P$3:$P$52=1),14))="",INDEX('Synch Matrix'!$E$3:$E$52,_xlfn.AGGREGATE(15,6,(ROW('Synch Matrix'!$P$3:$P$52)-ROW('Synch Matrix'!$P$3)+1)/('Synch Matrix'!$P$3:$P$52=1),14))="",INDEX('Synch Matrix'!$G$3:$G$52,_xlfn.AGGREGATE(15,6,(ROW('Synch Matrix'!$P$3:$P$52)-ROW('Synch Matrix'!$P$3)+1)/('Synch Matrix'!$P$3:$P$52=1),14))&lt;&gt;""),INDEX('Synch Matrix'!$G$3:$G$52,_xlfn.AGGREGATE(15,6,(ROW('Synch Matrix'!$P$3:$P$52)-ROW('Synch Matrix'!$P$3)+1)/('Synch Matrix'!$P$3:$P$52=1),14)),""),"")</f>
        <v>3.1.1  HASAN is DISCREDITED</v>
      </c>
    </row>
    <row r="16" spans="1:7">
      <c r="A16" s="65"/>
      <c r="B16" s="66"/>
      <c r="C16" s="65" t="str">
        <f t="array" ref="C16">IFERROR(IF(INDEX('Synch Matrix'!$A$3:$A$52,_xlfn.AGGREGATE(15,6,(ROW('Synch Matrix'!$P$3:$P$52)-ROW('Synch Matrix'!$P$3)+1)/('Synch Matrix'!$P$3:$P$52=1),15))&lt;&gt;"",INDEX('Synch Matrix'!$C$3:$C$52,_xlfn.AGGREGATE(15,6,(ROW('Synch Matrix'!$P$3:$P$52)-ROW('Synch Matrix'!$P$3)+1)/('Synch Matrix'!$P$3:$P$52=1),15)),""),"")</f>
        <v/>
      </c>
      <c r="D16" s="66"/>
      <c r="E16" s="65" t="str">
        <f t="array" ref="E16">IFERROR(IF(AND(INDEX('Synch Matrix'!$A$3:$A$52,_xlfn.AGGREGATE(15,6,(ROW('Synch Matrix'!$P$3:$P$52)-ROW('Synch Matrix'!$P$3)+1)/('Synch Matrix'!$P$3:$P$52=1),15))="",INDEX('Synch Matrix'!$E$3:$E$52,_xlfn.AGGREGATE(15,6,(ROW('Synch Matrix'!$P$3:$P$52)-ROW('Synch Matrix'!$P$3)+1)/('Synch Matrix'!$P$3:$P$52=1),15))&lt;&gt;""),INDEX('Synch Matrix'!$E$3:$E$52,_xlfn.AGGREGATE(15,6,(ROW('Synch Matrix'!$P$3:$P$52)-ROW('Synch Matrix'!$P$3)+1)/('Synch Matrix'!$P$3:$P$52=1),15)),""),"")</f>
        <v/>
      </c>
      <c r="F16" s="66"/>
      <c r="G16" s="65" t="str">
        <f t="array" ref="G16">IFERROR(IF(AND(INDEX('Synch Matrix'!$A$3:$A$52,_xlfn.AGGREGATE(15,6,(ROW('Synch Matrix'!$P$3:$P$52)-ROW('Synch Matrix'!$P$3)+1)/('Synch Matrix'!$P$3:$P$52=1),15))="",INDEX('Synch Matrix'!$E$3:$E$52,_xlfn.AGGREGATE(15,6,(ROW('Synch Matrix'!$P$3:$P$52)-ROW('Synch Matrix'!$P$3)+1)/('Synch Matrix'!$P$3:$P$52=1),15))="",INDEX('Synch Matrix'!$G$3:$G$52,_xlfn.AGGREGATE(15,6,(ROW('Synch Matrix'!$P$3:$P$52)-ROW('Synch Matrix'!$P$3)+1)/('Synch Matrix'!$P$3:$P$52=1),15))&lt;&gt;""),INDEX('Synch Matrix'!$G$3:$G$52,_xlfn.AGGREGATE(15,6,(ROW('Synch Matrix'!$P$3:$P$52)-ROW('Synch Matrix'!$P$3)+1)/('Synch Matrix'!$P$3:$P$52=1),15)),""),"")</f>
        <v>3.1.2  MEDAN-BELAWAN ports ISOLATED</v>
      </c>
    </row>
    <row r="17" spans="1:7">
      <c r="A17" s="54"/>
      <c r="B17" s="55"/>
      <c r="C17" s="54" t="str">
        <f t="array" ref="C17">IFERROR(IF(INDEX('Synch Matrix'!$A$3:$A$52,_xlfn.AGGREGATE(15,6,(ROW('Synch Matrix'!$P$3:$P$52)-ROW('Synch Matrix'!$P$3)+1)/('Synch Matrix'!$P$3:$P$52=1),16))&lt;&gt;"",INDEX('Synch Matrix'!$C$3:$C$52,_xlfn.AGGREGATE(15,6,(ROW('Synch Matrix'!$P$3:$P$52)-ROW('Synch Matrix'!$P$3)+1)/('Synch Matrix'!$P$3:$P$52=1),16)),""),"")</f>
        <v/>
      </c>
      <c r="D17" s="55"/>
      <c r="E17" s="54" t="str">
        <f t="array" ref="E17">IFERROR(IF(AND(INDEX('Synch Matrix'!$A$3:$A$52,_xlfn.AGGREGATE(15,6,(ROW('Synch Matrix'!$P$3:$P$52)-ROW('Synch Matrix'!$P$3)+1)/('Synch Matrix'!$P$3:$P$52=1),16))="",INDEX('Synch Matrix'!$E$3:$E$52,_xlfn.AGGREGATE(15,6,(ROW('Synch Matrix'!$P$3:$P$52)-ROW('Synch Matrix'!$P$3)+1)/('Synch Matrix'!$P$3:$P$52=1),16))&lt;&gt;""),INDEX('Synch Matrix'!$E$3:$E$52,_xlfn.AGGREGATE(15,6,(ROW('Synch Matrix'!$P$3:$P$52)-ROW('Synch Matrix'!$P$3)+1)/('Synch Matrix'!$P$3:$P$52=1),16)),""),"")</f>
        <v>3.2  GoIND SECURING of SUMATRA SUPPORTED</v>
      </c>
      <c r="F17" s="55"/>
      <c r="G17" s="54" t="str">
        <f t="array" ref="G17">IFERROR(IF(AND(INDEX('Synch Matrix'!$A$3:$A$52,_xlfn.AGGREGATE(15,6,(ROW('Synch Matrix'!$P$3:$P$52)-ROW('Synch Matrix'!$P$3)+1)/('Synch Matrix'!$P$3:$P$52=1),16))="",INDEX('Synch Matrix'!$E$3:$E$52,_xlfn.AGGREGATE(15,6,(ROW('Synch Matrix'!$P$3:$P$52)-ROW('Synch Matrix'!$P$3)+1)/('Synch Matrix'!$P$3:$P$52=1),16))="",INDEX('Synch Matrix'!$G$3:$G$52,_xlfn.AGGREGATE(15,6,(ROW('Synch Matrix'!$P$3:$P$52)-ROW('Synch Matrix'!$P$3)+1)/('Synch Matrix'!$P$3:$P$52=1),16))&lt;&gt;""),INDEX('Synch Matrix'!$G$3:$G$52,_xlfn.AGGREGATE(15,6,(ROW('Synch Matrix'!$P$3:$P$52)-ROW('Synch Matrix'!$P$3)+1)/('Synch Matrix'!$P$3:$P$52=1),16)),""),"")</f>
        <v/>
      </c>
    </row>
    <row r="18" spans="1:7">
      <c r="A18" s="60"/>
      <c r="B18" s="61"/>
      <c r="C18" s="60" t="str">
        <f t="array" ref="C18">IFERROR(IF(INDEX('Synch Matrix'!$A$3:$A$52,_xlfn.AGGREGATE(15,6,(ROW('Synch Matrix'!$P$3:$P$52)-ROW('Synch Matrix'!$P$3)+1)/('Synch Matrix'!$P$3:$P$52=1),17))&lt;&gt;"",INDEX('Synch Matrix'!$C$3:$C$52,_xlfn.AGGREGATE(15,6,(ROW('Synch Matrix'!$P$3:$P$52)-ROW('Synch Matrix'!$P$3)+1)/('Synch Matrix'!$P$3:$P$52=1),17)),""),"")</f>
        <v/>
      </c>
      <c r="D18" s="61"/>
      <c r="E18" s="60" t="str">
        <f t="array" ref="E18">IFERROR(IF(AND(INDEX('Synch Matrix'!$A$3:$A$52,_xlfn.AGGREGATE(15,6,(ROW('Synch Matrix'!$P$3:$P$52)-ROW('Synch Matrix'!$P$3)+1)/('Synch Matrix'!$P$3:$P$52=1),17))="",INDEX('Synch Matrix'!$E$3:$E$52,_xlfn.AGGREGATE(15,6,(ROW('Synch Matrix'!$P$3:$P$52)-ROW('Synch Matrix'!$P$3)+1)/('Synch Matrix'!$P$3:$P$52=1),17))&lt;&gt;""),INDEX('Synch Matrix'!$E$3:$E$52,_xlfn.AGGREGATE(15,6,(ROW('Synch Matrix'!$P$3:$P$52)-ROW('Synch Matrix'!$P$3)+1)/('Synch Matrix'!$P$3:$P$52=1),17)),""),"")</f>
        <v/>
      </c>
      <c r="F18" s="61"/>
      <c r="G18" s="60" t="str">
        <f t="array" ref="G18">IFERROR(IF(AND(INDEX('Synch Matrix'!$A$3:$A$52,_xlfn.AGGREGATE(15,6,(ROW('Synch Matrix'!$P$3:$P$52)-ROW('Synch Matrix'!$P$3)+1)/('Synch Matrix'!$P$3:$P$52=1),17))="",INDEX('Synch Matrix'!$E$3:$E$52,_xlfn.AGGREGATE(15,6,(ROW('Synch Matrix'!$P$3:$P$52)-ROW('Synch Matrix'!$P$3)+1)/('Synch Matrix'!$P$3:$P$52=1),17))="",INDEX('Synch Matrix'!$G$3:$G$52,_xlfn.AGGREGATE(15,6,(ROW('Synch Matrix'!$P$3:$P$52)-ROW('Synch Matrix'!$P$3)+1)/('Synch Matrix'!$P$3:$P$52=1),17))&lt;&gt;""),INDEX('Synch Matrix'!$G$3:$G$52,_xlfn.AGGREGATE(15,6,(ROW('Synch Matrix'!$P$3:$P$52)-ROW('Synch Matrix'!$P$3)+1)/('Synch Matrix'!$P$3:$P$52=1),17)),""),"")</f>
        <v>3.2.1  RSOI areas are SECURED</v>
      </c>
    </row>
    <row r="19" spans="1:7">
      <c r="A19" s="65"/>
      <c r="B19" s="66"/>
      <c r="C19" s="65" t="str">
        <f t="array" ref="C19">IFERROR(IF(INDEX('Synch Matrix'!$A$3:$A$52,_xlfn.AGGREGATE(15,6,(ROW('Synch Matrix'!$P$3:$P$52)-ROW('Synch Matrix'!$P$3)+1)/('Synch Matrix'!$P$3:$P$52=1),18))&lt;&gt;"",INDEX('Synch Matrix'!$C$3:$C$52,_xlfn.AGGREGATE(15,6,(ROW('Synch Matrix'!$P$3:$P$52)-ROW('Synch Matrix'!$P$3)+1)/('Synch Matrix'!$P$3:$P$52=1),18)),""),"")</f>
        <v/>
      </c>
      <c r="D19" s="66"/>
      <c r="E19" s="65" t="str">
        <f t="array" ref="E19">IFERROR(IF(AND(INDEX('Synch Matrix'!$A$3:$A$52,_xlfn.AGGREGATE(15,6,(ROW('Synch Matrix'!$P$3:$P$52)-ROW('Synch Matrix'!$P$3)+1)/('Synch Matrix'!$P$3:$P$52=1),18))="",INDEX('Synch Matrix'!$E$3:$E$52,_xlfn.AGGREGATE(15,6,(ROW('Synch Matrix'!$P$3:$P$52)-ROW('Synch Matrix'!$P$3)+1)/('Synch Matrix'!$P$3:$P$52=1),18))&lt;&gt;""),INDEX('Synch Matrix'!$E$3:$E$52,_xlfn.AGGREGATE(15,6,(ROW('Synch Matrix'!$P$3:$P$52)-ROW('Synch Matrix'!$P$3)+1)/('Synch Matrix'!$P$3:$P$52=1),18)),""),"")</f>
        <v/>
      </c>
      <c r="F19" s="66"/>
      <c r="G19" s="65" t="str">
        <f t="array" ref="G19">IFERROR(IF(AND(INDEX('Synch Matrix'!$A$3:$A$52,_xlfn.AGGREGATE(15,6,(ROW('Synch Matrix'!$P$3:$P$52)-ROW('Synch Matrix'!$P$3)+1)/('Synch Matrix'!$P$3:$P$52=1),18))="",INDEX('Synch Matrix'!$E$3:$E$52,_xlfn.AGGREGATE(15,6,(ROW('Synch Matrix'!$P$3:$P$52)-ROW('Synch Matrix'!$P$3)+1)/('Synch Matrix'!$P$3:$P$52=1),18))="",INDEX('Synch Matrix'!$G$3:$G$52,_xlfn.AGGREGATE(15,6,(ROW('Synch Matrix'!$P$3:$P$52)-ROW('Synch Matrix'!$P$3)+1)/('Synch Matrix'!$P$3:$P$52=1),18))&lt;&gt;""),INDEX('Synch Matrix'!$G$3:$G$52,_xlfn.AGGREGATE(15,6,(ROW('Synch Matrix'!$P$3:$P$52)-ROW('Synch Matrix'!$P$3)+1)/('Synch Matrix'!$P$3:$P$52=1),18)),""),"")</f>
        <v>3.2.2  Priority governance / infrastructure nodes SECURED</v>
      </c>
    </row>
    <row r="20" spans="1:7">
      <c r="A20" s="54"/>
      <c r="B20" s="55"/>
      <c r="C20" s="54" t="str">
        <f t="array" ref="C20">IFERROR(IF(INDEX('Synch Matrix'!$A$3:$A$52,_xlfn.AGGREGATE(15,6,(ROW('Synch Matrix'!$P$3:$P$52)-ROW('Synch Matrix'!$P$3)+1)/('Synch Matrix'!$P$3:$P$52=1),19))&lt;&gt;"",INDEX('Synch Matrix'!$C$3:$C$52,_xlfn.AGGREGATE(15,6,(ROW('Synch Matrix'!$P$3:$P$52)-ROW('Synch Matrix'!$P$3)+1)/('Synch Matrix'!$P$3:$P$52=1),19)),""),"")</f>
        <v/>
      </c>
      <c r="D20" s="55"/>
      <c r="E20" s="54" t="str">
        <f t="array" ref="E20">IFERROR(IF(AND(INDEX('Synch Matrix'!$A$3:$A$52,_xlfn.AGGREGATE(15,6,(ROW('Synch Matrix'!$P$3:$P$52)-ROW('Synch Matrix'!$P$3)+1)/('Synch Matrix'!$P$3:$P$52=1),19))="",INDEX('Synch Matrix'!$E$3:$E$52,_xlfn.AGGREGATE(15,6,(ROW('Synch Matrix'!$P$3:$P$52)-ROW('Synch Matrix'!$P$3)+1)/('Synch Matrix'!$P$3:$P$52=1),19))&lt;&gt;""),INDEX('Synch Matrix'!$E$3:$E$52,_xlfn.AGGREGATE(15,6,(ROW('Synch Matrix'!$P$3:$P$52)-ROW('Synch Matrix'!$P$3)+1)/('Synch Matrix'!$P$3:$P$52=1),19)),""),"")</f>
        <v>3.3  Key locations in SUMATRA SECURED</v>
      </c>
      <c r="F20" s="55"/>
      <c r="G20" s="54" t="str">
        <f t="array" ref="G20">IFERROR(IF(AND(INDEX('Synch Matrix'!$A$3:$A$52,_xlfn.AGGREGATE(15,6,(ROW('Synch Matrix'!$P$3:$P$52)-ROW('Synch Matrix'!$P$3)+1)/('Synch Matrix'!$P$3:$P$52=1),19))="",INDEX('Synch Matrix'!$E$3:$E$52,_xlfn.AGGREGATE(15,6,(ROW('Synch Matrix'!$P$3:$P$52)-ROW('Synch Matrix'!$P$3)+1)/('Synch Matrix'!$P$3:$P$52=1),19))="",INDEX('Synch Matrix'!$G$3:$G$52,_xlfn.AGGREGATE(15,6,(ROW('Synch Matrix'!$P$3:$P$52)-ROW('Synch Matrix'!$P$3)+1)/('Synch Matrix'!$P$3:$P$52=1),19))&lt;&gt;""),INDEX('Synch Matrix'!$G$3:$G$52,_xlfn.AGGREGATE(15,6,(ROW('Synch Matrix'!$P$3:$P$52)-ROW('Synch Matrix'!$P$3)+1)/('Synch Matrix'!$P$3:$P$52=1),19)),""),"")</f>
        <v/>
      </c>
    </row>
    <row r="21" spans="1:7">
      <c r="A21" s="60"/>
      <c r="B21" s="61"/>
      <c r="C21" s="60" t="str">
        <f t="array" ref="C21">IFERROR(IF(INDEX('Synch Matrix'!$A$3:$A$52,_xlfn.AGGREGATE(15,6,(ROW('Synch Matrix'!$P$3:$P$52)-ROW('Synch Matrix'!$P$3)+1)/('Synch Matrix'!$P$3:$P$52=1),20))&lt;&gt;"",INDEX('Synch Matrix'!$C$3:$C$52,_xlfn.AGGREGATE(15,6,(ROW('Synch Matrix'!$P$3:$P$52)-ROW('Synch Matrix'!$P$3)+1)/('Synch Matrix'!$P$3:$P$52=1),20)),""),"")</f>
        <v/>
      </c>
      <c r="D21" s="61"/>
      <c r="E21" s="60" t="str">
        <f t="array" ref="E21">IFERROR(IF(AND(INDEX('Synch Matrix'!$A$3:$A$52,_xlfn.AGGREGATE(15,6,(ROW('Synch Matrix'!$P$3:$P$52)-ROW('Synch Matrix'!$P$3)+1)/('Synch Matrix'!$P$3:$P$52=1),20))="",INDEX('Synch Matrix'!$E$3:$E$52,_xlfn.AGGREGATE(15,6,(ROW('Synch Matrix'!$P$3:$P$52)-ROW('Synch Matrix'!$P$3)+1)/('Synch Matrix'!$P$3:$P$52=1),20))&lt;&gt;""),INDEX('Synch Matrix'!$E$3:$E$52,_xlfn.AGGREGATE(15,6,(ROW('Synch Matrix'!$P$3:$P$52)-ROW('Synch Matrix'!$P$3)+1)/('Synch Matrix'!$P$3:$P$52=1),20)),""),"")</f>
        <v/>
      </c>
      <c r="F21" s="61"/>
      <c r="G21" s="60" t="str">
        <f t="array" ref="G21">IFERROR(IF(AND(INDEX('Synch Matrix'!$A$3:$A$52,_xlfn.AGGREGATE(15,6,(ROW('Synch Matrix'!$P$3:$P$52)-ROW('Synch Matrix'!$P$3)+1)/('Synch Matrix'!$P$3:$P$52=1),20))="",INDEX('Synch Matrix'!$E$3:$E$52,_xlfn.AGGREGATE(15,6,(ROW('Synch Matrix'!$P$3:$P$52)-ROW('Synch Matrix'!$P$3)+1)/('Synch Matrix'!$P$3:$P$52=1),20))="",INDEX('Synch Matrix'!$G$3:$G$52,_xlfn.AGGREGATE(15,6,(ROW('Synch Matrix'!$P$3:$P$52)-ROW('Synch Matrix'!$P$3)+1)/('Synch Matrix'!$P$3:$P$52=1),20))&lt;&gt;""),INDEX('Synch Matrix'!$G$3:$G$52,_xlfn.AGGREGATE(15,6,(ROW('Synch Matrix'!$P$3:$P$52)-ROW('Synch Matrix'!$P$3)+1)/('Synch Matrix'!$P$3:$P$52=1),20)),""),"")</f>
        <v>3.3.1  GoIND entry force is in SUMATRA is PROTECTED</v>
      </c>
    </row>
    <row r="22" spans="1:7">
      <c r="A22" s="65"/>
      <c r="B22" s="66"/>
      <c r="C22" s="65" t="str">
        <f t="array" ref="C22">IFERROR(IF(INDEX('Synch Matrix'!$A$3:$A$52,_xlfn.AGGREGATE(15,6,(ROW('Synch Matrix'!$P$3:$P$52)-ROW('Synch Matrix'!$P$3)+1)/('Synch Matrix'!$P$3:$P$52=1),21))&lt;&gt;"",INDEX('Synch Matrix'!$C$3:$C$52,_xlfn.AGGREGATE(15,6,(ROW('Synch Matrix'!$P$3:$P$52)-ROW('Synch Matrix'!$P$3)+1)/('Synch Matrix'!$P$3:$P$52=1),21)),""),"")</f>
        <v/>
      </c>
      <c r="D22" s="66"/>
      <c r="E22" s="65" t="str">
        <f t="array" ref="E22">IFERROR(IF(AND(INDEX('Synch Matrix'!$A$3:$A$52,_xlfn.AGGREGATE(15,6,(ROW('Synch Matrix'!$P$3:$P$52)-ROW('Synch Matrix'!$P$3)+1)/('Synch Matrix'!$P$3:$P$52=1),21))="",INDEX('Synch Matrix'!$E$3:$E$52,_xlfn.AGGREGATE(15,6,(ROW('Synch Matrix'!$P$3:$P$52)-ROW('Synch Matrix'!$P$3)+1)/('Synch Matrix'!$P$3:$P$52=1),21))&lt;&gt;""),INDEX('Synch Matrix'!$E$3:$E$52,_xlfn.AGGREGATE(15,6,(ROW('Synch Matrix'!$P$3:$P$52)-ROW('Synch Matrix'!$P$3)+1)/('Synch Matrix'!$P$3:$P$52=1),21)),""),"")</f>
        <v/>
      </c>
      <c r="F22" s="66"/>
      <c r="G22" s="65" t="str">
        <f t="array" ref="G22">IFERROR(IF(AND(INDEX('Synch Matrix'!$A$3:$A$52,_xlfn.AGGREGATE(15,6,(ROW('Synch Matrix'!$P$3:$P$52)-ROW('Synch Matrix'!$P$3)+1)/('Synch Matrix'!$P$3:$P$52=1),21))="",INDEX('Synch Matrix'!$E$3:$E$52,_xlfn.AGGREGATE(15,6,(ROW('Synch Matrix'!$P$3:$P$52)-ROW('Synch Matrix'!$P$3)+1)/('Synch Matrix'!$P$3:$P$52=1),21))="",INDEX('Synch Matrix'!$G$3:$G$52,_xlfn.AGGREGATE(15,6,(ROW('Synch Matrix'!$P$3:$P$52)-ROW('Synch Matrix'!$P$3)+1)/('Synch Matrix'!$P$3:$P$52=1),21))&lt;&gt;""),INDEX('Synch Matrix'!$G$3:$G$52,_xlfn.AGGREGATE(15,6,(ROW('Synch Matrix'!$P$3:$P$52)-ROW('Synch Matrix'!$P$3)+1)/('Synch Matrix'!$P$3:$P$52=1),21)),""),"")</f>
        <v>3.3.2  GoIND authority is STABILISED</v>
      </c>
    </row>
    <row r="23" spans="1:7" ht="23" customHeight="1">
      <c r="A23" s="54" t="str">
        <f t="array" ref="A23">IFERROR(IF(INDEX('Synch Matrix'!$A$3:$A$52,_xlfn.AGGREGATE(15,6,(ROW('Synch Matrix'!$P$3:$P$52)-ROW('Synch Matrix'!$P$3)+1)/('Synch Matrix'!$P$3:$P$52=1),22))&lt;&gt;"",INDEX('Synch Matrix'!$A$3:$A$52,_xlfn.AGGREGATE(15,6,(ROW('Synch Matrix'!$P$3:$P$52)-ROW('Synch Matrix'!$P$3)+1)/('Synch Matrix'!$P$3:$P$52=1),22)),IF(INDEX('Synch Matrix'!$E$3:$E$52,_xlfn.AGGREGATE(15,6,(ROW('Synch Matrix'!$P$3:$P$52)-ROW('Synch Matrix'!$P$3)+1)/('Synch Matrix'!$P$3:$P$52=1),22))&lt;&gt;"",LEFT(INDEX('Synch Matrix'!$E$3:$E$52,_xlfn.AGGREGATE(15,6,(ROW('Synch Matrix'!$P$3:$P$52)-ROW('Synch Matrix'!$P$3)+1)/('Synch Matrix'!$P$3:$P$52=1),22)),FIND("  ",INDEX('Synch Matrix'!$E$3:$E$52,_xlfn.AGGREGATE(15,6,(ROW('Synch Matrix'!$P$3:$P$52)-ROW('Synch Matrix'!$P$3)+1)/('Synch Matrix'!$P$3:$P$52=1),22))&amp;"  ")-1),LEFT(INDEX('Synch Matrix'!$G$3:$G$52,_xlfn.AGGREGATE(15,6,(ROW('Synch Matrix'!$P$3:$P$52)-ROW('Synch Matrix'!$P$3)+1)/('Synch Matrix'!$P$3:$P$52=1),22)),FIND("  ",INDEX('Synch Matrix'!$G$3:$G$52,_xlfn.AGGREGATE(15,6,(ROW('Synch Matrix'!$P$3:$P$52)-ROW('Synch Matrix'!$P$3)+1)/('Synch Matrix'!$P$3:$P$52=1),22))&amp;"  ")-1))),"")</f>
        <v>4</v>
      </c>
      <c r="B23" s="55"/>
      <c r="C23" s="54" t="str">
        <f t="array" ref="C23">IFERROR(IF(INDEX('Synch Matrix'!$A$3:$A$52,_xlfn.AGGREGATE(15,6,(ROW('Synch Matrix'!$P$3:$P$52)-ROW('Synch Matrix'!$P$3)+1)/('Synch Matrix'!$P$3:$P$52=1),22))&lt;&gt;"",INDEX('Synch Matrix'!$C$3:$C$52,_xlfn.AGGREGATE(15,6,(ROW('Synch Matrix'!$P$3:$P$52)-ROW('Synch Matrix'!$P$3)+1)/('Synch Matrix'!$P$3:$P$52=1),22)),""),"")</f>
        <v>CONTAIN terror and DETER external influence to widen the conflict</v>
      </c>
      <c r="D23" s="55"/>
      <c r="E23" s="54" t="str">
        <f t="array" ref="E23">IFERROR(IF(AND(INDEX('Synch Matrix'!$A$3:$A$52,_xlfn.AGGREGATE(15,6,(ROW('Synch Matrix'!$P$3:$P$52)-ROW('Synch Matrix'!$P$3)+1)/('Synch Matrix'!$P$3:$P$52=1),22))="",INDEX('Synch Matrix'!$E$3:$E$52,_xlfn.AGGREGATE(15,6,(ROW('Synch Matrix'!$P$3:$P$52)-ROW('Synch Matrix'!$P$3)+1)/('Synch Matrix'!$P$3:$P$52=1),22))&lt;&gt;""),INDEX('Synch Matrix'!$E$3:$E$52,_xlfn.AGGREGATE(15,6,(ROW('Synch Matrix'!$P$3:$P$52)-ROW('Synch Matrix'!$P$3)+1)/('Synch Matrix'!$P$3:$P$52=1),22)),""),"")</f>
        <v/>
      </c>
      <c r="F23" s="55"/>
      <c r="G23" s="54" t="str">
        <f t="array" ref="G23">IFERROR(IF(AND(INDEX('Synch Matrix'!$A$3:$A$52,_xlfn.AGGREGATE(15,6,(ROW('Synch Matrix'!$P$3:$P$52)-ROW('Synch Matrix'!$P$3)+1)/('Synch Matrix'!$P$3:$P$52=1),22))="",INDEX('Synch Matrix'!$E$3:$E$52,_xlfn.AGGREGATE(15,6,(ROW('Synch Matrix'!$P$3:$P$52)-ROW('Synch Matrix'!$P$3)+1)/('Synch Matrix'!$P$3:$P$52=1),22))="",INDEX('Synch Matrix'!$G$3:$G$52,_xlfn.AGGREGATE(15,6,(ROW('Synch Matrix'!$P$3:$P$52)-ROW('Synch Matrix'!$P$3)+1)/('Synch Matrix'!$P$3:$P$52=1),22))&lt;&gt;""),INDEX('Synch Matrix'!$G$3:$G$52,_xlfn.AGGREGATE(15,6,(ROW('Synch Matrix'!$P$3:$P$52)-ROW('Synch Matrix'!$P$3)+1)/('Synch Matrix'!$P$3:$P$52=1),22)),""),"")</f>
        <v/>
      </c>
    </row>
    <row r="24" spans="1:7" ht="23" customHeight="1">
      <c r="A24" s="60"/>
      <c r="B24" s="61"/>
      <c r="C24" s="60" t="str">
        <f t="array" ref="C24">IFERROR(IF(INDEX('Synch Matrix'!$A$3:$A$52,_xlfn.AGGREGATE(15,6,(ROW('Synch Matrix'!$P$3:$P$52)-ROW('Synch Matrix'!$P$3)+1)/('Synch Matrix'!$P$3:$P$52=1),23))&lt;&gt;"",INDEX('Synch Matrix'!$C$3:$C$52,_xlfn.AGGREGATE(15,6,(ROW('Synch Matrix'!$P$3:$P$52)-ROW('Synch Matrix'!$P$3)+1)/('Synch Matrix'!$P$3:$P$52=1),23)),""),"")</f>
        <v/>
      </c>
      <c r="D24" s="61"/>
      <c r="E24" s="60" t="str">
        <f t="array" ref="E24">IFERROR(IF(AND(INDEX('Synch Matrix'!$A$3:$A$52,_xlfn.AGGREGATE(15,6,(ROW('Synch Matrix'!$P$3:$P$52)-ROW('Synch Matrix'!$P$3)+1)/('Synch Matrix'!$P$3:$P$52=1),23))="",INDEX('Synch Matrix'!$E$3:$E$52,_xlfn.AGGREGATE(15,6,(ROW('Synch Matrix'!$P$3:$P$52)-ROW('Synch Matrix'!$P$3)+1)/('Synch Matrix'!$P$3:$P$52=1),23))&lt;&gt;""),INDEX('Synch Matrix'!$E$3:$E$52,_xlfn.AGGREGATE(15,6,(ROW('Synch Matrix'!$P$3:$P$52)-ROW('Synch Matrix'!$P$3)+1)/('Synch Matrix'!$P$3:$P$52=1),23)),""),"")</f>
        <v>4.1  Terror and external actor networks INTERDICTED</v>
      </c>
      <c r="F24" s="61"/>
      <c r="G24" s="60" t="str">
        <f t="array" ref="G24">IFERROR(IF(AND(INDEX('Synch Matrix'!$A$3:$A$52,_xlfn.AGGREGATE(15,6,(ROW('Synch Matrix'!$P$3:$P$52)-ROW('Synch Matrix'!$P$3)+1)/('Synch Matrix'!$P$3:$P$52=1),23))="",INDEX('Synch Matrix'!$E$3:$E$52,_xlfn.AGGREGATE(15,6,(ROW('Synch Matrix'!$P$3:$P$52)-ROW('Synch Matrix'!$P$3)+1)/('Synch Matrix'!$P$3:$P$52=1),23))="",INDEX('Synch Matrix'!$G$3:$G$52,_xlfn.AGGREGATE(15,6,(ROW('Synch Matrix'!$P$3:$P$52)-ROW('Synch Matrix'!$P$3)+1)/('Synch Matrix'!$P$3:$P$52=1),23))&lt;&gt;""),INDEX('Synch Matrix'!$G$3:$G$52,_xlfn.AGGREGATE(15,6,(ROW('Synch Matrix'!$P$3:$P$52)-ROW('Synch Matrix'!$P$3)+1)/('Synch Matrix'!$P$3:$P$52=1),23)),""),"")</f>
        <v/>
      </c>
    </row>
    <row r="25" spans="1:7">
      <c r="A25" s="65"/>
      <c r="B25" s="66"/>
      <c r="C25" s="65" t="str">
        <f t="array" ref="C25">IFERROR(IF(INDEX('Synch Matrix'!$A$3:$A$52,_xlfn.AGGREGATE(15,6,(ROW('Synch Matrix'!$P$3:$P$52)-ROW('Synch Matrix'!$P$3)+1)/('Synch Matrix'!$P$3:$P$52=1),24))&lt;&gt;"",INDEX('Synch Matrix'!$C$3:$C$52,_xlfn.AGGREGATE(15,6,(ROW('Synch Matrix'!$P$3:$P$52)-ROW('Synch Matrix'!$P$3)+1)/('Synch Matrix'!$P$3:$P$52=1),24)),""),"")</f>
        <v/>
      </c>
      <c r="D25" s="66"/>
      <c r="E25" s="65" t="str">
        <f t="array" ref="E25">IFERROR(IF(AND(INDEX('Synch Matrix'!$A$3:$A$52,_xlfn.AGGREGATE(15,6,(ROW('Synch Matrix'!$P$3:$P$52)-ROW('Synch Matrix'!$P$3)+1)/('Synch Matrix'!$P$3:$P$52=1),24))="",INDEX('Synch Matrix'!$E$3:$E$52,_xlfn.AGGREGATE(15,6,(ROW('Synch Matrix'!$P$3:$P$52)-ROW('Synch Matrix'!$P$3)+1)/('Synch Matrix'!$P$3:$P$52=1),24))&lt;&gt;""),INDEX('Synch Matrix'!$E$3:$E$52,_xlfn.AGGREGATE(15,6,(ROW('Synch Matrix'!$P$3:$P$52)-ROW('Synch Matrix'!$P$3)+1)/('Synch Matrix'!$P$3:$P$52=1),24)),""),"")</f>
        <v/>
      </c>
      <c r="F25" s="66"/>
      <c r="G25" s="65" t="str">
        <f t="array" ref="G25">IFERROR(IF(AND(INDEX('Synch Matrix'!$A$3:$A$52,_xlfn.AGGREGATE(15,6,(ROW('Synch Matrix'!$P$3:$P$52)-ROW('Synch Matrix'!$P$3)+1)/('Synch Matrix'!$P$3:$P$52=1),24))="",INDEX('Synch Matrix'!$E$3:$E$52,_xlfn.AGGREGATE(15,6,(ROW('Synch Matrix'!$P$3:$P$52)-ROW('Synch Matrix'!$P$3)+1)/('Synch Matrix'!$P$3:$P$52=1),24))="",INDEX('Synch Matrix'!$G$3:$G$52,_xlfn.AGGREGATE(15,6,(ROW('Synch Matrix'!$P$3:$P$52)-ROW('Synch Matrix'!$P$3)+1)/('Synch Matrix'!$P$3:$P$52=1),24))&lt;&gt;""),INDEX('Synch Matrix'!$G$3:$G$52,_xlfn.AGGREGATE(15,6,(ROW('Synch Matrix'!$P$3:$P$52)-ROW('Synch Matrix'!$P$3)+1)/('Synch Matrix'!$P$3:$P$52=1),24)),""),"")</f>
        <v>4.1.1  ISIL/JI operating capacity DISRUPTED</v>
      </c>
    </row>
    <row r="26" spans="1:7">
      <c r="A26" s="54"/>
      <c r="B26" s="55"/>
      <c r="C26" s="54" t="str">
        <f t="array" ref="C26">IFERROR(IF(INDEX('Synch Matrix'!$A$3:$A$52,_xlfn.AGGREGATE(15,6,(ROW('Synch Matrix'!$P$3:$P$52)-ROW('Synch Matrix'!$P$3)+1)/('Synch Matrix'!$P$3:$P$52=1),25))&lt;&gt;"",INDEX('Synch Matrix'!$C$3:$C$52,_xlfn.AGGREGATE(15,6,(ROW('Synch Matrix'!$P$3:$P$52)-ROW('Synch Matrix'!$P$3)+1)/('Synch Matrix'!$P$3:$P$52=1),25)),""),"")</f>
        <v/>
      </c>
      <c r="D26" s="55"/>
      <c r="E26" s="54" t="str">
        <f t="array" ref="E26">IFERROR(IF(AND(INDEX('Synch Matrix'!$A$3:$A$52,_xlfn.AGGREGATE(15,6,(ROW('Synch Matrix'!$P$3:$P$52)-ROW('Synch Matrix'!$P$3)+1)/('Synch Matrix'!$P$3:$P$52=1),25))="",INDEX('Synch Matrix'!$E$3:$E$52,_xlfn.AGGREGATE(15,6,(ROW('Synch Matrix'!$P$3:$P$52)-ROW('Synch Matrix'!$P$3)+1)/('Synch Matrix'!$P$3:$P$52=1),25))&lt;&gt;""),INDEX('Synch Matrix'!$E$3:$E$52,_xlfn.AGGREGATE(15,6,(ROW('Synch Matrix'!$P$3:$P$52)-ROW('Synch Matrix'!$P$3)+1)/('Synch Matrix'!$P$3:$P$52=1),25)),""),"")</f>
        <v/>
      </c>
      <c r="F26" s="55"/>
      <c r="G26" s="54" t="str">
        <f t="array" ref="G26">IFERROR(IF(AND(INDEX('Synch Matrix'!$A$3:$A$52,_xlfn.AGGREGATE(15,6,(ROW('Synch Matrix'!$P$3:$P$52)-ROW('Synch Matrix'!$P$3)+1)/('Synch Matrix'!$P$3:$P$52=1),25))="",INDEX('Synch Matrix'!$E$3:$E$52,_xlfn.AGGREGATE(15,6,(ROW('Synch Matrix'!$P$3:$P$52)-ROW('Synch Matrix'!$P$3)+1)/('Synch Matrix'!$P$3:$P$52=1),25))="",INDEX('Synch Matrix'!$G$3:$G$52,_xlfn.AGGREGATE(15,6,(ROW('Synch Matrix'!$P$3:$P$52)-ROW('Synch Matrix'!$P$3)+1)/('Synch Matrix'!$P$3:$P$52=1),25))&lt;&gt;""),INDEX('Synch Matrix'!$G$3:$G$52,_xlfn.AGGREGATE(15,6,(ROW('Synch Matrix'!$P$3:$P$52)-ROW('Synch Matrix'!$P$3)+1)/('Synch Matrix'!$P$3:$P$52=1),25)),""),"")</f>
        <v>4.1.2  External actor networks DISRUPTED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ASCOPE_PMESII</vt:lpstr>
      <vt:lpstr>ASCOPE_PMESII Labels</vt:lpstr>
      <vt:lpstr>Factor Analysis</vt:lpstr>
      <vt:lpstr>Master Factors</vt:lpstr>
      <vt:lpstr>Synch Matrix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ab03</dc:creator>
  <cp:lastModifiedBy>ADAM BEATTY</cp:lastModifiedBy>
  <dcterms:created xsi:type="dcterms:W3CDTF">2026-05-18T11:45:09Z</dcterms:created>
  <dcterms:modified xsi:type="dcterms:W3CDTF">2026-05-18T19:12:39Z</dcterms:modified>
</cp:coreProperties>
</file>