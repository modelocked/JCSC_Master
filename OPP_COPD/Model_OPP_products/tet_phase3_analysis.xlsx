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ocuments\JCSC\10. OPP\cjex\Products\CJEX_final_products\"/>
    </mc:Choice>
  </mc:AlternateContent>
  <xr:revisionPtr revIDLastSave="0" documentId="13_ncr:1_{38321396-7E47-40A5-9376-E5FFE3C831B8}" xr6:coauthVersionLast="47" xr6:coauthVersionMax="47" xr10:uidLastSave="{00000000-0000-0000-0000-000000000000}"/>
  <bookViews>
    <workbookView xWindow="-110" yWindow="-110" windowWidth="19420" windowHeight="10300" firstSheet="1" activeTab="2" xr2:uid="{73A248E5-6896-46BA-8DAD-7D243F54DAD5}"/>
  </bookViews>
  <sheets>
    <sheet name="PMESII_ASCOPE" sheetId="7" r:id="rId1"/>
    <sheet name="Factor Analysis" sheetId="5" r:id="rId2"/>
    <sheet name="NORTH pre MTT" sheetId="2" r:id="rId3"/>
    <sheet name="NORTH Post MTT" sheetId="1" r:id="rId4"/>
    <sheet name="PAVN Risk" sheetId="4" r:id="rId5"/>
    <sheet name="Pre Mortem" sheetId="6" r:id="rId6"/>
    <sheet name="MACVARVN DC_OE_OA "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5" i="3" l="1"/>
  <c r="G85" i="2"/>
  <c r="G85" i="1"/>
</calcChain>
</file>

<file path=xl/sharedStrings.xml><?xml version="1.0" encoding="utf-8"?>
<sst xmlns="http://schemas.openxmlformats.org/spreadsheetml/2006/main" count="1363" uniqueCount="819">
  <si>
    <t>Generate persistent psychological shock by striking symbolic targets and sustaining pressure beyond initial attacks to reinforce perceptions of stalemate and futility</t>
  </si>
  <si>
    <t xml:space="preserve">Create military conditions for negotiating from strength while expanding Communist control </t>
  </si>
  <si>
    <t>1.1.1</t>
  </si>
  <si>
    <t>1.1.2</t>
  </si>
  <si>
    <t>1.2.1</t>
  </si>
  <si>
    <t>1.2.2</t>
  </si>
  <si>
    <t>1.3.1</t>
  </si>
  <si>
    <t>1.3.2</t>
  </si>
  <si>
    <t>2.1.1</t>
  </si>
  <si>
    <t>2.1.2</t>
  </si>
  <si>
    <t>2.2.1</t>
  </si>
  <si>
    <t>2.2.2</t>
  </si>
  <si>
    <t>2.3.1</t>
  </si>
  <si>
    <t>2.3.2</t>
  </si>
  <si>
    <t>3.1.1</t>
  </si>
  <si>
    <t>3.1.2</t>
  </si>
  <si>
    <t>3.2.1</t>
  </si>
  <si>
    <t>3.2.2</t>
  </si>
  <si>
    <t>3.3.1</t>
  </si>
  <si>
    <t>3.3.2</t>
  </si>
  <si>
    <t>4.1.1</t>
  </si>
  <si>
    <t>4.1.2</t>
  </si>
  <si>
    <t>4.2.1</t>
  </si>
  <si>
    <t>4.2.2</t>
  </si>
  <si>
    <t>4.3.1</t>
  </si>
  <si>
    <t>4.3.2</t>
  </si>
  <si>
    <t>5.1.1</t>
  </si>
  <si>
    <t>5.1.2</t>
  </si>
  <si>
    <t>5.3.1</t>
  </si>
  <si>
    <t>5.3.2</t>
  </si>
  <si>
    <t>5.2.1</t>
  </si>
  <si>
    <t>5.2.2</t>
  </si>
  <si>
    <t>ARVN strategic reserve is committed to peripheral defence prior to H-hour</t>
  </si>
  <si>
    <t>Main effort remains concealed until execution</t>
  </si>
  <si>
    <t>Operational Objective (OO)</t>
  </si>
  <si>
    <t>Decisive Condition (DC)</t>
  </si>
  <si>
    <t>Enemy command and control systems are DISRUPTED</t>
  </si>
  <si>
    <t>SEIZE and HOLD key urban centres and provincial capitals to force ARVN into costly, fragmented defensive battles (Kniepp, 1996)</t>
  </si>
  <si>
    <t>PAVN forces have CONCENTRATED undetected prior to attack</t>
  </si>
  <si>
    <t>SEIZE and temporarily HOLD key urban and symbolic centres in SAIGON to demonstrate regime vulnerability and create a permissive environment for mass mobilisation</t>
  </si>
  <si>
    <t>Sufficient combat power has been CONCENTRATED</t>
  </si>
  <si>
    <t>Enemy C2 is DIRUPTED</t>
  </si>
  <si>
    <t>PREVENT US forces from disengaging in peripheral battles, DIVERTING combat power to ISOLATE ARVN urban and internal security forces  (Ford, 1995)</t>
  </si>
  <si>
    <t>DEVELOP VC and political networks to DESTABILISE SAIGON</t>
  </si>
  <si>
    <t>Conduct simultaneous, nationwide ATTACKS against urban centres, headquarters and high-visibility targets to demonstrate systemic insecurity</t>
  </si>
  <si>
    <t>Operational secrecy RETAINED while sufficient combat power is assembled for ATTACK</t>
  </si>
  <si>
    <t>DESTROY US combat power</t>
  </si>
  <si>
    <t>DECEIVE US forces as to the PAVN objectives to DIVERT U.S. combat power (Ford, 1995; Guan, 2001)</t>
  </si>
  <si>
    <t>ATTACK KHE SANH with significant combat power</t>
  </si>
  <si>
    <t>DIRECT US combat power to the border regions</t>
  </si>
  <si>
    <t>COMPEL US/ARVN forces to large battles away from the PAVN main objectives</t>
  </si>
  <si>
    <t>INFLUENCE enemy intelligence to conceal the main effort while preparing urban battlespaces for simultaneous attack (Ford, 1995; Ringler, 2016)​</t>
  </si>
  <si>
    <t>SUSTAIN offensive pressure after initial attacks to expand and CONSOLIDATE “liberated areas” to erode government control (Kneipp, 1996; Guan, 1998)</t>
  </si>
  <si>
    <t>REINFORCE southern units to maintain operational momentum during the “fighting while negotiating” phase (Kneipp, 1996; Nguyen, 2008)</t>
  </si>
  <si>
    <t xml:space="preserve">Initial gains are CONSOLIDATED to faciliate committal of follow-on forces </t>
  </si>
  <si>
    <t>INFLUENCE local political leaders of the inevitability of defeat (Guan, 1998; Ringler, 2016)</t>
  </si>
  <si>
    <t>INTERDICT ARVN C3's ability to coordinate a coherent defence (Kniepp, 1996)</t>
  </si>
  <si>
    <t>ARVN air mobility is INTERIDCTED</t>
  </si>
  <si>
    <t>Operational secrecy PROTECTED until H-Hr</t>
  </si>
  <si>
    <t>Enemy counterattack DELAYED beyond the duration required to hold for symbolic effect</t>
  </si>
  <si>
    <t>Units in contact SUPPORTED with sufficient logistics</t>
  </si>
  <si>
    <t>Civil administration GUARDED by ARVN to indicate their vulnerability</t>
  </si>
  <si>
    <t>INFLICT attrition and SUSTAIN operational tempo across multiple regions to increase the cost of continued U.S. involvement</t>
  </si>
  <si>
    <t>ATTACKS have been executed simultaneously with sufficient geographic breadth</t>
  </si>
  <si>
    <t>US border forces ATTACKED</t>
  </si>
  <si>
    <t>Substantial US combat power committed to the defence of KHE SANH</t>
  </si>
  <si>
    <t>Liberated areas administratively STABILISED</t>
  </si>
  <si>
    <t>US border forces FIXED for one week</t>
  </si>
  <si>
    <t>US media CONVINCED of increased US losses and that the war is lost</t>
  </si>
  <si>
    <t>US border forces REINFORCED with reserves</t>
  </si>
  <si>
    <t>U.S. combat power is DELAYED from concentrating towards PAVN COG for one week</t>
  </si>
  <si>
    <t>U.S. forces arre FIXED away from cities for two weeks</t>
  </si>
  <si>
    <t>HUE CITY ATTACKED with sufficient combat power</t>
  </si>
  <si>
    <t>Sufficient combat power DEVELOPED undetected prior to H-Hr</t>
  </si>
  <si>
    <t>5.3.1.1</t>
  </si>
  <si>
    <t>5.3.1.1.1</t>
  </si>
  <si>
    <t>ATTACK centres of civil administration</t>
  </si>
  <si>
    <t>5.3.2.1</t>
  </si>
  <si>
    <t>Sufficient PAVN/VC presence in contested areas MAINTAINED</t>
  </si>
  <si>
    <t>Local leaders INFLUENCED that they face credible consequences of continued GVN support</t>
  </si>
  <si>
    <t>5.3.2.1.1</t>
  </si>
  <si>
    <t>HUE CITY and other key urban areas outside of SAIGON are SEIZED</t>
  </si>
  <si>
    <t>ARVN forces have not CONCENTRATED against PAVN main effort</t>
  </si>
  <si>
    <t>DISRUPT enemy employment of reserves</t>
  </si>
  <si>
    <t>3.1.1.1</t>
  </si>
  <si>
    <t>3.1.1.1.1</t>
  </si>
  <si>
    <t>1.1.1.1</t>
  </si>
  <si>
    <t>1.1.1.1.1</t>
  </si>
  <si>
    <t>1.1.2.1</t>
  </si>
  <si>
    <t>1.2.1.1.1</t>
  </si>
  <si>
    <t>3.2.1.1</t>
  </si>
  <si>
    <t>3.2.1.1.1</t>
  </si>
  <si>
    <t>US/ARVN casualties exceed replacement rate for 2 months</t>
  </si>
  <si>
    <t>3.3.1.1</t>
  </si>
  <si>
    <t>Overwhelming combat power concentrated at H-Hr</t>
  </si>
  <si>
    <t>Enemy OCCUPATION of key symbolic targets DELAYED for one month</t>
  </si>
  <si>
    <t>3.3.2.1</t>
  </si>
  <si>
    <t>3.3.2.1.1</t>
  </si>
  <si>
    <t>ATTACK symbolic centres</t>
  </si>
  <si>
    <t>Key symbolic areas remain visibly contested for one month</t>
  </si>
  <si>
    <t>MANIPULATE key civil officials with PsyOps</t>
  </si>
  <si>
    <t>Civil administration COMPELLED to change their behaviour</t>
  </si>
  <si>
    <t>5.2.2.1</t>
  </si>
  <si>
    <t>5.2.2.1.1</t>
  </si>
  <si>
    <t>CONVINCE local population that PAVN shall prevail</t>
  </si>
  <si>
    <t>5.2.1.1</t>
  </si>
  <si>
    <t>5.2.1.1.1</t>
  </si>
  <si>
    <t>SECURE GLOCs</t>
  </si>
  <si>
    <t>SUSTAIN reinforcement rates which exceed projected attrition across active fronts</t>
  </si>
  <si>
    <t>DEVELOP logistics and GLOCs</t>
  </si>
  <si>
    <t>(1 Select) Operational Effect (OE)</t>
  </si>
  <si>
    <t>(1 Select) Operational Action (OA)</t>
  </si>
  <si>
    <t>3.1.2.1</t>
  </si>
  <si>
    <t>3.1.2.1.1</t>
  </si>
  <si>
    <t>DEVELOP combat power</t>
  </si>
  <si>
    <t>BUILD-UP without being detected</t>
  </si>
  <si>
    <t>3.2.2.1</t>
  </si>
  <si>
    <t>3.2.2.1.1</t>
  </si>
  <si>
    <t>Enemy reserves DISRUPTED</t>
  </si>
  <si>
    <t>DEVELOP a high tempo of operations</t>
  </si>
  <si>
    <t>REPLOY forces along successful breaches</t>
  </si>
  <si>
    <t>4.1.1.1</t>
  </si>
  <si>
    <t>4.1.1.1.1</t>
  </si>
  <si>
    <t>Enemy withdrawal BLOCKED</t>
  </si>
  <si>
    <t>4.1.2.1</t>
  </si>
  <si>
    <t>4.2.1.1.1</t>
  </si>
  <si>
    <t>CONVINCE US forces that the border attack is PAVN's main effort</t>
  </si>
  <si>
    <t>4.2.1.1</t>
  </si>
  <si>
    <t>COMPEL US forces to remain decisively engaged</t>
  </si>
  <si>
    <t>FEINT or DEMONSTRATE forces IVO border</t>
  </si>
  <si>
    <t>PENETRATE towards key GLOCs</t>
  </si>
  <si>
    <t>4.2.2.1</t>
  </si>
  <si>
    <t>4.2.2.1.1</t>
  </si>
  <si>
    <t>CONVINCE US forces that KHE SANH is a key PAVN objective</t>
  </si>
  <si>
    <t>4.3.1.1</t>
  </si>
  <si>
    <t>4.3.1.1.1</t>
  </si>
  <si>
    <t>MASK PAVN BUILD-UP</t>
  </si>
  <si>
    <t>DECEIVE the enemy into thinking that PAVN is not planning a major offensive</t>
  </si>
  <si>
    <t>4.3.2.1.1</t>
  </si>
  <si>
    <t>4.3.2.1</t>
  </si>
  <si>
    <t>DIVERT ARVN attention to a pre D-Day ATTACK</t>
  </si>
  <si>
    <t>FEINT a major ATTACK in a weak peripheral area</t>
  </si>
  <si>
    <t>5.1.1.1</t>
  </si>
  <si>
    <t>SUSTAIN units in contact</t>
  </si>
  <si>
    <t>Conduct RESUPPLY</t>
  </si>
  <si>
    <t xml:space="preserve">ESTABLISH logistics and REORGANISE administration </t>
  </si>
  <si>
    <t>REPLENISH combat power</t>
  </si>
  <si>
    <t>5.1.2.1</t>
  </si>
  <si>
    <t>5.1.2.1.1</t>
  </si>
  <si>
    <t>REORGANISE civil administration</t>
  </si>
  <si>
    <t>CONTROL liberated areas</t>
  </si>
  <si>
    <t>2.2.2.1</t>
  </si>
  <si>
    <t>2.2.2.1.1.</t>
  </si>
  <si>
    <t>MANIPULATE civil population into believing SAIGON shall fall</t>
  </si>
  <si>
    <t>2.2.1.1</t>
  </si>
  <si>
    <t>2.2.1.1.1</t>
  </si>
  <si>
    <t>DESTABILISE communications</t>
  </si>
  <si>
    <t>TARGET radio networks</t>
  </si>
  <si>
    <t>2.3.1.1</t>
  </si>
  <si>
    <t>2.3.1.1.1</t>
  </si>
  <si>
    <t>PREVENT US/ARVN from learning about plans for an offensive</t>
  </si>
  <si>
    <t>COMPEL VC to utmost secrecy</t>
  </si>
  <si>
    <t>2.3.2.1</t>
  </si>
  <si>
    <t>2.3.2.1.1</t>
  </si>
  <si>
    <t>DESTABILISE GVN control of SAIGON</t>
  </si>
  <si>
    <t>PENETRATE towards Government Buildings</t>
  </si>
  <si>
    <t>1.2.1.1</t>
  </si>
  <si>
    <t>1.1.2.1.1</t>
  </si>
  <si>
    <t>Key HQs are DESTROYED</t>
  </si>
  <si>
    <t>TARGET divisional HQs</t>
  </si>
  <si>
    <t>1.2.2.1</t>
  </si>
  <si>
    <t>1.2.2.1.1.</t>
  </si>
  <si>
    <t>DESTROY key aviation hubs</t>
  </si>
  <si>
    <t>COORDINATE air defence and indirect fires</t>
  </si>
  <si>
    <t>1.3.1.1</t>
  </si>
  <si>
    <t>1.3.1.1.1</t>
  </si>
  <si>
    <t>1.3.2.1</t>
  </si>
  <si>
    <t>1.3.2.1.1</t>
  </si>
  <si>
    <t>INFILTRATE sufficient combat power undetected</t>
  </si>
  <si>
    <t>DENY enemy WITHDRAWAL routes</t>
  </si>
  <si>
    <t>ENCIRCLE enemy forces at key peripheral locations</t>
  </si>
  <si>
    <t>2.1.1.1</t>
  </si>
  <si>
    <t>2.1.2.1</t>
  </si>
  <si>
    <t>2.1.2.1.1</t>
  </si>
  <si>
    <t>ATTACK SAIGON with overwhelming combat power</t>
  </si>
  <si>
    <t>EXPLOIT successes arising from surprise to SECURE terrain</t>
  </si>
  <si>
    <t>PRE-POSITION FORCES for the ATTACK</t>
  </si>
  <si>
    <t>ARVN urban and internal security forces are ISOLATED from reinforcement within one week</t>
  </si>
  <si>
    <t>US/ARVN units COMPETED for resources due to simultaneous pressures across the theatre</t>
  </si>
  <si>
    <t>Initial enemy defences DESTROYED within 2 days</t>
  </si>
  <si>
    <t>INFILTRATE forces undetected</t>
  </si>
  <si>
    <t>Civil DEMONSTRATION(s) observed</t>
  </si>
  <si>
    <t>CHANNEL broadcasts to instil public mistrust of GVN in SAIGON</t>
  </si>
  <si>
    <t>LOCs are BLOCKED by DEMONSTRATING civilians</t>
  </si>
  <si>
    <t xml:space="preserve">Enable the conditions for instability and GVN instability/collapse through coordinated assaults in SAIGON </t>
  </si>
  <si>
    <t>DISRUPT local ARVN C3 and reinforcement routes in SAIGON to prevent suppression of political unrest</t>
  </si>
  <si>
    <t xml:space="preserve">INFILTRATE and BUILD-UP undetected </t>
  </si>
  <si>
    <t xml:space="preserve">Destroy or fatally weaken the ARVN to hasten regime collapse                  </t>
  </si>
  <si>
    <t>Enable the conditions to make it politically unacceptable for the U.S. to continue</t>
  </si>
  <si>
    <t>Military Strategic Objective (MSO)</t>
  </si>
  <si>
    <t>OE</t>
  </si>
  <si>
    <t>DISRUPT enemy C2</t>
  </si>
  <si>
    <t>DEVELOP combat power undetected</t>
  </si>
  <si>
    <t>FIX enemy from the main effort</t>
  </si>
  <si>
    <t>ISOLATE urban battles from reinforcements</t>
  </si>
  <si>
    <t>DECEIVE the enemy and attain surprise</t>
  </si>
  <si>
    <t>INFLUENCE civpop in SAIGON</t>
  </si>
  <si>
    <t>SUPPORT the offensive with logistics</t>
  </si>
  <si>
    <t>STABILISE liberated zones</t>
  </si>
  <si>
    <t>1 &amp; 5</t>
  </si>
  <si>
    <t>8 &amp;6</t>
  </si>
  <si>
    <t>8 &amp; 6</t>
  </si>
  <si>
    <t>3 &amp; 5</t>
  </si>
  <si>
    <t>FIX the enemy away from the main effort and DECEIVE the enemy to attain surprise</t>
  </si>
  <si>
    <t>DEVELOP combat power undetected and DECEIVE the enemy to attain surprise</t>
  </si>
  <si>
    <t>SUPPORT the offensive with logistic</t>
  </si>
  <si>
    <t>INFLUENCE civpop in SAIGON &amp; STABILISE liberated zones</t>
  </si>
  <si>
    <t>NFLUENCE civpop in SAIGON</t>
  </si>
  <si>
    <t>Preserve the RVN from military collapse</t>
  </si>
  <si>
    <t>Maintain security and control of key population centres</t>
  </si>
  <si>
    <t>Deny PAVN ability to generate coordinated operational shock</t>
  </si>
  <si>
    <t>Develop ARVN and territorial forces into a resilient system</t>
  </si>
  <si>
    <t>Sustain U.S./GVN political confidence in the war effort</t>
  </si>
  <si>
    <t>DEFEND key urban centres</t>
  </si>
  <si>
    <t>MAINTAIN CONTROL of GVN command structures</t>
  </si>
  <si>
    <t>DEFEAT PAVN/VC before local superiority</t>
  </si>
  <si>
    <t>SECURE Saigon and provincial capitals</t>
  </si>
  <si>
    <t>DENY enemy freedom of action in urban areas</t>
  </si>
  <si>
    <t>PROTECT the population</t>
  </si>
  <si>
    <t>DISRUPT infiltration networks</t>
  </si>
  <si>
    <t>FIND and UNDERSTAND enemy build-up</t>
  </si>
  <si>
    <t>DISLOCATE enemy synchronisation</t>
  </si>
  <si>
    <t>DEVELOP ARVN capacity</t>
  </si>
  <si>
    <t>EMPOWER territorial forces</t>
  </si>
  <si>
    <t>SUPPORT ARVN/local forces</t>
  </si>
  <si>
    <t>MAINTAIN CONTROL of key centres</t>
  </si>
  <si>
    <t>PREVENT decisive psychological effect</t>
  </si>
  <si>
    <t>REASSURE population and leadership</t>
  </si>
  <si>
    <t>Urban areas are CONTROLLED by U.S./ARVN forces</t>
  </si>
  <si>
    <t>Enemy forces are DEFEATED within key urban centres</t>
  </si>
  <si>
    <t>GVN command systems are PROTECTED</t>
  </si>
  <si>
    <t>Enemy disruption of command systems is DENIED</t>
  </si>
  <si>
    <t>Enemy main forces are DISRUPTED prior to concentration</t>
  </si>
  <si>
    <t>Enemy combat power is DEFEATED before decisive engagement</t>
  </si>
  <si>
    <t>Urban areas are SECURED against infiltration</t>
  </si>
  <si>
    <t>Enemy access to urban objectives is DENIED</t>
  </si>
  <si>
    <t>Enemy movement is CONTAINED</t>
  </si>
  <si>
    <t>Enemy activity is DISRUPTED within urban areas</t>
  </si>
  <si>
    <t>Population centres are PROTECTED</t>
  </si>
  <si>
    <t>Enemy influence over population is DIMINISHED</t>
  </si>
  <si>
    <t>Enemy infiltration systems are DISRUPTED</t>
  </si>
  <si>
    <t>Enemy access to staging areas is DENIED</t>
  </si>
  <si>
    <t>Enemy forces are FOUND</t>
  </si>
  <si>
    <t>Enemy intent is UNDERSTOOD</t>
  </si>
  <si>
    <t>Enemy command and control is DISLOCATED</t>
  </si>
  <si>
    <t>Enemy coordination is DISRUPTED</t>
  </si>
  <si>
    <t>ARVN capability is DEVELOPED</t>
  </si>
  <si>
    <t>ARVN effectiveness is MAINTAINED under pressure</t>
  </si>
  <si>
    <t>Territorial forces are EMPOWERED</t>
  </si>
  <si>
    <t>Local defensive positions are HELD</t>
  </si>
  <si>
    <t>ARVN forces are SUPPORTED to sustain operations</t>
  </si>
  <si>
    <t>Local forces are SUPPORTED during enemy attack</t>
  </si>
  <si>
    <t>Political centres are CONTROLLED by GVN forces</t>
  </si>
  <si>
    <t>Enemy seizure of symbolic locations is PREVENTED</t>
  </si>
  <si>
    <t>Enemy psychological impact is DIMINISHED</t>
  </si>
  <si>
    <t>Enemy influence is DISRUPTED</t>
  </si>
  <si>
    <t>Population confidence is REASSURED</t>
  </si>
  <si>
    <t>GVN authority is SUPPORTED</t>
  </si>
  <si>
    <t>Civil DEMONSTRATION(s) occurs</t>
  </si>
  <si>
    <t>2.3.3</t>
  </si>
  <si>
    <t>2.3.4</t>
  </si>
  <si>
    <t>GVN DESTABILISED in SAIGON-GIA DINH</t>
  </si>
  <si>
    <t>SAIGON-GIA DINH Civpop CONVINCED to rise up against GVN</t>
  </si>
  <si>
    <t>CCIR</t>
  </si>
  <si>
    <t>DP</t>
  </si>
  <si>
    <t>Is MACV/ARVN altering its course of action to prioritise the defence of major urban centres, particularly Saigon, thereby reducing the viability of the planned execution timeline?</t>
  </si>
  <si>
    <t>Are civil DEMONSTRATIONS and broader uprising effects materialising in SAIGON–GIA DINH at the required scale and tempo to enable immediate progression to the planned operational objectives?</t>
  </si>
  <si>
    <t>Launch offensive prematurely before enemy forces are reorganised</t>
  </si>
  <si>
    <t>Transition to exploitation of emerging civil unrest in SAIGON–GIA DINH</t>
  </si>
  <si>
    <t>Continue commitment to the uprising exploitation pathway</t>
  </si>
  <si>
    <t>Transition to exploitation of regime destabilisation in SAIGON-GIA DINH</t>
  </si>
  <si>
    <t>Is the civilian population in Saigon–Gia Dinh mobilising in a coordinated and sustained manner against GVN authority?</t>
  </si>
  <si>
    <t>Are GVN security forces losing effective control of key urban areas in SAIGON-GIA DINH</t>
  </si>
  <si>
    <t>Has GVN authority in SAIGON-DIA DINH become sufficiently degraded to prevent coherent command, control, and response?</t>
  </si>
  <si>
    <t>Are key political, administrative, and symbolic centres in SAIGON-GIA DINH under effective PAVN/VC influence or control?</t>
  </si>
  <si>
    <t>Operational Effect (OE)</t>
  </si>
  <si>
    <t>Measure of Effectiveness (MOE)</t>
  </si>
  <si>
    <t>Enemy MISALLOCATES combat power away from Saigon–Gia Dinh</t>
  </si>
  <si>
    <t>Enemy REINFORCES peripheral areas at the expense of urban defence</t>
  </si>
  <si>
    <t xml:space="preserve">Enemy RESUPPLIES peripheral areas </t>
  </si>
  <si>
    <t xml:space="preserve">Enemy FAILS TO REINFORC SAIGON-GIA DINH </t>
  </si>
  <si>
    <t>Enemy commits reserves away from SAIGON-GIA DINH</t>
  </si>
  <si>
    <t>Operational Action (OA)</t>
  </si>
  <si>
    <t>Measure of Performance (MOP)</t>
  </si>
  <si>
    <t>Tonnage of supplies/weapons emplaced in concealed caches before H-Hour</t>
  </si>
  <si>
    <t>Number of battalions in attack per day</t>
  </si>
  <si>
    <t>% decrease in firefights with US/ARVN search and destroy operations in 24 hour period</t>
  </si>
  <si>
    <t>Rate of non-uniformed movement along MSRs used for concealment (vehicles/persons per day)</t>
  </si>
  <si>
    <t>Number of deception / concealment measures implemented (dummy positions, false signals, movement control measures)</t>
  </si>
  <si>
    <t>Number of probing attacks per day</t>
  </si>
  <si>
    <t>Number of friendly casualties sustained per day</t>
  </si>
  <si>
    <t>FIX enemy away from our main effort</t>
  </si>
  <si>
    <t>Enemy MAINTAINS normal readiness posture in urban areas</t>
  </si>
  <si>
    <t>Enemy UNDERESTIMATES scale of impending offensive</t>
  </si>
  <si>
    <t>Enemy FAILS TO PRE-EMPT urban infiltration and assembly</t>
  </si>
  <si>
    <t>Enemy RETAINS incorrect assessment of PAVN force disposition</t>
  </si>
  <si>
    <t>Enemy LOSES coherent operational picture across battlespace</t>
  </si>
  <si>
    <t>Enemy DELAYS decision-making and response cycles</t>
  </si>
  <si>
    <t>Enemy ISSUES fragmented or contradictory orders</t>
  </si>
  <si>
    <t>Enemy FAILS TO COORDINATE reinforcement between sectors</t>
  </si>
  <si>
    <t>Enemy COMMUNICATIONS are degraded or intermittent</t>
  </si>
  <si>
    <t>Enemy COMMITS combat power away from decisive urban objective</t>
  </si>
  <si>
    <t>Enemy RETAINS forces in peripheral battlespace longer than planned</t>
  </si>
  <si>
    <t>Number of interdiction points established along key GLOCs</t>
  </si>
  <si>
    <t>Estimated audience reach per broadcast cycle</t>
  </si>
  <si>
    <t>Number of VC elements entering key political districts</t>
  </si>
  <si>
    <t>Duration presence maintained in vicinity of government targets (hours)</t>
  </si>
  <si>
    <t>Number of officials engaged / coerced / neutralised</t>
  </si>
  <si>
    <t>Friendly forces MAINTAIN operational tempo across phases</t>
  </si>
  <si>
    <t>Friendly forces DO NOT EXPERIENCE critical supply shortages</t>
  </si>
  <si>
    <t>Casualty evacuation and resupply timelines are MAINTAINED</t>
  </si>
  <si>
    <t>Combat operations are SUSTAINED beyond initial assault phase</t>
  </si>
  <si>
    <t>Follow-on operations are ENABLED without pause</t>
  </si>
  <si>
    <t>Volume of fires delivered against U.S. combat power per day</t>
  </si>
  <si>
    <t>Number of units repositioned through breach points per day</t>
  </si>
  <si>
    <t>Time taken to reinforce success (hours)</t>
  </si>
  <si>
    <t>Percentage of engaged units reporting full combat effectiveness</t>
  </si>
  <si>
    <t>Tonnage delivered to forward units</t>
  </si>
  <si>
    <t>Friendly forces MAINTAIN control of key terrain</t>
  </si>
  <si>
    <t>GVN PRESENCE is removed or non-functional in liberated areas</t>
  </si>
  <si>
    <t>Civil administration is RE-ESTABLISHED under VC control</t>
  </si>
  <si>
    <t>Population COMPLIES with new authority structures</t>
  </si>
  <si>
    <t>ESTABLISH logistics and REORGANISE administration</t>
  </si>
  <si>
    <t>Duration symbolic centres remain contested (hours/days)</t>
  </si>
  <si>
    <t>Number of administrative nodes established</t>
  </si>
  <si>
    <t>Time taken to restore governance functions (hours/days)</t>
  </si>
  <si>
    <t>Number of logistics nodes operational in liberated zones</t>
  </si>
  <si>
    <t>Volume of supplies distributed to civilian population per day</t>
  </si>
  <si>
    <t>Number of government facilities neutralised</t>
  </si>
  <si>
    <t>Duration facilities remain non-operational (hours/days)</t>
  </si>
  <si>
    <t>Average infiltration distance remaining to assembly area</t>
  </si>
  <si>
    <t>Number of personnel infiltrated into assembly areas per day</t>
  </si>
  <si>
    <t>Enemy FAILS to DETECT force build-up prior to H-Hour</t>
  </si>
  <si>
    <t>Number of ambushes sprung behind known divisional HQs per day</t>
  </si>
  <si>
    <t>Number of attacks conducted against HQ locations per day</t>
  </si>
  <si>
    <t>Number of relay sites neutralised</t>
  </si>
  <si>
    <t>Number of lines severed</t>
  </si>
  <si>
    <t>Enemy FAILS TO REDEPLOY forces toward SAIGON-GIA DINH</t>
  </si>
  <si>
    <t>Enemy RETAINS forces in peripheral battlespace</t>
  </si>
  <si>
    <t>Number of enemy systems / positions destroyed per day</t>
  </si>
  <si>
    <t>Number of attacks conducted against symbolic centres per day</t>
  </si>
  <si>
    <t>Number of infiltration routes used successfully per day</t>
  </si>
  <si>
    <t>Number of engagements initiated along border areas per day</t>
  </si>
  <si>
    <t>Number of radio transmissions per day</t>
  </si>
  <si>
    <t>Volume of supplies delivered to engaged units per day</t>
  </si>
  <si>
    <t>Number of resupply missions completed per day</t>
  </si>
  <si>
    <t>Duration U.S. border forces remain engaged  (days)</t>
  </si>
  <si>
    <t>Duration key GLOCs remain disrupted (days)</t>
  </si>
  <si>
    <t>Number of ambushes initiated against reserve forces avenues of approach per day</t>
  </si>
  <si>
    <t>Hours since enemy was last reinforced</t>
  </si>
  <si>
    <t>Number of demonstration contacts initiated per day</t>
  </si>
  <si>
    <t>1 DEVELOP combat power undetected</t>
  </si>
  <si>
    <t>2 DISRUPT enemy C2</t>
  </si>
  <si>
    <t>1.1.3</t>
  </si>
  <si>
    <t>1.1.4</t>
  </si>
  <si>
    <t>1a</t>
  </si>
  <si>
    <t>1b</t>
  </si>
  <si>
    <t>1c</t>
  </si>
  <si>
    <t>1d</t>
  </si>
  <si>
    <t>1e</t>
  </si>
  <si>
    <t>2a</t>
  </si>
  <si>
    <t>2b</t>
  </si>
  <si>
    <t>2c</t>
  </si>
  <si>
    <t>2d</t>
  </si>
  <si>
    <t>2e</t>
  </si>
  <si>
    <t>3a</t>
  </si>
  <si>
    <t>3b</t>
  </si>
  <si>
    <t>3c</t>
  </si>
  <si>
    <t>4 ISOLATE urban battles from reinforcements</t>
  </si>
  <si>
    <t>4a</t>
  </si>
  <si>
    <t>4b</t>
  </si>
  <si>
    <t>4c</t>
  </si>
  <si>
    <t>5 DECEIVE the enemy and attain surprise</t>
  </si>
  <si>
    <t>5a</t>
  </si>
  <si>
    <t>5b</t>
  </si>
  <si>
    <t>5c</t>
  </si>
  <si>
    <t>5d</t>
  </si>
  <si>
    <t>5e</t>
  </si>
  <si>
    <t>5.4.1</t>
  </si>
  <si>
    <t>5.5.1</t>
  </si>
  <si>
    <t>5.5.2</t>
  </si>
  <si>
    <t>6 INFLUENCE civpop in SAIGON-GIA DINH</t>
  </si>
  <si>
    <t>6a</t>
  </si>
  <si>
    <t>6b</t>
  </si>
  <si>
    <t>6c</t>
  </si>
  <si>
    <t>6d</t>
  </si>
  <si>
    <t>6e</t>
  </si>
  <si>
    <t>6.1.1</t>
  </si>
  <si>
    <t>6.1.2</t>
  </si>
  <si>
    <t>6.2.1</t>
  </si>
  <si>
    <t>6.2.2</t>
  </si>
  <si>
    <t>6.3.1</t>
  </si>
  <si>
    <t>6.3.2</t>
  </si>
  <si>
    <t>7 SUPPORT the offensive with logistics</t>
  </si>
  <si>
    <t>7a</t>
  </si>
  <si>
    <t>7b</t>
  </si>
  <si>
    <t>7c</t>
  </si>
  <si>
    <t>7d</t>
  </si>
  <si>
    <t>7e</t>
  </si>
  <si>
    <t>7.1.1</t>
  </si>
  <si>
    <t>7.1.2</t>
  </si>
  <si>
    <t>7.2.1</t>
  </si>
  <si>
    <t>7.2.2</t>
  </si>
  <si>
    <t>7.3.1</t>
  </si>
  <si>
    <t>7.3.2</t>
  </si>
  <si>
    <t>7.4.1</t>
  </si>
  <si>
    <t>7.4.2</t>
  </si>
  <si>
    <t>8 STABILISE liberated zones</t>
  </si>
  <si>
    <t>8a</t>
  </si>
  <si>
    <t>8b</t>
  </si>
  <si>
    <t>8c</t>
  </si>
  <si>
    <t>8d</t>
  </si>
  <si>
    <t>8e</t>
  </si>
  <si>
    <t>8.1.1</t>
  </si>
  <si>
    <t>8.1.2</t>
  </si>
  <si>
    <t>8.2.1</t>
  </si>
  <si>
    <t>8.2.2</t>
  </si>
  <si>
    <t>8.3.1</t>
  </si>
  <si>
    <t>8.3.2</t>
  </si>
  <si>
    <t>8.4.1</t>
  </si>
  <si>
    <t>8.4.2</t>
  </si>
  <si>
    <t>Conduct sustained engagements against enemy forces in peripheral areas</t>
  </si>
  <si>
    <t>Interdict enemy movement along key LOCs toward SAIGON–GIA DINH</t>
  </si>
  <si>
    <t>Number of interdiction actions conducted along LOCs</t>
  </si>
  <si>
    <t>Number of enemy units fixed in place (unable to manoeuvre)</t>
  </si>
  <si>
    <t>Frequency of attacks/harassment actions per day</t>
  </si>
  <si>
    <t>Number of attacks against reserve forces or staging areas</t>
  </si>
  <si>
    <t>Enemy commits reinforcements to peripheral battles instead of SAIGON-GIA DINH</t>
  </si>
  <si>
    <t>Percentage of liberated zones that remain under VC control after 48 hours</t>
  </si>
  <si>
    <t>GVN security forces are not DEPLOYED to suppress civil unrest in SAIGON-GIA DINH within the first 48 hours of the offensive</t>
  </si>
  <si>
    <t>GVN administrative checkpoints and curfew enforcement CEASE to function in at least two urban districts within 24 hours of H-Hour</t>
  </si>
  <si>
    <t>Civilian population alters daily routines in ways that favour VC/PAVN movement</t>
  </si>
  <si>
    <t>VC urban elements MAINTAIN freedom of movement within target districts for more than 12 hours post-H-Hour without encirclement</t>
  </si>
  <si>
    <t>GVN is UNABLE to issue a coherent public statement or broadcast reassurance to Saigon population within six hours of first contact</t>
  </si>
  <si>
    <t>Number of broadcasts transmitted and confirmed received by forward COSVN elements per day</t>
  </si>
  <si>
    <t>Number of targeted officials CONFIRMED contacted, coerced, or removed from post within Phase 2a</t>
  </si>
  <si>
    <t>Enemy fails to REDEPLOY forces toward SAIGON-GIA DINH</t>
  </si>
  <si>
    <t>RISK ANALYSIS</t>
  </si>
  <si>
    <t>LEGEND: CV-A / CV-B = two CVs per CR   Severity: EXISTENTIAL = COG at risk | HIGH = operational failure | MEDIUM = degraded effectiveness   Phase: 1=Pre-Battle Shaping | 2a=Initial Assault | 2b=Offensive | 3=Exploitation | Br=Branch Trigger</t>
  </si>
  <si>
    <t>PRE-WARGAME RISKS</t>
  </si>
  <si>
    <t>1</t>
  </si>
  <si>
    <t>DISLOCATE U.S./ARVN defences by drawing American forces away from decisive urban battlespace</t>
  </si>
  <si>
    <t>B5 Front (Tri-Thien)
325th Division</t>
  </si>
  <si>
    <t>CV-A</t>
  </si>
  <si>
    <t>Vulnerability to U.S. air and artillery strikes once located</t>
  </si>
  <si>
    <t>Fires / Attrition</t>
  </si>
  <si>
    <t>HIGH</t>
  </si>
  <si>
    <t>OE3 / OE5</t>
  </si>
  <si>
    <t>Phase 1 shaping CR. CRs 1 and 2 are jointly necessary for CR3 to succeed — failure of either collapses the diversion logic upstream of the main effort.</t>
  </si>
  <si>
    <t>CV-B</t>
  </si>
  <si>
    <t>Dependence on extended and exposed lines of communication</t>
  </si>
  <si>
    <t>Logistics / LOC</t>
  </si>
  <si>
    <t>MEDIUM</t>
  </si>
  <si>
    <t>OE3 / OE7</t>
  </si>
  <si>
    <t>LOC exposure is chronic throughout Phase 1; degradation here reduces B5 Front's ability to sustain the fixing action at Khe Sanh / Route 9.</t>
  </si>
  <si>
    <t>2</t>
  </si>
  <si>
    <t>DIVERT U.S. forces from urban centres toward peripheral battlespaces to create vulnerability in decisive areas</t>
  </si>
  <si>
    <t>Khe Sanh – Route 9 Front
304th Division</t>
  </si>
  <si>
    <t>Vulnerability to concentrated U.S. fires in remote battlespace</t>
  </si>
  <si>
    <t>OE5</t>
  </si>
  <si>
    <t>CR2 is the Khe Sanh deception anchor. Failure here means U.S. forces remain positioned to reinforce urban centres — directly enabling the MACV/ARVN COG to reconcentrate.</t>
  </si>
  <si>
    <t>Risk of attritional defeat if fixed in place</t>
  </si>
  <si>
    <t>Manoeuvre / Fix</t>
  </si>
  <si>
    <t>OE3 / OE4</t>
  </si>
  <si>
    <t>Sequencing note: CR1 and CR2 must both succeed (Phase 1) before CR3 (Phase 2a) is viable. Cross-reference: CR2 failure → CR3-CV-B triggers.</t>
  </si>
  <si>
    <t>3</t>
  </si>
  <si>
    <t>DISRUPT U.S./ARVN command and coordinated response through simultaneous nationwide attacks</t>
  </si>
  <si>
    <t>COSVN
SAIGON-GIA DINH Military Command</t>
  </si>
  <si>
    <t>Dependence on secure communications and precise timing</t>
  </si>
  <si>
    <t>C2 / Timing</t>
  </si>
  <si>
    <t>OE2</t>
  </si>
  <si>
    <t>This CR targets the MACV/ARVN COG's critical capability (COORDINATED combined arms and command response). Simultaneity is the mechanism — partial execution forfeits the operational shock.</t>
  </si>
  <si>
    <t>Vulnerability to intelligence compromise and command disruption before H-Hour</t>
  </si>
  <si>
    <t>Intelligence / OPSEC</t>
  </si>
  <si>
    <t>OE1 / OE2</t>
  </si>
  <si>
    <t>DISTINCT from CR8: this CV is a reactive/passive risk (enemy compromise). CR8 is the active PAVN deception task. Duplication risk must be managed — do not conflate.</t>
  </si>
  <si>
    <t>4</t>
  </si>
  <si>
    <t>2a
2b</t>
  </si>
  <si>
    <t>DESTABILISE the GVN regime by undermining control in key urban centres</t>
  </si>
  <si>
    <t>Saigon–Gia Dinh Military Command
VC urban commando units (BIET DONG)</t>
  </si>
  <si>
    <t>Vulnerability to rapid encirclement and destruction once exposed</t>
  </si>
  <si>
    <t>Fires / Urban Combat</t>
  </si>
  <si>
    <t>OE4 / OE2</t>
  </si>
  <si>
    <t>Biet Dong units are the tactical execution arm of the PAVN COG. Their destruction before achieving political effect severs the conversion mechanism of the COG.</t>
  </si>
  <si>
    <t>Limited staying power against U.S./ARVN heavy firepower if immediate political effects do not materialise</t>
  </si>
  <si>
    <t>Political / Tempo</t>
  </si>
  <si>
    <t>SEVERE</t>
  </si>
  <si>
    <t>OE6 / OE8</t>
  </si>
  <si>
    <t>⚠ EXISTENTIAL COG RISK. The framework's systems analysis identifies the conversion of armed action → political destabilisation as the COG's purpose. If CV-B triggers, the entire PAVN system loses its intended effect. Highest-consequence vulnerability in the matrix. Directly linked to CR5-CV-A.</t>
  </si>
  <si>
    <t>5</t>
  </si>
  <si>
    <t>COMPEL elements of the population to participate in or support coordinated urban uprisings</t>
  </si>
  <si>
    <t>NLF administrative committees
Local VC infrastructure</t>
  </si>
  <si>
    <t>Dependence on civilian mobilisation that might not materialise at required scale and tempo</t>
  </si>
  <si>
    <t>Political / Assumption</t>
  </si>
  <si>
    <t>OE6</t>
  </si>
  <si>
    <t>⚠ The popular uprising assumption is the most analytically fragile element of TCK-TKN. This is a planning assumption, not a capability — PAVN cannot generate it through force. Failure here AUTOMATICALLY triggers CR4-CV-B. Cross-reference CR4-CV-B.</t>
  </si>
  <si>
    <t>Vulnerability to roll-up by police, intelligence, and local security forces once networks are activated</t>
  </si>
  <si>
    <t>OE1 / OE6</t>
  </si>
  <si>
    <t>Network activation is irreversible — once cells are activated, OPSEC is compromised regardless of outcome. The timing of activation vs. H-Hour is therefore a critical planning variable.</t>
  </si>
  <si>
    <t>6</t>
  </si>
  <si>
    <t>2b
3</t>
  </si>
  <si>
    <t>COERCE U.S. political leadership toward de-escalation and withdrawal by demonstrating the war's cost and futility</t>
  </si>
  <si>
    <t>PAVN main force divisions
General Staff (HANOI)</t>
  </si>
  <si>
    <t>Vulnerability of main-force units to catastrophic losses under U.S. airpower and artillery</t>
  </si>
  <si>
    <t>This CR operates on a STRATEGIC timeline (months–years), distinct from CRs 1–5 (days–weeks). Historical outcome: CV-A materialised (catastrophic PAVN/VC losses) yet CR6 still succeeded — demonstrating CV-B is the decisive variable, not CV-A.</t>
  </si>
  <si>
    <t>Dependence on translating battlefield action into political effect in the United States despite possible tactical failure</t>
  </si>
  <si>
    <t>Strategic / Political</t>
  </si>
  <si>
    <t>⚠ The most prescient vulnerability in the matrix. History confirms: tactical failure + strategic political effect = CR6 achieved. The U.S. domestic political environment (OE6) is the decisive terrain for this CR, not the Vietnamese battlespace.</t>
  </si>
  <si>
    <t>7</t>
  </si>
  <si>
    <t>EXPLOIT success to create conditions for negotiation from a position of strength while expanding Communist control</t>
  </si>
  <si>
    <t>PAVN B2 Front
NLF political apparatus</t>
  </si>
  <si>
    <t>Vulnerability to counterattack before consolidation</t>
  </si>
  <si>
    <t>Manoeuvre / Tempo</t>
  </si>
  <si>
    <t>OE8</t>
  </si>
  <si>
    <t>PHASE-CONDITIONAL: CR7 only activates if CRs 3 and 4 achieve minimum threshold effects. It is not a parallel CR — it is the Phase 3 branch. Treat as contingent on Phase 2 outcome.</t>
  </si>
  <si>
    <t>POST-WARGAME RISKS</t>
  </si>
  <si>
    <t>1
2a</t>
  </si>
  <si>
    <t>INFLUENCE enemy intelligence to conceal the main effort while preparing urban battlespaces for simultaneous attack
[ACTIVE DECEPTION — distinct from CR3-CV-B passive OPSEC risk]</t>
  </si>
  <si>
    <t>SAIGON-GIA DINH Military Command
Local VC infrastructure</t>
  </si>
  <si>
    <t>Vulnerability to premature exposure of urban cells and caches</t>
  </si>
  <si>
    <t>OE1 / OE5</t>
  </si>
  <si>
    <t>POST-WARGAME. This CR is PAVN's active deception task — distinct from CR3-CV-B (passive/reactive OPSEC risk). Reframed to avoid duplication. CR8 is the pre-H-Hour action; CR3-CV-B is the threat to the command mechanism.</t>
  </si>
  <si>
    <t>Dependence on operational secrecy being preserved until execution</t>
  </si>
  <si>
    <t>C2 / OPSEC</t>
  </si>
  <si>
    <t>Historically partially failed (premature attacks in some provinces on 29–30 Jan 1968) but did not collapse the operation — suggesting PAVN achieved minimum acceptable OPSEC threshold.</t>
  </si>
  <si>
    <t>SUSTAIN offensive pressure after initial attacks to expand and consolidate liberated areas</t>
  </si>
  <si>
    <t>PAVN B2 Front
559th Transportation Group</t>
  </si>
  <si>
    <t>Vulnerability of reinforcement and resupply corridors to interdiction</t>
  </si>
  <si>
    <t>OE7</t>
  </si>
  <si>
    <t>POST-WARGAME. The 559th Transportation Group (Ho Chi Minh Trail) is the correct unit. This CR bridges Phase 2b and Phase 3 — sustainment failure here prevents exploitation even if Phase 2a succeeds.</t>
  </si>
  <si>
    <t>Dependence on maintaining throughput despite attrition, disruption, and contested LOCs</t>
  </si>
  <si>
    <t>Logistics / Sustainment</t>
  </si>
  <si>
    <t>OE7 / OE9</t>
  </si>
  <si>
    <t>Historically, this CV materialised — PAVN could not sustain offensive pressure at the scale required for Phase 3 exploitation.</t>
  </si>
  <si>
    <t>MAINTAIN contested urban positions long enough to generate symbolic and psychological effect</t>
  </si>
  <si>
    <t>VC urban commando units (Biet Dong)
PAVN local assault forces</t>
  </si>
  <si>
    <t>Limited endurance in dense urban fighting without rapid reinforcement</t>
  </si>
  <si>
    <t>Fires / Urban / Tempo</t>
  </si>
  <si>
    <t>OE4 / OE7</t>
  </si>
  <si>
    <t>POST-WARGAME. CR10 is the tactical enabler of CR6 — the causal chain is: urban positions held → media coverage and political shock in U.S. → CR6 effect achieved. This link must be explicit. Hue (26 days) is the clearest historical validation of CR10's importance.</t>
  </si>
  <si>
    <t>Vulnerability to isolation and destruction once U.S./ARVN regain coherence</t>
  </si>
  <si>
    <t>Manoeuvre / C2</t>
  </si>
  <si>
    <t>OE2 / OE4</t>
  </si>
  <si>
    <t>Once U.S./ARVN C2 recovered (typically 48–72 hrs in Saigon), Biet Dong units were rapidly isolated. The symbolic effect had already been generated by that point — suggesting CR10 achieved its purpose despite CV-B materialising.</t>
  </si>
  <si>
    <t>Br</t>
  </si>
  <si>
    <t>REVERT from failed uprising exploitation to protracted attritional operations
[BRANCH TRIGGER — maps to DP1 / CCIRs 3.1 and 3.2]</t>
  </si>
  <si>
    <t>SAIGON-GIA DINH Military Command
PAVN B2 Front</t>
  </si>
  <si>
    <t>Dependence on timely recognition that the uprising assumption has failed</t>
  </si>
  <si>
    <t>Decision / C2</t>
  </si>
  <si>
    <t>OE6 / DP1</t>
  </si>
  <si>
    <t>POST-WARGAME BRANCH TRIGGER. CV-A maps directly to DP1 and CCIRs 3.1/3.2 in the post-wargame operational framework. The decision to revert is the critical C2 test — delayed recognition commits forces to an unviable branch.</t>
  </si>
  <si>
    <t>Vulnerability to operational dislocation if forces remain committed too long to an unviable branch</t>
  </si>
  <si>
    <t>Manoeuvre / Branch</t>
  </si>
  <si>
    <t>OE4 / OE8</t>
  </si>
  <si>
    <t>CORRECTION: Previous version listed CV-B OE as 'CV11/DP' — this was a formatting error. Corrected to OE4/OE8 (urban battlespace environments where the revert decision must be executed). DP1 is referenced in CV-A.</t>
  </si>
  <si>
    <t xml:space="preserve">Factor </t>
  </si>
  <si>
    <t>Deduction</t>
  </si>
  <si>
    <t>Conclusion</t>
  </si>
  <si>
    <t>Academic Source</t>
  </si>
  <si>
    <t>Relevant DC</t>
  </si>
  <si>
    <t>PAVN/VC well established infiltration networks and clandestine infrastructure within urban areas, while U.S. forces are dispersed and urban centres were relatively lightly defended by regular forces.</t>
  </si>
  <si>
    <t>As part of our acceptable conditions, in order for our forces to launch and seize the initiative we have to preserve infiltration and urban penetration. C2 and security of movement and Comms will be essential. Adapt the command and force structure to support undetected urban concentration before H-Hr. Where US forces are dispersed and urban areas are lightly defended by regular forces, these should be identified as priority.</t>
  </si>
  <si>
    <t>DC: PAVN Fces concentrated undected prior to attacks. 
PG: Saigon–Gia Dinh area will be reorganized into a special region, divided into sub-zones, with battalions built to infiltrate the city and link up with special forces already in place (Guan, 1998).
OA: maintain covert infiltration routes.
OA: conceal movement and logistics.
OA: Pre-position personnel and materiel within urban terrain.</t>
  </si>
  <si>
    <t>Guan (1998) shows that the communist side reorganized the Saigon battlespace and prepared infiltration battalions and special forces for urban action.
Turner (1992) shows that MACV missed the significance of hidden sappers, agents, and supplies among refugees moving into the cities.</t>
  </si>
  <si>
    <t>The enemy’s effective combat power depends on rapid concentration and coherent command response.</t>
  </si>
  <si>
    <t>Enemy C2 is not just one target set among many; it is the key mechanism that converts Allied dispersed strength into usable combat power.
Simultaneity matters because it overloads decision cycles, communications, and reserve allocation.
CR: COSVN and Saigon–Gia Dinh command structures as critical requirements</t>
  </si>
  <si>
    <t>Assumption: If C2 holds, Allied firepower will eventually dominate.
PG: PAVN must attack and overload enemy command functions physically, temporally, and psychologically so that Allied response becomes fragmented rather than concentrated.
CC: disruption of U.S./ARVN command and coordinated response through simultaneous nationwide attacks</t>
  </si>
  <si>
    <t>Turner (2003) argues that MACV was poorly organized to synthesize the intelligence it possessed, that intelligence agencies were not centralized under one commander, and that the Americans failed to integrate indications of the offensive in time. He also shows that the communists used deception, simultaneous preparations, and dispersed action to exploit those weaknesses. DC is well grounded as an attack on a known vulnerability: the enemy’s need for coherent command integration under pressure.
Guan’s (1998) communist-side reconstruction strengthens the point indirectly. He shows that the offensive required major preparation, command adaptation, and urban assault organization: the VPA General Staff issued requirements to raise main-force capability; the Politburo reorganized the Saigon–Gia Dinh battlespace into a “special region”; and COSVN established Vanguard Commands to supervise different sectors of the operation. That is strong evidence that the communist side understood the offensive as a synchronized command problem aimed at taking key targets by surprise across multiple sectors. It does not literally say “we will disrupt enemy C2,” but it strongly supports the inference that the offensive’s simultaneity was intended to overload and fragment enemy response.</t>
  </si>
  <si>
    <t>B5 Front / Tri-Thien defended by the 325th Division is a decisive urban battlespace</t>
  </si>
  <si>
    <t>Peripheral operations will not only be diversions in a loose sense; they will shape efforts aimed at fixing American combat power away from decisive urban points.
If U.S. combat power remains tied to Khe Sanh / border threats, urban defence weakens and the time needed for concentration increases.
Analysis shows “two weeks” as a planning duration for En forces deployment.</t>
  </si>
  <si>
    <t>DC: Fix En Fces for two weeks.
PAVN must sustain enough peripheral pressure to hold U.S. attention and delay major urban reinforcement through the decisive opening window; the duration should be treated as a planning estimate rather than a hard historical fact.</t>
  </si>
  <si>
    <t>Bonecutter (2019) quotes probing attacks in late 1967 were part of a larger plan preceding the Tet urban offensive</t>
  </si>
  <si>
    <t>CoG CC of excellent infiltration and clandestine C2</t>
  </si>
  <si>
    <t xml:space="preserve">Secrecy will protect both our force posture and the coherence of our timed attacks.
Surprise is a precondition for simultaneity and urban penetration. Otherwise the American dogs could raise readiness, reinforce cities, and reduce the value of infiltration.
</t>
  </si>
  <si>
    <t>DC: Operational secrecy protected until H-hr.
PG: PAVN must preserve clandestine access, hidden force disposition, and synchronized timing until H-Hr; any compromise becomes both a risk and a possible branch trigger for the plan.</t>
  </si>
  <si>
    <t>Guan (1998) shows the July 1967 concept required the plan to be kept secret.
Bonecutter (2019) documents that the calendar mismatch caused premature attacks that damaged overall surprise.</t>
  </si>
  <si>
    <t>The political component of the campaign depends on VC/NLF urban organisations inciting mass action against the Saigon regime at the moment of military shock.</t>
  </si>
  <si>
    <t>We must use urban cadre, agents, and political infrastructure to COMPEL, incite and direct civilian participation against the GVN, so that military assault is translated into regime destabilisation and apparent popular revolt.</t>
  </si>
  <si>
    <t>DC:  Civil DEMONSTRATION(s) occurs.
DC:  SAIGON-GIA DINH civpop CONVINCED to rise up against GVN.
DC:  GVN DESTABILISED in SAIGON-GIA DINH.</t>
  </si>
  <si>
    <t>Pribbenow II (2008) page 4, Prados (1993) p 167</t>
  </si>
  <si>
    <t>2.3.2, 2.3.3, 2.3.4</t>
  </si>
  <si>
    <t>U.S. combat power remains disproportionately lethal once our main-force units are fixed, located, or forced to fight prolonged engagements under American air and artillery dominance.</t>
  </si>
  <si>
    <t>We must preserve freedom of movement and avoid prolonged exposure by dispersing, relocating rapidly, and accompanying main-force operations with mobile air-defence protection sufficient to reduce the effectiveness of U.S. air attack during concentration, approach and withdrawal.</t>
  </si>
  <si>
    <t>DC: Operational secrecy RETAINED while sufficient combat power is assembled for ATTACK.
Also supports U.S. combat power is DELAYED from concentrating towards PAVN COG for one week.</t>
  </si>
  <si>
    <t>Ford (1995) page 63</t>
  </si>
  <si>
    <t>3.1.2, 4.2.1</t>
  </si>
  <si>
    <t>Enemy intelligence apparatus demonstrates systemic limitations in interpreting dispersed indicators, enabling operational deception and masking of large-scale preparation</t>
  </si>
  <si>
    <t>We must PROTECT operational secrecy by fragmenting observable indicators, dispersing preparations, and exploiting enemy analytical bias to delay recognition of the main effort.</t>
  </si>
  <si>
    <t>DC: Operational secrecy PROTECTED until H-Hr
OA: disperse indicators, mask infiltration, exploit deception cycles
Must synchronise deception operations (e.g. Khe Sanh diversion) with main effort to misdirect enemy focus</t>
  </si>
  <si>
    <t>Turner (2003), page 40</t>
  </si>
  <si>
    <t>Enemy decision-making is vulnerable to manipulation through the information environment and domestic opinion.</t>
  </si>
  <si>
    <t>We must INFLUENCE external audiences and DISRUPT enemy decision-making by exploiting media and psychological effects beyond the battlefield.</t>
  </si>
  <si>
    <t>DC: GVN DESTABILISED in SAIGON-GIA DINH / Enemy C2 DISRUPTED
OA: synchronise attacks with information effects</t>
  </si>
  <si>
    <t>Bonecutter (2019) page 9 Bonecutter records the very large scale of the offensive: attacks on multiple municipalities, provincial capitals, and district seats. The 31 January attacks were conducted on a very wide set of targets across South Vietnam</t>
  </si>
  <si>
    <t>2.2.1 / 2.3.4</t>
  </si>
  <si>
    <t>Urban terrain provides conditions for clandestine preparation through existing political and guerrilla infrastructure.</t>
  </si>
  <si>
    <t>We must CONCENTRATE combat power undetected within urban areas by leveraging pre-existing networks and decentralised force structure.</t>
  </si>
  <si>
    <t>DC: PAVN forces have CONCENTRATED undetected prior to attack
OA: infiltrate, embed, and pre-position forces</t>
  </si>
  <si>
    <t>Guan (1998) page 348</t>
  </si>
  <si>
    <t>Enemy operational focus is drawn to perceived decisive terrain (e.g. border battles), creating exploitable fixation.</t>
  </si>
  <si>
    <t>We must FIX enemy forces away from urban objectives through sustained peripheral pressure and deception operations.</t>
  </si>
  <si>
    <t>DC: U.S. forces are FIXED away from cities for two weeks
OA: maintain pressure in border regions to hold enemy combat power</t>
  </si>
  <si>
    <t>Falk (1998) page 392</t>
  </si>
  <si>
    <t>Time-distance and logistical constraints impose predictable preparation timelines that may become observable if not mitigated.</t>
  </si>
  <si>
    <t>We must RETAIN secrecy while assembling combat power by staggering movement and exploiting terrain to mask infiltration.</t>
  </si>
  <si>
    <t>DC: Operational secrecy RETAINED while sufficient combat power is assembled for ATTACK
OA: stagger infiltration, conceal LOCs, minimise detectable patterns</t>
  </si>
  <si>
    <t>Parados (1993) pages 168-174</t>
  </si>
  <si>
    <t>Enemy overreliance on conventional metrics of success (attrition, territorial control) creates vulnerability to protracted and symbolic warfare.</t>
  </si>
  <si>
    <t>We must DELAY enemy counterattack and SUSTAIN contested urban presence to achieve political effect irrespective of tactical losses.</t>
  </si>
  <si>
    <t>DC: Enemy counterattack DELAYED / Key symbolic areas remain visibly contested
OA: hold urban terrain for psychological and political effect</t>
  </si>
  <si>
    <t>Daddis (2018) page 2</t>
  </si>
  <si>
    <t>2.1.2 / 3.3.2</t>
  </si>
  <si>
    <t>Fragmented enemy command structures and competing priorities degrade unified response under simultaneous pressure.</t>
  </si>
  <si>
    <t>We must CREATE simultaneous pressures to force the enemy to COMPETE for resources across multiple axes.</t>
  </si>
  <si>
    <t>DC: US/ARVN units COMPETED for resources due to simultaneous pressures
OA: conduct concurrent operations across theatre</t>
  </si>
  <si>
    <t>Pattison (1989) page 5</t>
  </si>
  <si>
    <t>Revolutionary warfare doctrine emphasises the integration of military action with popular mobilisation and political effects.</t>
  </si>
  <si>
    <t>We must CONVINCE and MOBILISE the population to create demonstrations that support operational objectives and disrupt LOCs.</t>
  </si>
  <si>
    <t>DC: Civil DEMONSTRATION(s) occurs / LOCs BLOCKED by DEMONSTRATING civilians
OA: synchronise military action with political mobilisation</t>
  </si>
  <si>
    <t>Pribbenow II (2008) pages 2-3, 5, 11, 17</t>
  </si>
  <si>
    <t>2.2.2, 2.3.2, 2.3.3</t>
  </si>
  <si>
    <t>Enemy combat power is strong when concentrated, but its response system remains dependent on cohesion, mobility and hierarchical coordination.</t>
  </si>
  <si>
    <t>We must DISRUPT and FIX enemy response through simultaneity and urban penetration before enemy firepower can be brought to bear.</t>
  </si>
  <si>
    <t>DC: Enemy command and control systems are DISRUPTED. OA: Interdict air mobility
DC: U.S. forces are FIXED away from cities for two weeks.</t>
  </si>
  <si>
    <t>Peripheral operations are not an end in themselves. They are designed to facilitate infiltration and control action in decisive urban areas.</t>
  </si>
  <si>
    <t>We must DIVERT enemy attention and combat power from the cities in order to preserve the conditions required for covert urban preparation.</t>
  </si>
  <si>
    <t>Substantial U.S. combat power must be drawn and committed to the defence of KHE SANH.</t>
  </si>
  <si>
    <t>Ford (1995) page 67</t>
  </si>
  <si>
    <t>4.2.2, 1.1.2</t>
  </si>
  <si>
    <t>Urban preparation requires deliberate placement of agents and reinforcement of weak urban cadre before execution.</t>
  </si>
  <si>
    <t>We must PROTECT operational secrecy while completing agent placement and clandestine urban preparation before late January.</t>
  </si>
  <si>
    <t>Operational secrecy PROTECTED until H-Hr.</t>
  </si>
  <si>
    <t>Prados (1993) p 167</t>
  </si>
  <si>
    <t>Concept of operations requires DEVELOPING urban organisations capable of supporting an uprising in cities and towns.</t>
  </si>
  <si>
    <t>We must CONVINCE and activate sufficient urban participants to translate the offensive into political collapse inside the cities.</t>
  </si>
  <si>
    <t>AIGON-GIA DINH civpop must be CONVINCED to rise up against GVN. Civil DEMONSTRATION(s) must be incited to occur.</t>
  </si>
  <si>
    <t>2.3.3, 2.3.2</t>
  </si>
  <si>
    <t>The enemy will not expect simultaneous attacks of this scale against so many cities.</t>
  </si>
  <si>
    <t>We must DISRUPT enemy command and coordinated response by launching simultaneous attacks across multiple urban centres.</t>
  </si>
  <si>
    <t>DC: Enemy command and control systems are DISRUPTED.
Also supports Enemy C2 is DISRUPTED.</t>
  </si>
  <si>
    <t>Turner (2003), page 30</t>
  </si>
  <si>
    <t>1.2.1, 2.2.1</t>
  </si>
  <si>
    <t>Enemy commanders are assessed to discount the feasibility of nationwide urban assault and will likely fail to convert warning into an appropriate operational response.</t>
  </si>
  <si>
    <t>We must RETAIN secrecy while sufficient combat power is assembled for attack, exploiting enemy disbelief in our capacity to strike at scale.</t>
  </si>
  <si>
    <t>perational secrecy RETAINED while sufficient combat power is assembled for ATTACK.</t>
  </si>
  <si>
    <t>Communist strategy deliberately seeks to draw U.S. forces into large rural battles, leaving urban areas vulnerable.</t>
  </si>
  <si>
    <t>We must FIX enemy main forces in the countryside so that urban government infrastructure can be struck under reduced external support.</t>
  </si>
  <si>
    <t>DC: U.S. border forces FIXED for one week.
Also supports U.S. forces are FIXED away from cities for two weeks.</t>
  </si>
  <si>
    <t>Turner (2003), page 8</t>
  </si>
  <si>
    <t>4.1.1, 1.3.1</t>
  </si>
  <si>
    <t>Strategic intent sees the offensive as a process of continuous military and political attack rather than a single tactical blow.</t>
  </si>
  <si>
    <t>We must DESTABILISE the GVN regime through continuous military and political pressure, not merely seize ground.</t>
  </si>
  <si>
    <t>DC: GVN DESTABILISED in SAIGON-GIA DINH.</t>
  </si>
  <si>
    <t>Turner (2003), page 9</t>
  </si>
  <si>
    <t>The and peripheral Khe Sanh battlespaces are important not chiefly as a decisive objective, but as part of a wider design connected to the larger offensive.</t>
  </si>
  <si>
    <t>We must DELAY U.S. concentration toward decisive urban battlespace by sustaining the Route 9–Khe Sanh threat as one front within the wider operation.</t>
  </si>
  <si>
    <t>DC: U.S. combat power is DELAYED from concentrating towards PAVN COG for one week.</t>
  </si>
  <si>
    <t>Guan (2001) page 95</t>
  </si>
  <si>
    <t>Operational success depends upon surprise in timing, direction, target and method, producing overload and confusion in the enemy system.</t>
  </si>
  <si>
    <t>We must DESTROY initial enemy defences and DISRUPT reserves through repeated surprise and rapid tempo before the enemy regains coherence.</t>
  </si>
  <si>
    <t>DC:  Initial enemy defences DESTROYED within 2 days.
Also supports Enemy reserves DISRUPTED.</t>
  </si>
  <si>
    <t>Ringler (2016) pp 34--35</t>
  </si>
  <si>
    <t>3.3.1, 3.3.2</t>
  </si>
  <si>
    <t>The strategic logic of the campaign is to use battlefield action to coerce U.S. political leadership during a moment of domestic irresolution.</t>
  </si>
  <si>
    <t>We must COERCE the United States politically by imposing the appearance of escalating cost and uncertainty during the election year.</t>
  </si>
  <si>
    <t>DC:  US/ARVN units COMPETED for resources due to simultaneous pressures across the theatre.
Also supports US/ARVN casualties exceed replacement rate for 2 months.</t>
  </si>
  <si>
    <t>3.1.1, 3.2.1</t>
  </si>
  <si>
    <t>The selected operational window has been chosen because time and space were judged favourable for surprise and political-military effect.</t>
  </si>
  <si>
    <t>We must MAINTAIN concealment until execution and launch during the propitious moment provided by Tet.</t>
  </si>
  <si>
    <t>DC: Main effort remains concealed until execution.</t>
  </si>
  <si>
    <t>Ford (1995) page 66</t>
  </si>
  <si>
    <t>High casualties can be taken, and attacks need not be entirely victorious so long as they destroy the enemy’s initiative</t>
  </si>
  <si>
    <t>Robust air defence may be best held in reserve</t>
  </si>
  <si>
    <t>Ringler (2016) p 16</t>
  </si>
  <si>
    <t>Dependence on a politically driven assumption that a mass urban uprising materialises, despite uncertain feasibility, creates a critical vulnerability in the operational design.</t>
  </si>
  <si>
    <t>Political success depends on civilian behaviour that cannot be controlled by military action alone.
If the population fails to act, military gains risk remaining isolated and reversible.</t>
  </si>
  <si>
    <t>DC: SAIGON-GIA DINH Civpop CONVINCED to rise up against GVN.
OA: SYNCHRONISE military shock with political agitation to stimulate participation.
OE: Civil mobilisation amplifies military success into regime destabilisation.</t>
  </si>
  <si>
    <t>Willbanks (2008)</t>
  </si>
  <si>
    <t>Urban populations do not constitute a unified revolutionary actor and their response to military action remains variable, fragmented, and uncertain.</t>
  </si>
  <si>
    <t>Civil mobilisation cannot be assumed to occur uniformly across urban areas.
Political preparation must account for uneven participation and local variation</t>
  </si>
  <si>
    <t>DC: Civil DEMONSTRATION(s) occurs. 
OA: TARGET key urban groups to trigger localised mobilisation rather than rely on general uprising
OE: Selective civil action creates pressure on GVN control mechanisms</t>
  </si>
  <si>
    <t>GVN coercive and security structures within urban areas retain the capacity to suppress or deter overt civilian participation at the decisive moment.</t>
  </si>
  <si>
    <t>Civilian participation is contingent upon reducing the regime’s ability to respond.
Without degrading local security forces, uprising is unlikely to materialise at scale.</t>
  </si>
  <si>
    <t>DC: GVN DESTABILISED in SAIGON-GIA DINH.
OA: DISRUPT urban security forces and administrative control nodes.
OE: Reduced regime control enables civil action and undermines authority.</t>
  </si>
  <si>
    <t>Pribbenow (2008)  p 4</t>
  </si>
  <si>
    <t>The expectation of spontaneous uprising conflates passive discontent with active participation in high-risk political action.</t>
  </si>
  <si>
    <t>Popular dissatisfaction does not equate to willingness to act.
The threshold for overt participation is significantly higher under conditions of risk</t>
  </si>
  <si>
    <t>DC: SAIGON-GIA DINH Civpop CONVINCED to rise up against GVN.
OA: CONVINCE population through combined political messaging and demonstrated regime vulnerability.
OE: Population transitions from passive discontent to active opposition.</t>
  </si>
  <si>
    <t>Pribbenow (2008)  p 3</t>
  </si>
  <si>
    <t>The timing of civil mobilisation is dependent on perception of momentum, success, and regime weakness at the point of attack.</t>
  </si>
  <si>
    <t>DC Civil DEMONSTRATION(s) occur
OA: ACHIEVE immediate visible success in urban objectives to signal regime weakness.
OE: Perceived momentum stimulates civilian participation and amplifies political effects.</t>
  </si>
  <si>
    <t>Ringler (2016) p 32</t>
  </si>
  <si>
    <t>Decision-making within the DRV is dominated by a centralised faction (Le Duan / Gen. Dung) which marginalises dissenting voices and drives the General Offensive–General Uprising strategy.</t>
  </si>
  <si>
    <t>Operational design reflects the priorities of a dominant political faction rather than balanced military judgement.</t>
  </si>
  <si>
    <t>DC: Operational design remains aligned to centrally directed offensive concept.
OA: MAINTAIN unity of direction under central leadership.
OE: Execution remains coherent but vulnerable to strategic miscalculation driven by political dominance.</t>
  </si>
  <si>
    <t>U.S. and GVN leadership are politically sensitive actors whose decision-making is shaped by public confidence, perceived legitimacy, and domestic political pressure.</t>
  </si>
  <si>
    <t>Enemy leadership cohesion is vulnerable to psychological shock and perception of failure.
Simultaneous urban attacks can trigger crisis in confidence, forcing reactive and suboptimal decisions.</t>
  </si>
  <si>
    <t>DC: US/ARVN units COMPETED for resources due to simultaneous pressures across the theatre.
OA: GENERATE simultaneous crises to overload leadership decision-making.
OE: Fragmented and reactive responses degrade coordinated enemy action.</t>
  </si>
  <si>
    <t>Ringler (2016) p 34</t>
  </si>
  <si>
    <t>Factor Block</t>
  </si>
  <si>
    <t>Phase</t>
  </si>
  <si>
    <t>CR</t>
  </si>
  <si>
    <t>Actors</t>
  </si>
  <si>
    <t>CV</t>
  </si>
  <si>
    <t>Description</t>
  </si>
  <si>
    <t>Domain</t>
  </si>
  <si>
    <t>Severity</t>
  </si>
  <si>
    <t>OE Link</t>
  </si>
  <si>
    <t>Notes</t>
  </si>
  <si>
    <t>2a/2b</t>
  </si>
  <si>
    <t>CR5</t>
  </si>
  <si>
    <t>NLF admin committees / Local VC</t>
  </si>
  <si>
    <t>Dependence on civilian mobilisation</t>
  </si>
  <si>
    <t>Political</t>
  </si>
  <si>
    <t>SEVERE COG RISK</t>
  </si>
  <si>
    <t>Network roll-up after activation</t>
  </si>
  <si>
    <t>OPSEC</t>
  </si>
  <si>
    <t>OE1/OE6</t>
  </si>
  <si>
    <t>Irreversible exposure</t>
  </si>
  <si>
    <t>1/2a</t>
  </si>
  <si>
    <t>CR8</t>
  </si>
  <si>
    <t>Saigon-Gia Dinh Cmd</t>
  </si>
  <si>
    <t>Premature exposure of cells</t>
  </si>
  <si>
    <t>OE1/OE5</t>
  </si>
  <si>
    <t>Loss of simultaneity</t>
  </si>
  <si>
    <t>Dependence on secrecy</t>
  </si>
  <si>
    <t>C2/OPSEC</t>
  </si>
  <si>
    <t>Threshold risk</t>
  </si>
  <si>
    <t>CR1&amp;2</t>
  </si>
  <si>
    <t>B5 + Khe Sanh</t>
  </si>
  <si>
    <t>Attrition by US fires</t>
  </si>
  <si>
    <t>Fires</t>
  </si>
  <si>
    <t>OE3/OE5</t>
  </si>
  <si>
    <t>Fix fails</t>
  </si>
  <si>
    <t>LOC exposure / attrition risk</t>
  </si>
  <si>
    <t>Log/Man</t>
  </si>
  <si>
    <t>MED/HIGH</t>
  </si>
  <si>
    <t>OE3/OE4/OE7</t>
  </si>
  <si>
    <t>Collapse diversion</t>
  </si>
  <si>
    <t>CR4</t>
  </si>
  <si>
    <t>Biet Dong units</t>
  </si>
  <si>
    <t>Rapid destruction</t>
  </si>
  <si>
    <t>Urban Combat</t>
  </si>
  <si>
    <t>OE4/OE2</t>
  </si>
  <si>
    <t>COG severed</t>
  </si>
  <si>
    <t>Insufficient staying power</t>
  </si>
  <si>
    <t>Political/Tempo</t>
  </si>
  <si>
    <t>OE6/OE8</t>
  </si>
  <si>
    <t>Highest risk</t>
  </si>
  <si>
    <t>2b/3</t>
  </si>
  <si>
    <t>CR6</t>
  </si>
  <si>
    <t>PAVN Main Forces</t>
  </si>
  <si>
    <t>Catastrophic losses</t>
  </si>
  <si>
    <t>OE3/OE7</t>
  </si>
  <si>
    <t>Acceptable if political effect</t>
  </si>
  <si>
    <t>Failure to translate to US political effect</t>
  </si>
  <si>
    <t>Strategic</t>
  </si>
  <si>
    <t>Decisive terrain US</t>
  </si>
  <si>
    <t>test</t>
  </si>
  <si>
    <t>Tonnage of supplies/weapons emplaced in concealed caches per day</t>
  </si>
  <si>
    <t>SEVERE Risks</t>
  </si>
  <si>
    <t>ASCOPE \ PMESII</t>
  </si>
  <si>
    <t>Military</t>
  </si>
  <si>
    <t>Economic</t>
  </si>
  <si>
    <t>Social</t>
  </si>
  <si>
    <t>Information</t>
  </si>
  <si>
    <t>Infrastructure</t>
  </si>
  <si>
    <t>Areas</t>
  </si>
  <si>
    <t>• Urban centres are GVN legitimacy hubs and decisive for regime stability or collapse. • Saigon–Gia Dinh is the principal political objective in the South. • Hue / Tri-Thien carries disproportionate symbolic and political weight.</t>
  </si>
  <si>
    <t>• Cities are more decisive than border areas, but are relatively thinner in regular-force defence. • Peripheral areas shape the fight by fixing and diverting U.S. combat power. • Route 9–Khe Sanh and B5 support the urban main effort rather than replace it.</t>
  </si>
  <si>
    <t>• Major cities concentrate administrative and commercial activity. • Urban disruption produces outsized economic and governing effects. • Economic dislocation amplifies perceptions of insecurity and loss of control.</t>
  </si>
  <si>
    <t>• Dense urban populations provide concealment and possible mass. • Urban populations are also risk-averse and politically uneven. • Civil response varies by district, network depth and perceived momentum.</t>
  </si>
  <si>
    <t>• Urban centres amplify psychological shock and attract immediate attention. • Saigon and Hue are information multipliers, not just tactical objectives. • Simultaneous attacks across many urban areas create the appearance of systemic insecurity.</t>
  </si>
  <si>
    <t>• Dense terrain aids concealment, infiltration and pre-positioning. • The same terrain restricts rapid manoeuvre and delays coherent response. • Key roads, compounds, radio facilities and access routes form decisive urban nodes.</t>
  </si>
  <si>
    <t>Structures</t>
  </si>
  <si>
    <t>• GVN governance is centralised and therefore vulnerable to visible disruption. • Administrative control structures are politically fragile if shocked simultaneously. • Civil administration is both a governing mechanism and a target set.</t>
  </si>
  <si>
    <t>• ARVN urban security is dispersed and dependent on reinforcement. • MACV/ARVN defence requires coherent C2, mobility and reserve commitment. • Air mobility and command integration are critical defensive structures.</t>
  </si>
  <si>
    <t>• State economic institutions are concentrated in urban areas. • Administrative and commercial systems are vulnerable to sudden paralysis. • Economic order depends on regime continuity rather than market resilience.</t>
  </si>
  <si>
    <t>• Social networks are fragmented and unevenly penetrated by VC/NLF cadres. • Urban society is not a single revolutionary bloc. • Existing local ties can support concealment, passivity or selective mobilisation.</t>
  </si>
  <si>
    <t>• Urban communications and broadcast structures accelerate narrative spread. • Regime messaging and revolutionary messaging compete immediately after attack. • Information structures are concentrated enough to be disrupted but resilient enough to recover if not held.</t>
  </si>
  <si>
    <t>• Critical infrastructure is clustered and vulnerable to overload. • Police posts, compounds, bridges, roads and utility nodes structure local control. • Once activated, clandestine infrastructure becomes vulnerable to roll-up.</t>
  </si>
  <si>
    <t>Capabilities</t>
  </si>
  <si>
    <t>• GVN legitimacy depends on visible control of key centres. • PAVN/VC political success depends on converting armed action into destabilisation. • Civil uprising is an assumed enabler, not a guaranteed capability.</t>
  </si>
  <si>
    <t>• U.S./ARVN capability depends on C2, mobility and rapid concentration. • PAVN capability depends on secrecy, simultaneity and undetected urban concentration. • Biet Dong capability is strong in penetration and shock, weak in endurance.</t>
  </si>
  <si>
    <t>• Urban economic activity depends on stability, access and administrative continuity. • Disruption can paralyse routine life quickly, but only political exploitation makes that decisive. • Sustainment of the offensive depends more on logistics throughput than on urban economic capture.</t>
  </si>
  <si>
    <t>• Mobilisation is conditional, not guaranteed. • Civilians may remain passive even when discontented. • Participation depends on perceived success, regime weakness and local security conditions.</t>
  </si>
  <si>
    <t>• Information operations shape perception of success and failure faster than physical outcomes alone. • Momentum is critical: the first 48–72 hours drive perception. • Strategic effect depends on sustaining visibility long enough to shape U.S. and GVN judgement.</t>
  </si>
  <si>
    <t>• Infrastructure enables sustainment, movement and command, but is also highly targetable. • PAVN relies on caches, routes and urban access points. • U.S./ARVN rely on roads, air mobility and secure communications to restore coherence.</t>
  </si>
  <si>
    <t>Organisations</t>
  </si>
  <si>
    <t>• GVN ministries, police and local authorities are the immediate political control organs. • COSVN and Saigon–Gia Dinh commands translate DRV intent into theatre execution. • Politburo direction, especially the dominant Le Duan line, drives the offensive’s political logic.</t>
  </si>
  <si>
    <t>• MACV/ARVN require coordination across commands to generate effective response. • Fragmentation under simultaneity is a core vulnerability. • PAVN main-force units, local assault elements and Biet Dong perform distinct but linked functions.</t>
  </si>
  <si>
    <t>• Economic bodies are centralised, but their significance is mainly political-administrative. • Disruption matters most where it reinforces regime fragility. • NLF administrative elements matter more in exploitation than in initial seizure.</t>
  </si>
  <si>
    <t>• NLF/VC cadre capability is uneven and mobilisation potential varies sharply by locality. • Local committees can organise support, concealment and demonstrations, but not guarantee uprising. • Police and intelligence organs can rapidly penetrate and collapse exposed networks.</t>
  </si>
  <si>
    <t>• Media organisations amplify local events into national and international political effects. • U.S. domestic audiences and leadership are a decisive strategic target. • Revolutionary political apparatus seeks to outpace enemy narrative recovery.</t>
  </si>
  <si>
    <t>• Security organisations protect key nodes and enable roll-up once cells surface. • Organisational control depends on physical access to compounds, routes and communications nodes. • Support and sustainment organisations become critical after initial attacks.</t>
  </si>
  <si>
    <t>People</t>
  </si>
  <si>
    <t>• Civpop loyalty is contested and not inherently revolutionary. • GVN and U.S. leaders are politically sensitive actors whose confidence matters operationally. • DRV decision-making is shaped by factional dominance and political risk acceptance.</t>
  </si>
  <si>
    <t>• ARVN are embedded locally but vary in effectiveness and resilience. • U.S. commanders require time to understand and re-coordinate after shock. • PAVN assault personnel can absorb heavy losses only if political effect follows.</t>
  </si>
  <si>
    <t>• Civilians are economically dependent on order, access and routine administration. • Economic dependency tends to increase risk aversion. • Material insecurity does not automatically produce revolutionary action.</t>
  </si>
  <si>
    <t>• The urban population is fragmented, diverse and locally conditioned. • Passive discontent does not equal willingness to participate in high-risk action. • Fear, opportunism, coercion and momentum all shape behaviour.</t>
  </si>
  <si>
    <t>• Perception drives behaviour. • Visible success can stimulate participation, while early failure suppresses it. • Public confidence, legitimacy and shock perception matter more than body counts alone.</t>
  </si>
  <si>
    <t>• Population movement aids infiltration and concealment. • Refugee and civilian flows can be exploited by clandestine networks. • Once fighting begins, the same density can trap and expose assault elements.</t>
  </si>
  <si>
    <t>Events</t>
  </si>
  <si>
    <t>• Tet creates a politically and culturally charged opportunity window. • The offensive must create immediate evidence of regime vulnerability. • Failure of demonstrations after H-Hour quickly undermines the political concept.</t>
  </si>
  <si>
    <t>• Simultaneous attacks are intended to overload C2 and delay coordinated response. • Premature attacks reduce surprise and compress the enemy recovery cycle. • Initial penetration must be followed by immediate disruption before U.S./ARVN reconcentrate.</t>
  </si>
  <si>
    <t>• Tet disruption magnifies administrative and commercial disorder. • Short-term economic shock is useful only if tied to political or psychological effect. • Prolonged fighting raises sustainment demands faster than it creates exploitable economic control.</t>
  </si>
  <si>
    <t>• Cultural pause lowers vigilance and creates opportunity. • Demonstrations and uprisings are event-sensitive and tempo-dependent. • Non-occurrence of uprising is itself a decisive event in the campaign.</t>
  </si>
  <si>
    <t>• Media shock amplifies impact and creates strategic leverage. • Symbolic attacks matter because they are seen, reported and interpreted rapidly. • The key information event is not merely attack, but sustained visible contestation.</t>
  </si>
  <si>
    <t>• Urban disruption stresses transport, communications and access systems simultaneously. • Activation of cells, opening of caches and seizure of nodes are irreversible trigger events. • Once the enemy restores movement and communications, isolation of assault forces begins quickly.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</si>
</sst>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8"/>
      <color theme="1"/>
      <name val="Times New Roman"/>
      <family val="1"/>
    </font>
    <font>
      <sz val="10"/>
      <color theme="1"/>
      <name val="Times New Roman"/>
      <family val="1"/>
    </font>
    <font>
      <b/>
      <sz val="10"/>
      <color theme="1"/>
      <name val="Times New Roman"/>
      <family val="1"/>
    </font>
    <font>
      <b/>
      <sz val="12"/>
      <color theme="1"/>
      <name val="Times New Roman"/>
      <family val="1"/>
    </font>
    <font>
      <sz val="12"/>
      <color theme="1"/>
      <name val="Times New Roman"/>
      <family val="1"/>
    </font>
    <font>
      <b/>
      <sz val="11"/>
      <color theme="1"/>
      <name val="Aptos Narrow"/>
      <family val="2"/>
      <scheme val="minor"/>
    </font>
    <font>
      <b/>
      <sz val="11"/>
      <color rgb="FFFFFFFF"/>
      <name val="Arial"/>
      <family val="2"/>
    </font>
    <font>
      <sz val="8"/>
      <color rgb="FF1F3864"/>
      <name val="Arial"/>
      <family val="2"/>
    </font>
    <font>
      <b/>
      <sz val="8"/>
      <color rgb="FF1F3864"/>
      <name val="Arial"/>
      <family val="2"/>
    </font>
    <font>
      <b/>
      <sz val="8"/>
      <color rgb="FF1A1A2E"/>
      <name val="Arial"/>
      <family val="2"/>
    </font>
    <font>
      <sz val="8"/>
      <color rgb="FF1A1A2E"/>
      <name val="Arial"/>
      <family val="2"/>
    </font>
    <font>
      <sz val="7.5"/>
      <color rgb="FF2C2C2C"/>
      <name val="Arial"/>
      <family val="2"/>
    </font>
    <font>
      <b/>
      <sz val="8"/>
      <color rgb="FF3E2700"/>
      <name val="Arial"/>
      <family val="2"/>
    </font>
    <font>
      <sz val="8"/>
      <color rgb="FF3E2700"/>
      <name val="Arial"/>
      <family val="2"/>
    </font>
    <font>
      <b/>
      <sz val="18"/>
      <color theme="1"/>
      <name val="Times New Roman"/>
      <family val="1"/>
    </font>
    <font>
      <b/>
      <sz val="22"/>
      <name val="Times New Roman"/>
      <family val="1"/>
    </font>
    <font>
      <sz val="18"/>
      <name val="Times New Roman"/>
      <family val="1"/>
    </font>
    <font>
      <sz val="18"/>
      <color theme="1"/>
      <name val="Aptos Narrow"/>
      <family val="2"/>
      <scheme val="minor"/>
    </font>
    <font>
      <sz val="16"/>
      <color theme="1"/>
      <name val="Times New Roman"/>
      <family val="1"/>
    </font>
    <font>
      <b/>
      <sz val="22"/>
      <color theme="1"/>
      <name val="Times New Roman"/>
      <family val="1"/>
    </font>
    <font>
      <sz val="22"/>
      <color theme="1"/>
      <name val="Aptos Narrow"/>
      <family val="2"/>
      <scheme val="minor"/>
    </font>
  </fonts>
  <fills count="16">
    <fill>
      <patternFill patternType="none"/>
    </fill>
    <fill>
      <patternFill patternType="gray125"/>
    </fill>
    <fill>
      <patternFill patternType="solid">
        <fgColor theme="8" tint="0.79998168889431442"/>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D1B2A"/>
      </patternFill>
    </fill>
    <fill>
      <patternFill patternType="solid">
        <fgColor rgb="FFFF0000"/>
        <bgColor indexed="64"/>
      </patternFill>
    </fill>
    <fill>
      <patternFill patternType="solid">
        <fgColor rgb="FFFF7C80"/>
        <bgColor indexed="64"/>
      </patternFill>
    </fill>
    <fill>
      <patternFill patternType="solid">
        <fgColor theme="9"/>
        <bgColor indexed="64"/>
      </patternFill>
    </fill>
    <fill>
      <patternFill patternType="solid">
        <fgColor theme="2" tint="-9.9978637043366805E-2"/>
        <bgColor indexed="64"/>
      </patternFill>
    </fill>
    <fill>
      <patternFill patternType="solid">
        <fgColor theme="7" tint="0.59999389629810485"/>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
      <left/>
      <right style="thin">
        <color indexed="64"/>
      </right>
      <top style="medium">
        <color indexed="64"/>
      </top>
      <bottom style="medium">
        <color indexed="64"/>
      </bottom>
      <diagonal/>
    </border>
    <border>
      <left/>
      <right/>
      <top style="medium">
        <color rgb="FFFFFFFF"/>
      </top>
      <bottom/>
      <diagonal/>
    </border>
    <border>
      <left/>
      <right/>
      <top/>
      <bottom style="thin">
        <color rgb="FFCCCCCC"/>
      </bottom>
      <diagonal/>
    </border>
    <border>
      <left style="thin">
        <color rgb="FFAAAAAA"/>
      </left>
      <right style="thin">
        <color rgb="FFAAAAAA"/>
      </right>
      <top style="thin">
        <color rgb="FFCCCCCC"/>
      </top>
      <bottom/>
      <diagonal/>
    </border>
    <border>
      <left style="thin">
        <color rgb="FFAAAAAA"/>
      </left>
      <right style="thin">
        <color rgb="FFAAAAAA"/>
      </right>
      <top style="thin">
        <color rgb="FFCCCCCC"/>
      </top>
      <bottom style="thin">
        <color rgb="FFCCCCCC"/>
      </bottom>
      <diagonal/>
    </border>
    <border>
      <left style="thin">
        <color rgb="FFAAAAAA"/>
      </left>
      <right style="thin">
        <color rgb="FFAAAAAA"/>
      </right>
      <top/>
      <bottom style="thin">
        <color rgb="FFCCCCCC"/>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75">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center" wrapText="1"/>
    </xf>
    <xf numFmtId="0" fontId="3" fillId="0" borderId="0" xfId="0" applyFont="1" applyAlignment="1">
      <alignment horizontal="center"/>
    </xf>
    <xf numFmtId="0" fontId="4" fillId="0" borderId="9" xfId="0" applyFont="1" applyBorder="1" applyAlignment="1">
      <alignment horizontal="center" wrapText="1"/>
    </xf>
    <xf numFmtId="0" fontId="4" fillId="0" borderId="9" xfId="0" applyFont="1" applyBorder="1" applyAlignment="1">
      <alignment horizontal="center"/>
    </xf>
    <xf numFmtId="0" fontId="4" fillId="0" borderId="10" xfId="0" applyFont="1" applyBorder="1" applyAlignment="1">
      <alignment horizontal="center"/>
    </xf>
    <xf numFmtId="0" fontId="5" fillId="2" borderId="0" xfId="0" applyFont="1" applyFill="1" applyAlignment="1">
      <alignment wrapText="1"/>
    </xf>
    <xf numFmtId="0" fontId="5" fillId="2" borderId="0" xfId="0" applyFont="1" applyFill="1"/>
    <xf numFmtId="0" fontId="5" fillId="2" borderId="5" xfId="0" applyFont="1" applyFill="1" applyBorder="1"/>
    <xf numFmtId="0" fontId="5" fillId="2" borderId="1" xfId="0" applyFont="1" applyFill="1" applyBorder="1" applyAlignment="1">
      <alignment wrapText="1"/>
    </xf>
    <xf numFmtId="0" fontId="5" fillId="2" borderId="2" xfId="0" applyFont="1" applyFill="1" applyBorder="1" applyAlignment="1">
      <alignment wrapText="1"/>
    </xf>
    <xf numFmtId="0" fontId="5" fillId="2" borderId="2" xfId="0" applyFont="1" applyFill="1" applyBorder="1"/>
    <xf numFmtId="0" fontId="5" fillId="2" borderId="3" xfId="0" applyFont="1" applyFill="1" applyBorder="1"/>
    <xf numFmtId="0" fontId="5" fillId="2" borderId="4" xfId="0" applyFont="1" applyFill="1" applyBorder="1" applyAlignment="1">
      <alignment wrapText="1"/>
    </xf>
    <xf numFmtId="0" fontId="5" fillId="2" borderId="6" xfId="0" applyFont="1" applyFill="1" applyBorder="1" applyAlignment="1">
      <alignment wrapText="1"/>
    </xf>
    <xf numFmtId="0" fontId="5" fillId="2" borderId="7" xfId="0" applyFont="1" applyFill="1" applyBorder="1" applyAlignment="1">
      <alignment wrapText="1"/>
    </xf>
    <xf numFmtId="0" fontId="5" fillId="2" borderId="7" xfId="0" applyFont="1" applyFill="1" applyBorder="1"/>
    <xf numFmtId="0" fontId="5" fillId="2" borderId="8" xfId="0" applyFont="1" applyFill="1" applyBorder="1"/>
    <xf numFmtId="0" fontId="5" fillId="3" borderId="2" xfId="0" applyFont="1" applyFill="1" applyBorder="1" applyAlignment="1">
      <alignment wrapText="1"/>
    </xf>
    <xf numFmtId="0" fontId="5" fillId="3" borderId="2" xfId="0" applyFont="1" applyFill="1" applyBorder="1"/>
    <xf numFmtId="0" fontId="5" fillId="3" borderId="3" xfId="0" applyFont="1" applyFill="1" applyBorder="1"/>
    <xf numFmtId="0" fontId="5" fillId="3" borderId="1" xfId="0" applyFont="1" applyFill="1" applyBorder="1" applyAlignment="1">
      <alignment wrapText="1"/>
    </xf>
    <xf numFmtId="0" fontId="5" fillId="3" borderId="4" xfId="0" applyFont="1" applyFill="1" applyBorder="1" applyAlignment="1">
      <alignment wrapText="1"/>
    </xf>
    <xf numFmtId="0" fontId="5" fillId="3" borderId="0" xfId="0" applyFont="1" applyFill="1" applyAlignment="1">
      <alignment wrapText="1"/>
    </xf>
    <xf numFmtId="0" fontId="5" fillId="3" borderId="0" xfId="0" applyFont="1" applyFill="1"/>
    <xf numFmtId="0" fontId="5" fillId="3" borderId="5" xfId="0" applyFont="1" applyFill="1" applyBorder="1"/>
    <xf numFmtId="0" fontId="5" fillId="3" borderId="6" xfId="0" applyFont="1" applyFill="1" applyBorder="1" applyAlignment="1">
      <alignment wrapText="1"/>
    </xf>
    <xf numFmtId="0" fontId="5" fillId="3" borderId="7" xfId="0" applyFont="1" applyFill="1" applyBorder="1" applyAlignment="1">
      <alignment wrapText="1"/>
    </xf>
    <xf numFmtId="0" fontId="5" fillId="3" borderId="7" xfId="0" applyFont="1" applyFill="1" applyBorder="1"/>
    <xf numFmtId="0" fontId="5" fillId="3" borderId="8" xfId="0" applyFont="1" applyFill="1" applyBorder="1"/>
    <xf numFmtId="0" fontId="5" fillId="4" borderId="2" xfId="0" applyFont="1" applyFill="1" applyBorder="1" applyAlignment="1">
      <alignment wrapText="1"/>
    </xf>
    <xf numFmtId="0" fontId="5" fillId="4" borderId="2" xfId="0" applyFont="1" applyFill="1" applyBorder="1"/>
    <xf numFmtId="0" fontId="5" fillId="4" borderId="3" xfId="0" applyFont="1" applyFill="1" applyBorder="1"/>
    <xf numFmtId="0" fontId="5" fillId="4" borderId="1" xfId="0" applyFont="1" applyFill="1" applyBorder="1" applyAlignment="1">
      <alignment wrapText="1"/>
    </xf>
    <xf numFmtId="0" fontId="5" fillId="4" borderId="4" xfId="0" applyFont="1" applyFill="1" applyBorder="1" applyAlignment="1">
      <alignment wrapText="1"/>
    </xf>
    <xf numFmtId="0" fontId="5" fillId="4" borderId="0" xfId="0" applyFont="1" applyFill="1" applyAlignment="1">
      <alignment wrapText="1"/>
    </xf>
    <xf numFmtId="0" fontId="5" fillId="4" borderId="0" xfId="0" applyFont="1" applyFill="1"/>
    <xf numFmtId="0" fontId="5" fillId="4" borderId="5" xfId="0" applyFont="1" applyFill="1" applyBorder="1"/>
    <xf numFmtId="0" fontId="5" fillId="4" borderId="6" xfId="0" applyFont="1" applyFill="1" applyBorder="1" applyAlignment="1">
      <alignment wrapText="1"/>
    </xf>
    <xf numFmtId="0" fontId="5" fillId="4" borderId="7" xfId="0" applyFont="1" applyFill="1" applyBorder="1" applyAlignment="1">
      <alignment wrapText="1"/>
    </xf>
    <xf numFmtId="0" fontId="5" fillId="4" borderId="7" xfId="0" applyFont="1" applyFill="1" applyBorder="1"/>
    <xf numFmtId="0" fontId="5" fillId="4" borderId="8" xfId="0" applyFont="1" applyFill="1" applyBorder="1"/>
    <xf numFmtId="0" fontId="5" fillId="5" borderId="2" xfId="0" applyFont="1" applyFill="1" applyBorder="1" applyAlignment="1">
      <alignment wrapText="1"/>
    </xf>
    <xf numFmtId="0" fontId="5" fillId="5" borderId="2" xfId="0" applyFont="1" applyFill="1" applyBorder="1"/>
    <xf numFmtId="0" fontId="5" fillId="5" borderId="3" xfId="0" applyFont="1" applyFill="1" applyBorder="1"/>
    <xf numFmtId="0" fontId="5" fillId="5" borderId="1" xfId="0" applyFont="1" applyFill="1" applyBorder="1" applyAlignment="1">
      <alignment wrapText="1"/>
    </xf>
    <xf numFmtId="0" fontId="5" fillId="5" borderId="4" xfId="0" applyFont="1" applyFill="1" applyBorder="1" applyAlignment="1">
      <alignment wrapText="1"/>
    </xf>
    <xf numFmtId="0" fontId="5" fillId="5" borderId="0" xfId="0" applyFont="1" applyFill="1" applyAlignment="1">
      <alignment wrapText="1"/>
    </xf>
    <xf numFmtId="0" fontId="5" fillId="5" borderId="0" xfId="0" applyFont="1" applyFill="1"/>
    <xf numFmtId="0" fontId="5" fillId="5" borderId="5" xfId="0" applyFont="1" applyFill="1" applyBorder="1"/>
    <xf numFmtId="0" fontId="5" fillId="5" borderId="5" xfId="0" applyFont="1" applyFill="1" applyBorder="1" applyAlignment="1">
      <alignment wrapText="1"/>
    </xf>
    <xf numFmtId="0" fontId="5" fillId="5" borderId="6" xfId="0" applyFont="1" applyFill="1" applyBorder="1" applyAlignment="1">
      <alignment wrapText="1"/>
    </xf>
    <xf numFmtId="0" fontId="5" fillId="5" borderId="7" xfId="0" applyFont="1" applyFill="1" applyBorder="1" applyAlignment="1">
      <alignment wrapText="1"/>
    </xf>
    <xf numFmtId="0" fontId="5" fillId="5" borderId="7" xfId="0" applyFont="1" applyFill="1" applyBorder="1"/>
    <xf numFmtId="0" fontId="5" fillId="5" borderId="8" xfId="0" applyFont="1" applyFill="1" applyBorder="1"/>
    <xf numFmtId="0" fontId="5" fillId="2" borderId="0" xfId="0" applyFont="1" applyFill="1" applyAlignment="1">
      <alignment horizontal="center" wrapText="1"/>
    </xf>
    <xf numFmtId="0" fontId="5"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xf>
    <xf numFmtId="0" fontId="5" fillId="0" borderId="0" xfId="0" applyFont="1"/>
    <xf numFmtId="0" fontId="3" fillId="0" borderId="0" xfId="0" applyFont="1" applyAlignment="1">
      <alignment horizontal="center" wrapText="1"/>
    </xf>
    <xf numFmtId="0" fontId="2" fillId="9" borderId="16" xfId="0" applyFont="1" applyFill="1" applyBorder="1" applyAlignment="1">
      <alignment wrapText="1"/>
    </xf>
    <xf numFmtId="0" fontId="2" fillId="9" borderId="17" xfId="0" applyFont="1" applyFill="1" applyBorder="1" applyAlignment="1">
      <alignment wrapText="1"/>
    </xf>
    <xf numFmtId="0" fontId="2" fillId="6" borderId="22" xfId="0" applyFont="1" applyFill="1" applyBorder="1" applyAlignment="1">
      <alignment wrapText="1"/>
    </xf>
    <xf numFmtId="0" fontId="2" fillId="6" borderId="23" xfId="0" applyFont="1" applyFill="1" applyBorder="1" applyAlignment="1">
      <alignment wrapText="1"/>
    </xf>
    <xf numFmtId="0" fontId="2" fillId="7" borderId="22" xfId="0" applyFont="1" applyFill="1" applyBorder="1" applyAlignment="1">
      <alignment wrapText="1"/>
    </xf>
    <xf numFmtId="0" fontId="2" fillId="7" borderId="23" xfId="0" applyFont="1" applyFill="1" applyBorder="1" applyAlignment="1">
      <alignment wrapText="1"/>
    </xf>
    <xf numFmtId="0" fontId="2" fillId="9" borderId="19" xfId="0" applyFont="1" applyFill="1" applyBorder="1" applyAlignment="1">
      <alignment wrapText="1"/>
    </xf>
    <xf numFmtId="0" fontId="2" fillId="9" borderId="20" xfId="0" applyFont="1" applyFill="1" applyBorder="1" applyAlignment="1">
      <alignment wrapText="1"/>
    </xf>
    <xf numFmtId="0" fontId="2" fillId="8" borderId="9" xfId="0" applyFont="1" applyFill="1" applyBorder="1" applyAlignment="1">
      <alignment wrapText="1"/>
    </xf>
    <xf numFmtId="0" fontId="2" fillId="8" borderId="10" xfId="0" applyFont="1" applyFill="1" applyBorder="1" applyAlignment="1">
      <alignment wrapText="1"/>
    </xf>
    <xf numFmtId="0" fontId="2" fillId="8" borderId="16" xfId="0" applyFont="1" applyFill="1" applyBorder="1" applyAlignment="1">
      <alignment wrapText="1"/>
    </xf>
    <xf numFmtId="0" fontId="2" fillId="8" borderId="17" xfId="0" applyFont="1" applyFill="1" applyBorder="1" applyAlignment="1">
      <alignment wrapText="1"/>
    </xf>
    <xf numFmtId="0" fontId="2" fillId="6" borderId="21"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6" fillId="0" borderId="21" xfId="0" applyFont="1" applyBorder="1" applyAlignment="1">
      <alignment horizontal="center" wrapText="1"/>
    </xf>
    <xf numFmtId="0" fontId="6" fillId="0" borderId="23" xfId="0" applyFont="1" applyBorder="1" applyAlignment="1">
      <alignment horizontal="center" wrapText="1"/>
    </xf>
    <xf numFmtId="0" fontId="0" fillId="9" borderId="14" xfId="0" applyFill="1" applyBorder="1" applyAlignment="1">
      <alignment wrapText="1"/>
    </xf>
    <xf numFmtId="0" fontId="0" fillId="8" borderId="14" xfId="0" applyFill="1" applyBorder="1" applyAlignment="1">
      <alignment wrapText="1"/>
    </xf>
    <xf numFmtId="0" fontId="0" fillId="8" borderId="17" xfId="0" applyFill="1" applyBorder="1" applyAlignment="1">
      <alignment wrapText="1"/>
    </xf>
    <xf numFmtId="0" fontId="0" fillId="0" borderId="0" xfId="0" applyAlignment="1">
      <alignment horizontal="center" vertical="center" wrapText="1"/>
    </xf>
    <xf numFmtId="0" fontId="0" fillId="0" borderId="0" xfId="0" applyAlignment="1">
      <alignment wrapText="1"/>
    </xf>
    <xf numFmtId="0" fontId="6" fillId="0" borderId="26" xfId="0" applyFont="1" applyBorder="1" applyAlignment="1">
      <alignment horizontal="center" wrapText="1"/>
    </xf>
    <xf numFmtId="0" fontId="6" fillId="0" borderId="30" xfId="0" applyFont="1" applyBorder="1" applyAlignment="1">
      <alignment horizontal="center" wrapText="1"/>
    </xf>
    <xf numFmtId="0" fontId="0" fillId="2" borderId="14" xfId="0" applyFill="1" applyBorder="1" applyAlignment="1">
      <alignment wrapText="1"/>
    </xf>
    <xf numFmtId="0" fontId="0" fillId="7" borderId="14" xfId="0" applyFill="1" applyBorder="1" applyAlignment="1">
      <alignment wrapText="1"/>
    </xf>
    <xf numFmtId="0" fontId="0" fillId="7" borderId="17" xfId="0" applyFill="1" applyBorder="1" applyAlignment="1">
      <alignment wrapText="1"/>
    </xf>
    <xf numFmtId="0" fontId="6" fillId="0" borderId="33" xfId="0" applyFont="1" applyBorder="1" applyAlignment="1">
      <alignment horizontal="center" wrapText="1"/>
    </xf>
    <xf numFmtId="0" fontId="6" fillId="0" borderId="2" xfId="0" applyFont="1" applyBorder="1" applyAlignment="1">
      <alignment horizontal="center" wrapText="1"/>
    </xf>
    <xf numFmtId="0" fontId="0" fillId="7" borderId="0" xfId="0" applyFill="1" applyAlignment="1">
      <alignment horizontal="center" vertical="center" wrapText="1"/>
    </xf>
    <xf numFmtId="0" fontId="0" fillId="7" borderId="34" xfId="0" applyFill="1" applyBorder="1" applyAlignment="1">
      <alignment horizontal="center" vertical="center" wrapText="1"/>
    </xf>
    <xf numFmtId="0" fontId="0" fillId="7" borderId="35" xfId="0" applyFill="1" applyBorder="1" applyAlignment="1">
      <alignment horizontal="center" vertical="center" wrapText="1"/>
    </xf>
    <xf numFmtId="0" fontId="0" fillId="8" borderId="34" xfId="0" applyFill="1" applyBorder="1" applyAlignment="1">
      <alignment horizontal="center" vertical="center" wrapText="1"/>
    </xf>
    <xf numFmtId="0" fontId="0" fillId="9" borderId="12" xfId="0" applyFill="1" applyBorder="1" applyAlignment="1">
      <alignment horizontal="center" vertical="center" wrapText="1"/>
    </xf>
    <xf numFmtId="0" fontId="0" fillId="8" borderId="12" xfId="0" applyFill="1" applyBorder="1" applyAlignment="1">
      <alignment horizontal="center" vertical="center" wrapText="1"/>
    </xf>
    <xf numFmtId="0" fontId="0" fillId="9" borderId="9" xfId="0" applyFill="1" applyBorder="1" applyAlignment="1">
      <alignment horizontal="center" vertical="center" wrapText="1"/>
    </xf>
    <xf numFmtId="0" fontId="0" fillId="9" borderId="10" xfId="0" applyFill="1" applyBorder="1" applyAlignment="1">
      <alignment wrapText="1"/>
    </xf>
    <xf numFmtId="0" fontId="0" fillId="8" borderId="16" xfId="0" applyFill="1" applyBorder="1" applyAlignment="1">
      <alignment horizontal="center" vertical="center" wrapText="1"/>
    </xf>
    <xf numFmtId="0" fontId="0" fillId="8" borderId="35"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wrapText="1"/>
    </xf>
    <xf numFmtId="0" fontId="0" fillId="2" borderId="17" xfId="0" applyFill="1" applyBorder="1" applyAlignment="1">
      <alignment wrapText="1"/>
    </xf>
    <xf numFmtId="0" fontId="0" fillId="9" borderId="16" xfId="0" applyFill="1" applyBorder="1" applyAlignment="1">
      <alignment horizontal="center" vertical="center" wrapText="1"/>
    </xf>
    <xf numFmtId="0" fontId="0" fillId="9" borderId="17" xfId="0" applyFill="1" applyBorder="1" applyAlignment="1">
      <alignment wrapText="1"/>
    </xf>
    <xf numFmtId="0" fontId="0" fillId="2" borderId="16" xfId="0" applyFill="1" applyBorder="1" applyAlignment="1">
      <alignment horizontal="center" vertical="center" wrapText="1"/>
    </xf>
    <xf numFmtId="0" fontId="0" fillId="7" borderId="20" xfId="0" applyFill="1" applyBorder="1" applyAlignment="1">
      <alignment wrapText="1"/>
    </xf>
    <xf numFmtId="0" fontId="0" fillId="8" borderId="19" xfId="0" applyFill="1" applyBorder="1" applyAlignment="1">
      <alignment horizontal="center" vertical="center" wrapText="1"/>
    </xf>
    <xf numFmtId="0" fontId="0" fillId="8" borderId="20" xfId="0" applyFill="1" applyBorder="1" applyAlignment="1">
      <alignment wrapText="1"/>
    </xf>
    <xf numFmtId="0" fontId="0" fillId="7" borderId="36" xfId="0" applyFill="1" applyBorder="1" applyAlignment="1">
      <alignment horizontal="center" vertical="center" wrapText="1"/>
    </xf>
    <xf numFmtId="0" fontId="0" fillId="8" borderId="36" xfId="0" applyFill="1" applyBorder="1" applyAlignment="1">
      <alignment horizontal="center" vertical="center" wrapText="1"/>
    </xf>
    <xf numFmtId="0" fontId="6" fillId="0" borderId="22" xfId="0" applyFont="1" applyBorder="1" applyAlignment="1">
      <alignment horizontal="center" wrapText="1"/>
    </xf>
    <xf numFmtId="0" fontId="6" fillId="0" borderId="37" xfId="0" applyFont="1" applyBorder="1" applyAlignment="1">
      <alignment horizontal="center" wrapText="1"/>
    </xf>
    <xf numFmtId="0" fontId="15" fillId="0" borderId="0" xfId="0" applyFont="1" applyAlignment="1">
      <alignment horizontal="center"/>
    </xf>
    <xf numFmtId="0" fontId="16" fillId="0" borderId="43" xfId="0" applyFont="1" applyBorder="1" applyAlignment="1">
      <alignment horizontal="center" wrapText="1"/>
    </xf>
    <xf numFmtId="0" fontId="16" fillId="0" borderId="9" xfId="0" applyFont="1" applyBorder="1" applyAlignment="1">
      <alignment horizontal="center" wrapText="1"/>
    </xf>
    <xf numFmtId="0" fontId="16" fillId="0" borderId="10" xfId="0" applyFont="1" applyBorder="1" applyAlignment="1">
      <alignment horizontal="center" wrapText="1"/>
    </xf>
    <xf numFmtId="0" fontId="17" fillId="0" borderId="13" xfId="0" applyFont="1" applyBorder="1" applyAlignment="1">
      <alignment horizontal="left" vertical="top" wrapText="1"/>
    </xf>
    <xf numFmtId="0" fontId="17" fillId="0" borderId="12" xfId="0" applyFont="1" applyBorder="1" applyAlignment="1">
      <alignment wrapText="1"/>
    </xf>
    <xf numFmtId="0" fontId="17" fillId="0" borderId="12" xfId="0" applyFont="1" applyBorder="1" applyAlignment="1">
      <alignment horizontal="left" vertical="top" wrapText="1"/>
    </xf>
    <xf numFmtId="0" fontId="17" fillId="0" borderId="14" xfId="0" applyFont="1" applyBorder="1" applyAlignment="1">
      <alignment horizontal="left" vertical="top"/>
    </xf>
    <xf numFmtId="0" fontId="17" fillId="0" borderId="13" xfId="0" applyFont="1" applyBorder="1" applyAlignment="1">
      <alignment wrapText="1"/>
    </xf>
    <xf numFmtId="0" fontId="17" fillId="0" borderId="14" xfId="0" applyFont="1" applyBorder="1"/>
    <xf numFmtId="0" fontId="17" fillId="0" borderId="14" xfId="0" applyFont="1" applyBorder="1" applyAlignment="1">
      <alignment wrapText="1"/>
    </xf>
    <xf numFmtId="0" fontId="17" fillId="0" borderId="12" xfId="0" applyFont="1" applyBorder="1" applyAlignment="1">
      <alignment vertical="top" wrapText="1"/>
    </xf>
    <xf numFmtId="0" fontId="17" fillId="0" borderId="13" xfId="0" applyFont="1" applyBorder="1"/>
    <xf numFmtId="0" fontId="17" fillId="0" borderId="12" xfId="0" applyFont="1" applyBorder="1"/>
    <xf numFmtId="0" fontId="18" fillId="0" borderId="12" xfId="0" applyFont="1" applyBorder="1" applyAlignment="1">
      <alignment wrapText="1"/>
    </xf>
    <xf numFmtId="0" fontId="18" fillId="0" borderId="13" xfId="0" applyFont="1" applyBorder="1"/>
    <xf numFmtId="0" fontId="17" fillId="0" borderId="15" xfId="0" applyFont="1" applyBorder="1" applyAlignment="1">
      <alignment wrapText="1"/>
    </xf>
    <xf numFmtId="0" fontId="17" fillId="0" borderId="16" xfId="0" applyFont="1" applyBorder="1" applyAlignment="1">
      <alignment wrapText="1"/>
    </xf>
    <xf numFmtId="0" fontId="17" fillId="0" borderId="17" xfId="0" applyFont="1" applyBorder="1"/>
    <xf numFmtId="0" fontId="1" fillId="0" borderId="0" xfId="0" applyFont="1" applyAlignment="1">
      <alignment wrapText="1"/>
    </xf>
    <xf numFmtId="0" fontId="1" fillId="0" borderId="0" xfId="0" applyFont="1"/>
    <xf numFmtId="0" fontId="1" fillId="0" borderId="12" xfId="0" applyFont="1" applyBorder="1" applyAlignment="1">
      <alignment wrapText="1"/>
    </xf>
    <xf numFmtId="0" fontId="1" fillId="0" borderId="12" xfId="0" applyFont="1" applyBorder="1"/>
    <xf numFmtId="0" fontId="1" fillId="0" borderId="19" xfId="0" applyFont="1" applyBorder="1" applyAlignment="1">
      <alignment wrapText="1"/>
    </xf>
    <xf numFmtId="0" fontId="11" fillId="0" borderId="41" xfId="0" applyFont="1" applyBorder="1" applyAlignment="1">
      <alignment horizontal="center" vertical="center" wrapText="1"/>
    </xf>
    <xf numFmtId="0" fontId="10" fillId="0" borderId="41" xfId="0" applyFont="1" applyBorder="1" applyAlignment="1">
      <alignment horizontal="center" vertical="top" wrapText="1"/>
    </xf>
    <xf numFmtId="0" fontId="11" fillId="0" borderId="41" xfId="0" applyFont="1" applyBorder="1" applyAlignment="1">
      <alignment horizontal="left" vertical="top" wrapText="1"/>
    </xf>
    <xf numFmtId="0" fontId="11" fillId="0" borderId="41" xfId="0" applyFont="1" applyBorder="1" applyAlignment="1">
      <alignment horizontal="center" vertical="top" wrapText="1"/>
    </xf>
    <xf numFmtId="0" fontId="12" fillId="0" borderId="41" xfId="0" applyFont="1" applyBorder="1" applyAlignment="1">
      <alignment horizontal="left" vertical="top" wrapText="1"/>
    </xf>
    <xf numFmtId="0" fontId="10" fillId="0" borderId="41" xfId="0" applyFont="1" applyBorder="1" applyAlignment="1">
      <alignment horizontal="center" vertical="center" wrapText="1"/>
    </xf>
    <xf numFmtId="0" fontId="10" fillId="0" borderId="41" xfId="0" applyFont="1" applyBorder="1" applyAlignment="1">
      <alignment horizontal="left" vertical="top" wrapText="1"/>
    </xf>
    <xf numFmtId="0" fontId="13" fillId="0" borderId="41" xfId="0" applyFont="1" applyBorder="1" applyAlignment="1">
      <alignment horizontal="center" vertical="top" wrapText="1"/>
    </xf>
    <xf numFmtId="0" fontId="13" fillId="0" borderId="41" xfId="0" applyFont="1" applyBorder="1" applyAlignment="1">
      <alignment horizontal="center" vertical="center" wrapText="1"/>
    </xf>
    <xf numFmtId="0" fontId="10" fillId="11" borderId="41" xfId="0" applyFont="1" applyFill="1" applyBorder="1" applyAlignment="1">
      <alignment horizontal="center" vertical="top" wrapText="1"/>
    </xf>
    <xf numFmtId="0" fontId="0" fillId="12" borderId="12" xfId="0" applyFill="1" applyBorder="1" applyAlignment="1">
      <alignment wrapText="1"/>
    </xf>
    <xf numFmtId="0" fontId="0" fillId="13" borderId="12" xfId="0" applyFill="1" applyBorder="1" applyAlignment="1">
      <alignment wrapText="1"/>
    </xf>
    <xf numFmtId="0" fontId="0" fillId="12" borderId="16" xfId="0" applyFill="1" applyBorder="1" applyAlignment="1">
      <alignment wrapText="1"/>
    </xf>
    <xf numFmtId="0" fontId="0" fillId="11" borderId="19" xfId="0" applyFill="1" applyBorder="1" applyAlignment="1">
      <alignment wrapText="1"/>
    </xf>
    <xf numFmtId="0" fontId="0" fillId="9" borderId="19" xfId="0" applyFill="1" applyBorder="1" applyAlignment="1">
      <alignment wrapText="1"/>
    </xf>
    <xf numFmtId="0" fontId="0" fillId="9" borderId="12" xfId="0" applyFill="1" applyBorder="1" applyAlignment="1">
      <alignment wrapText="1"/>
    </xf>
    <xf numFmtId="0" fontId="0" fillId="9" borderId="20" xfId="0" applyFill="1" applyBorder="1" applyAlignment="1">
      <alignment wrapText="1"/>
    </xf>
    <xf numFmtId="0" fontId="0" fillId="14" borderId="12" xfId="0" applyFill="1" applyBorder="1" applyAlignment="1">
      <alignment wrapText="1"/>
    </xf>
    <xf numFmtId="0" fontId="0" fillId="14" borderId="14" xfId="0" applyFill="1" applyBorder="1" applyAlignment="1">
      <alignment wrapText="1"/>
    </xf>
    <xf numFmtId="0" fontId="0" fillId="3" borderId="12" xfId="0" applyFill="1" applyBorder="1" applyAlignment="1">
      <alignment wrapText="1"/>
    </xf>
    <xf numFmtId="0" fontId="0" fillId="3" borderId="14" xfId="0" applyFill="1" applyBorder="1" applyAlignment="1">
      <alignment wrapText="1"/>
    </xf>
    <xf numFmtId="0" fontId="0" fillId="2" borderId="12" xfId="0" applyFill="1" applyBorder="1" applyAlignment="1">
      <alignment wrapText="1"/>
    </xf>
    <xf numFmtId="0" fontId="0" fillId="15" borderId="12" xfId="0" applyFill="1" applyBorder="1" applyAlignment="1">
      <alignment wrapText="1"/>
    </xf>
    <xf numFmtId="0" fontId="0" fillId="15" borderId="16" xfId="0" applyFill="1" applyBorder="1" applyAlignment="1">
      <alignment wrapText="1"/>
    </xf>
    <xf numFmtId="0" fontId="0" fillId="15" borderId="14" xfId="0" applyFill="1" applyBorder="1" applyAlignment="1">
      <alignment wrapText="1"/>
    </xf>
    <xf numFmtId="0" fontId="0" fillId="15" borderId="17" xfId="0" applyFill="1" applyBorder="1" applyAlignment="1">
      <alignment wrapText="1"/>
    </xf>
    <xf numFmtId="0" fontId="6" fillId="0" borderId="23" xfId="0" applyFont="1" applyBorder="1" applyAlignment="1">
      <alignment horizontal="left" wrapText="1"/>
    </xf>
    <xf numFmtId="0" fontId="19" fillId="0" borderId="12" xfId="0" applyFont="1" applyBorder="1" applyAlignment="1">
      <alignment vertical="center" wrapText="1"/>
    </xf>
    <xf numFmtId="0" fontId="19" fillId="0" borderId="14" xfId="0" applyFont="1" applyBorder="1" applyAlignment="1">
      <alignment vertical="center" wrapText="1"/>
    </xf>
    <xf numFmtId="0" fontId="19" fillId="0" borderId="16" xfId="0" applyFont="1" applyBorder="1" applyAlignment="1">
      <alignment vertical="center" wrapText="1"/>
    </xf>
    <xf numFmtId="0" fontId="19" fillId="0" borderId="17" xfId="0" applyFont="1" applyBorder="1" applyAlignment="1">
      <alignment vertical="center" wrapText="1"/>
    </xf>
    <xf numFmtId="0" fontId="19" fillId="0" borderId="19" xfId="0" applyFont="1" applyBorder="1" applyAlignment="1">
      <alignment vertical="center" wrapText="1"/>
    </xf>
    <xf numFmtId="0" fontId="19" fillId="0" borderId="20" xfId="0" applyFont="1" applyBorder="1" applyAlignment="1">
      <alignment vertical="center" wrapText="1"/>
    </xf>
    <xf numFmtId="0" fontId="19" fillId="0" borderId="29" xfId="0" applyFont="1" applyBorder="1" applyAlignment="1">
      <alignment vertical="center" wrapText="1"/>
    </xf>
    <xf numFmtId="0" fontId="19" fillId="0" borderId="31" xfId="0" applyFont="1" applyBorder="1" applyAlignment="1">
      <alignment vertical="center" wrapText="1"/>
    </xf>
    <xf numFmtId="0" fontId="19" fillId="0" borderId="32" xfId="0" applyFont="1" applyBorder="1" applyAlignment="1">
      <alignment vertical="center" wrapText="1"/>
    </xf>
    <xf numFmtId="0" fontId="20" fillId="0" borderId="44"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45" xfId="0" applyFont="1" applyBorder="1" applyAlignment="1">
      <alignment vertical="center" wrapText="1"/>
    </xf>
    <xf numFmtId="0" fontId="20" fillId="0" borderId="46" xfId="0" applyFont="1" applyBorder="1" applyAlignment="1">
      <alignment vertical="center" wrapText="1"/>
    </xf>
    <xf numFmtId="0" fontId="20" fillId="0" borderId="47" xfId="0" applyFont="1" applyBorder="1" applyAlignment="1">
      <alignment vertical="center" wrapText="1"/>
    </xf>
    <xf numFmtId="0" fontId="21" fillId="0" borderId="0" xfId="0" applyFont="1"/>
    <xf numFmtId="0" fontId="5" fillId="3" borderId="1"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6"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7"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7"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6"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6" xfId="0" applyFont="1" applyFill="1" applyBorder="1" applyAlignment="1">
      <alignment horizontal="center" vertical="center"/>
    </xf>
    <xf numFmtId="0" fontId="1" fillId="5" borderId="2"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7"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7"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6"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7" xfId="0" applyFont="1" applyFill="1" applyBorder="1" applyAlignment="1">
      <alignment horizontal="center" vertical="center" wrapText="1"/>
    </xf>
    <xf numFmtId="0" fontId="3" fillId="0" borderId="21" xfId="0" applyFont="1" applyBorder="1" applyAlignment="1">
      <alignment horizontal="center" wrapText="1"/>
    </xf>
    <xf numFmtId="0" fontId="3" fillId="0" borderId="22" xfId="0" applyFont="1" applyBorder="1" applyAlignment="1">
      <alignment horizontal="center" wrapText="1"/>
    </xf>
    <xf numFmtId="0" fontId="3" fillId="0" borderId="23" xfId="0" applyFont="1" applyBorder="1" applyAlignment="1">
      <alignment horizontal="center" wrapText="1"/>
    </xf>
    <xf numFmtId="0" fontId="2" fillId="8" borderId="24" xfId="0" applyFont="1" applyFill="1" applyBorder="1" applyAlignment="1">
      <alignment horizontal="center" vertical="center" wrapText="1"/>
    </xf>
    <xf numFmtId="0" fontId="2" fillId="8" borderId="25" xfId="0" applyFont="1" applyFill="1" applyBorder="1" applyAlignment="1">
      <alignment horizontal="center" vertical="center" wrapText="1"/>
    </xf>
    <xf numFmtId="0" fontId="2" fillId="8" borderId="26" xfId="0" applyFont="1" applyFill="1" applyBorder="1" applyAlignment="1">
      <alignment horizontal="center" vertical="center" wrapText="1"/>
    </xf>
    <xf numFmtId="0" fontId="2" fillId="8" borderId="27" xfId="0" applyFont="1" applyFill="1" applyBorder="1" applyAlignment="1">
      <alignment horizontal="center" vertical="center" wrapText="1"/>
    </xf>
    <xf numFmtId="0" fontId="2" fillId="9" borderId="26" xfId="0" applyFont="1" applyFill="1" applyBorder="1" applyAlignment="1">
      <alignment horizontal="center" vertical="center" wrapText="1"/>
    </xf>
    <xf numFmtId="0" fontId="2" fillId="9" borderId="27" xfId="0" applyFont="1" applyFill="1" applyBorder="1" applyAlignment="1">
      <alignment horizontal="center" vertical="center" wrapText="1"/>
    </xf>
    <xf numFmtId="0" fontId="2" fillId="9" borderId="24" xfId="0" applyFont="1" applyFill="1" applyBorder="1" applyAlignment="1">
      <alignment horizontal="center" vertical="center" wrapText="1"/>
    </xf>
    <xf numFmtId="0" fontId="2" fillId="9" borderId="25" xfId="0" applyFont="1" applyFill="1" applyBorder="1" applyAlignment="1">
      <alignment horizontal="center" vertical="center" wrapText="1"/>
    </xf>
    <xf numFmtId="0" fontId="0" fillId="2" borderId="26"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27" xfId="0" applyFill="1" applyBorder="1" applyAlignment="1">
      <alignment horizontal="center" vertical="center" wrapText="1"/>
    </xf>
    <xf numFmtId="0" fontId="0" fillId="7" borderId="13" xfId="0" applyFill="1" applyBorder="1" applyAlignment="1">
      <alignment horizontal="center" vertical="center" wrapText="1"/>
    </xf>
    <xf numFmtId="0" fontId="0" fillId="7" borderId="15" xfId="0" applyFill="1" applyBorder="1" applyAlignment="1">
      <alignment horizontal="center" vertical="center" wrapText="1"/>
    </xf>
    <xf numFmtId="0" fontId="0" fillId="0" borderId="0" xfId="0" applyAlignment="1">
      <alignment horizontal="center" vertical="center" wrapText="1"/>
    </xf>
    <xf numFmtId="0" fontId="0" fillId="7" borderId="18" xfId="0" applyFill="1" applyBorder="1" applyAlignment="1">
      <alignment horizontal="center" vertical="center" wrapText="1"/>
    </xf>
    <xf numFmtId="0" fontId="0" fillId="7" borderId="29" xfId="0" applyFill="1" applyBorder="1" applyAlignment="1">
      <alignment horizontal="center" vertical="center" wrapText="1"/>
    </xf>
    <xf numFmtId="0" fontId="0" fillId="7" borderId="31" xfId="0" applyFill="1" applyBorder="1" applyAlignment="1">
      <alignment horizontal="center" vertical="center" wrapText="1"/>
    </xf>
    <xf numFmtId="0" fontId="0" fillId="7" borderId="32" xfId="0" applyFill="1" applyBorder="1" applyAlignment="1">
      <alignment horizontal="center" vertical="center" wrapText="1"/>
    </xf>
    <xf numFmtId="0" fontId="0" fillId="9" borderId="26" xfId="0" applyFill="1" applyBorder="1" applyAlignment="1">
      <alignment horizontal="center" vertical="center" wrapText="1"/>
    </xf>
    <xf numFmtId="0" fontId="0" fillId="9" borderId="28" xfId="0" applyFill="1" applyBorder="1" applyAlignment="1">
      <alignment horizontal="center" vertical="center" wrapText="1"/>
    </xf>
    <xf numFmtId="0" fontId="0" fillId="9" borderId="27" xfId="0" applyFill="1" applyBorder="1" applyAlignment="1">
      <alignment horizontal="center" vertical="center" wrapText="1"/>
    </xf>
    <xf numFmtId="0" fontId="0" fillId="8" borderId="18"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5" xfId="0" applyFill="1" applyBorder="1" applyAlignment="1">
      <alignment horizontal="center" vertical="center" wrapText="1"/>
    </xf>
    <xf numFmtId="0" fontId="0" fillId="7" borderId="28" xfId="0" applyFill="1" applyBorder="1" applyAlignment="1">
      <alignment horizontal="center" vertical="center" wrapText="1"/>
    </xf>
    <xf numFmtId="0" fontId="13" fillId="0" borderId="40" xfId="0" applyFont="1" applyBorder="1" applyAlignment="1">
      <alignment horizontal="center" vertical="top" wrapText="1"/>
    </xf>
    <xf numFmtId="0" fontId="13" fillId="0" borderId="42" xfId="0" applyFont="1" applyBorder="1" applyAlignment="1">
      <alignment horizontal="center" vertical="top" wrapText="1"/>
    </xf>
    <xf numFmtId="0" fontId="14" fillId="0" borderId="40" xfId="0" applyFont="1" applyBorder="1" applyAlignment="1">
      <alignment horizontal="center" vertical="top" wrapText="1"/>
    </xf>
    <xf numFmtId="0" fontId="14" fillId="0" borderId="42" xfId="0" applyFont="1" applyBorder="1" applyAlignment="1">
      <alignment horizontal="center" vertical="top" wrapText="1"/>
    </xf>
    <xf numFmtId="0" fontId="10" fillId="0" borderId="40" xfId="0" applyFont="1" applyBorder="1" applyAlignment="1">
      <alignment horizontal="center" vertical="top" wrapText="1"/>
    </xf>
    <xf numFmtId="0" fontId="10" fillId="0" borderId="42" xfId="0" applyFont="1" applyBorder="1" applyAlignment="1">
      <alignment horizontal="center" vertical="top" wrapText="1"/>
    </xf>
    <xf numFmtId="0" fontId="11" fillId="0" borderId="40" xfId="0" applyFont="1" applyBorder="1" applyAlignment="1">
      <alignment horizontal="center" vertical="top" wrapText="1"/>
    </xf>
    <xf numFmtId="0" fontId="11" fillId="0" borderId="42" xfId="0" applyFont="1" applyBorder="1" applyAlignment="1">
      <alignment horizontal="center" vertical="top" wrapText="1"/>
    </xf>
    <xf numFmtId="0" fontId="0" fillId="0" borderId="39" xfId="0" applyBorder="1" applyAlignment="1">
      <alignment horizontal="center" wrapText="1"/>
    </xf>
    <xf numFmtId="0" fontId="13" fillId="0" borderId="40" xfId="0" applyFont="1" applyBorder="1" applyAlignment="1">
      <alignment horizontal="center" vertical="center" wrapText="1"/>
    </xf>
    <xf numFmtId="0" fontId="13" fillId="0" borderId="42"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2" xfId="0" applyFont="1" applyBorder="1" applyAlignment="1">
      <alignment horizontal="center" vertical="center" wrapText="1"/>
    </xf>
    <xf numFmtId="0" fontId="9" fillId="0" borderId="39" xfId="0" applyFont="1" applyBorder="1" applyAlignment="1">
      <alignment horizontal="center" vertical="center" wrapText="1"/>
    </xf>
    <xf numFmtId="0" fontId="7" fillId="10" borderId="0" xfId="0" applyFont="1" applyFill="1" applyAlignment="1">
      <alignment horizontal="center" vertical="center" wrapText="1"/>
    </xf>
    <xf numFmtId="0" fontId="0" fillId="0" borderId="0" xfId="0"/>
    <xf numFmtId="0" fontId="8" fillId="0" borderId="38"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2" xfId="0" applyFont="1" applyBorder="1" applyAlignment="1">
      <alignment horizontal="center" vertical="center" wrapText="1"/>
    </xf>
    <xf numFmtId="0" fontId="0" fillId="9" borderId="18" xfId="0" applyFill="1" applyBorder="1" applyAlignment="1">
      <alignment horizontal="center" wrapText="1"/>
    </xf>
    <xf numFmtId="0" fontId="0" fillId="9" borderId="13" xfId="0" applyFill="1" applyBorder="1" applyAlignment="1">
      <alignment horizontal="center" wrapText="1"/>
    </xf>
    <xf numFmtId="0" fontId="0" fillId="14" borderId="13" xfId="0" applyFill="1" applyBorder="1" applyAlignment="1">
      <alignment horizontal="center" wrapText="1"/>
    </xf>
    <xf numFmtId="0" fontId="0" fillId="3" borderId="13" xfId="0" applyFill="1" applyBorder="1" applyAlignment="1">
      <alignment horizontal="center" wrapText="1"/>
    </xf>
    <xf numFmtId="0" fontId="0" fillId="2" borderId="13" xfId="0" applyFill="1" applyBorder="1" applyAlignment="1">
      <alignment horizontal="center" wrapText="1"/>
    </xf>
    <xf numFmtId="0" fontId="0" fillId="15" borderId="13" xfId="0" applyFill="1" applyBorder="1" applyAlignment="1">
      <alignment horizontal="center" wrapText="1"/>
    </xf>
    <xf numFmtId="0" fontId="0" fillId="15" borderId="15" xfId="0"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BBA79-C3BA-4EAB-8C64-8F613D22984F}">
  <dimension ref="A1:G11"/>
  <sheetViews>
    <sheetView zoomScale="25" zoomScaleNormal="25" workbookViewId="0">
      <selection activeCell="B5" sqref="B5"/>
    </sheetView>
  </sheetViews>
  <sheetFormatPr defaultRowHeight="28.5"/>
  <cols>
    <col min="1" max="1" width="31" style="184" bestFit="1" customWidth="1"/>
    <col min="2" max="2" width="74.6328125" bestFit="1" customWidth="1"/>
    <col min="3" max="3" width="53.7265625" bestFit="1" customWidth="1"/>
    <col min="4" max="4" width="55.54296875" customWidth="1"/>
    <col min="5" max="5" width="70.453125" bestFit="1" customWidth="1"/>
    <col min="6" max="6" width="79.6328125" customWidth="1"/>
    <col min="7" max="7" width="71.453125" customWidth="1"/>
  </cols>
  <sheetData>
    <row r="1" spans="1:7" ht="121.5" customHeight="1" thickBot="1">
      <c r="A1" s="177" t="s">
        <v>771</v>
      </c>
      <c r="B1" s="178" t="s">
        <v>723</v>
      </c>
      <c r="C1" s="179" t="s">
        <v>772</v>
      </c>
      <c r="D1" s="179" t="s">
        <v>773</v>
      </c>
      <c r="E1" s="179" t="s">
        <v>774</v>
      </c>
      <c r="F1" s="179" t="s">
        <v>775</v>
      </c>
      <c r="G1" s="180" t="s">
        <v>776</v>
      </c>
    </row>
    <row r="2" spans="1:7" ht="183" customHeight="1">
      <c r="A2" s="181" t="s">
        <v>777</v>
      </c>
      <c r="B2" s="174" t="s">
        <v>778</v>
      </c>
      <c r="C2" s="172" t="s">
        <v>779</v>
      </c>
      <c r="D2" s="172" t="s">
        <v>780</v>
      </c>
      <c r="E2" s="172" t="s">
        <v>781</v>
      </c>
      <c r="F2" s="172" t="s">
        <v>782</v>
      </c>
      <c r="G2" s="173" t="s">
        <v>783</v>
      </c>
    </row>
    <row r="3" spans="1:7" ht="171" customHeight="1">
      <c r="A3" s="182" t="s">
        <v>784</v>
      </c>
      <c r="B3" s="175" t="s">
        <v>785</v>
      </c>
      <c r="C3" s="168" t="s">
        <v>786</v>
      </c>
      <c r="D3" s="168" t="s">
        <v>787</v>
      </c>
      <c r="E3" s="168" t="s">
        <v>788</v>
      </c>
      <c r="F3" s="168" t="s">
        <v>789</v>
      </c>
      <c r="G3" s="169" t="s">
        <v>790</v>
      </c>
    </row>
    <row r="4" spans="1:7" ht="171" customHeight="1">
      <c r="A4" s="182" t="s">
        <v>791</v>
      </c>
      <c r="B4" s="175" t="s">
        <v>792</v>
      </c>
      <c r="C4" s="168" t="s">
        <v>793</v>
      </c>
      <c r="D4" s="168" t="s">
        <v>794</v>
      </c>
      <c r="E4" s="168" t="s">
        <v>795</v>
      </c>
      <c r="F4" s="168" t="s">
        <v>796</v>
      </c>
      <c r="G4" s="169" t="s">
        <v>797</v>
      </c>
    </row>
    <row r="5" spans="1:7" ht="171" customHeight="1">
      <c r="A5" s="182" t="s">
        <v>798</v>
      </c>
      <c r="B5" s="175" t="s">
        <v>799</v>
      </c>
      <c r="C5" s="168" t="s">
        <v>800</v>
      </c>
      <c r="D5" s="168" t="s">
        <v>801</v>
      </c>
      <c r="E5" s="168" t="s">
        <v>802</v>
      </c>
      <c r="F5" s="168" t="s">
        <v>803</v>
      </c>
      <c r="G5" s="169" t="s">
        <v>804</v>
      </c>
    </row>
    <row r="6" spans="1:7" ht="153" customHeight="1">
      <c r="A6" s="182" t="s">
        <v>805</v>
      </c>
      <c r="B6" s="175" t="s">
        <v>806</v>
      </c>
      <c r="C6" s="168" t="s">
        <v>807</v>
      </c>
      <c r="D6" s="168" t="s">
        <v>808</v>
      </c>
      <c r="E6" s="168" t="s">
        <v>809</v>
      </c>
      <c r="F6" s="168" t="s">
        <v>810</v>
      </c>
      <c r="G6" s="169" t="s">
        <v>811</v>
      </c>
    </row>
    <row r="7" spans="1:7" ht="171" customHeight="1" thickBot="1">
      <c r="A7" s="183" t="s">
        <v>812</v>
      </c>
      <c r="B7" s="176" t="s">
        <v>813</v>
      </c>
      <c r="C7" s="170" t="s">
        <v>814</v>
      </c>
      <c r="D7" s="170" t="s">
        <v>815</v>
      </c>
      <c r="E7" s="170" t="s">
        <v>816</v>
      </c>
      <c r="F7" s="170" t="s">
        <v>817</v>
      </c>
      <c r="G7" s="171" t="s">
        <v>818</v>
      </c>
    </row>
    <row r="8" spans="1:7" ht="171" customHeight="1"/>
    <row r="9" spans="1:7" ht="171" customHeight="1"/>
    <row r="10" spans="1:7" ht="171" customHeight="1"/>
    <row r="11" spans="1:7" ht="171"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C5A71-8EB0-46DA-AE90-E0CC32BBB24A}">
  <dimension ref="A1:F97"/>
  <sheetViews>
    <sheetView topLeftCell="A25" zoomScale="25" zoomScaleNormal="25" workbookViewId="0">
      <selection activeCell="B5" sqref="B5"/>
    </sheetView>
  </sheetViews>
  <sheetFormatPr defaultRowHeight="23"/>
  <cols>
    <col min="1" max="1" width="113.54296875" style="136" customWidth="1"/>
    <col min="2" max="2" width="110.6328125" style="136" customWidth="1"/>
    <col min="3" max="3" width="132.6328125" style="136" customWidth="1"/>
    <col min="4" max="4" width="125.1796875" style="136" bestFit="1" customWidth="1"/>
    <col min="5" max="5" width="27" style="137" bestFit="1" customWidth="1"/>
    <col min="6" max="6" width="8.7265625" style="85"/>
  </cols>
  <sheetData>
    <row r="1" spans="1:5" thickBot="1">
      <c r="A1" s="117"/>
      <c r="B1" s="117"/>
      <c r="C1" s="117"/>
      <c r="D1" s="117"/>
      <c r="E1" s="117"/>
    </row>
    <row r="2" spans="1:5" ht="27.5">
      <c r="A2" s="118" t="s">
        <v>565</v>
      </c>
      <c r="B2" s="119" t="s">
        <v>566</v>
      </c>
      <c r="C2" s="119" t="s">
        <v>567</v>
      </c>
      <c r="D2" s="119" t="s">
        <v>568</v>
      </c>
      <c r="E2" s="120" t="s">
        <v>569</v>
      </c>
    </row>
    <row r="3" spans="1:5" ht="138">
      <c r="A3" s="121" t="s">
        <v>570</v>
      </c>
      <c r="B3" s="122" t="s">
        <v>571</v>
      </c>
      <c r="C3" s="123" t="s">
        <v>572</v>
      </c>
      <c r="D3" s="123" t="s">
        <v>573</v>
      </c>
      <c r="E3" s="124" t="s">
        <v>3</v>
      </c>
    </row>
    <row r="4" spans="1:5" ht="345">
      <c r="A4" s="121" t="s">
        <v>574</v>
      </c>
      <c r="B4" s="123" t="s">
        <v>575</v>
      </c>
      <c r="C4" s="123" t="s">
        <v>576</v>
      </c>
      <c r="D4" s="123" t="s">
        <v>577</v>
      </c>
      <c r="E4" s="124" t="s">
        <v>4</v>
      </c>
    </row>
    <row r="5" spans="1:5" ht="115">
      <c r="A5" s="121" t="s">
        <v>578</v>
      </c>
      <c r="B5" s="123" t="s">
        <v>579</v>
      </c>
      <c r="C5" s="123" t="s">
        <v>580</v>
      </c>
      <c r="D5" s="123" t="s">
        <v>581</v>
      </c>
      <c r="E5" s="124" t="s">
        <v>6</v>
      </c>
    </row>
    <row r="6" spans="1:5" ht="115">
      <c r="A6" s="121" t="s">
        <v>582</v>
      </c>
      <c r="B6" s="123" t="s">
        <v>583</v>
      </c>
      <c r="C6" s="123" t="s">
        <v>584</v>
      </c>
      <c r="D6" s="123" t="s">
        <v>585</v>
      </c>
      <c r="E6" s="124" t="s">
        <v>12</v>
      </c>
    </row>
    <row r="7" spans="1:5" ht="69">
      <c r="A7" s="125" t="s">
        <v>586</v>
      </c>
      <c r="B7" s="122" t="s">
        <v>587</v>
      </c>
      <c r="C7" s="122" t="s">
        <v>588</v>
      </c>
      <c r="D7" s="122" t="s">
        <v>589</v>
      </c>
      <c r="E7" s="126" t="s">
        <v>590</v>
      </c>
    </row>
    <row r="8" spans="1:5" ht="92">
      <c r="A8" s="125" t="s">
        <v>591</v>
      </c>
      <c r="B8" s="122" t="s">
        <v>592</v>
      </c>
      <c r="C8" s="122" t="s">
        <v>593</v>
      </c>
      <c r="D8" s="122" t="s">
        <v>594</v>
      </c>
      <c r="E8" s="127" t="s">
        <v>595</v>
      </c>
    </row>
    <row r="9" spans="1:5" ht="92">
      <c r="A9" s="125" t="s">
        <v>596</v>
      </c>
      <c r="B9" s="122" t="s">
        <v>597</v>
      </c>
      <c r="C9" s="122" t="s">
        <v>598</v>
      </c>
      <c r="D9" s="122" t="s">
        <v>599</v>
      </c>
      <c r="E9" s="126" t="s">
        <v>12</v>
      </c>
    </row>
    <row r="10" spans="1:5" ht="69">
      <c r="A10" s="125" t="s">
        <v>600</v>
      </c>
      <c r="B10" s="122" t="s">
        <v>601</v>
      </c>
      <c r="C10" s="122" t="s">
        <v>602</v>
      </c>
      <c r="D10" s="128" t="s">
        <v>603</v>
      </c>
      <c r="E10" s="126" t="s">
        <v>604</v>
      </c>
    </row>
    <row r="11" spans="1:5" ht="46">
      <c r="A11" s="125" t="s">
        <v>605</v>
      </c>
      <c r="B11" s="122" t="s">
        <v>606</v>
      </c>
      <c r="C11" s="122" t="s">
        <v>607</v>
      </c>
      <c r="D11" s="122" t="s">
        <v>608</v>
      </c>
      <c r="E11" s="126" t="s">
        <v>3</v>
      </c>
    </row>
    <row r="12" spans="1:5" ht="46">
      <c r="A12" s="125" t="s">
        <v>609</v>
      </c>
      <c r="B12" s="122" t="s">
        <v>610</v>
      </c>
      <c r="C12" s="122" t="s">
        <v>611</v>
      </c>
      <c r="D12" s="122" t="s">
        <v>612</v>
      </c>
      <c r="E12" s="126" t="s">
        <v>6</v>
      </c>
    </row>
    <row r="13" spans="1:5" ht="46">
      <c r="A13" s="125" t="s">
        <v>613</v>
      </c>
      <c r="B13" s="122" t="s">
        <v>614</v>
      </c>
      <c r="C13" s="122" t="s">
        <v>615</v>
      </c>
      <c r="D13" s="122" t="s">
        <v>616</v>
      </c>
      <c r="E13" s="126" t="s">
        <v>15</v>
      </c>
    </row>
    <row r="14" spans="1:5" ht="46">
      <c r="A14" s="129" t="s">
        <v>617</v>
      </c>
      <c r="B14" s="122" t="s">
        <v>618</v>
      </c>
      <c r="C14" s="122" t="s">
        <v>619</v>
      </c>
      <c r="D14" s="122" t="s">
        <v>620</v>
      </c>
      <c r="E14" s="126" t="s">
        <v>621</v>
      </c>
    </row>
    <row r="15" spans="1:5" ht="46">
      <c r="A15" s="125" t="s">
        <v>622</v>
      </c>
      <c r="B15" s="122" t="s">
        <v>623</v>
      </c>
      <c r="C15" s="122" t="s">
        <v>624</v>
      </c>
      <c r="D15" s="122" t="s">
        <v>625</v>
      </c>
      <c r="E15" s="126" t="s">
        <v>14</v>
      </c>
    </row>
    <row r="16" spans="1:5" ht="46">
      <c r="A16" s="125" t="s">
        <v>626</v>
      </c>
      <c r="B16" s="122" t="s">
        <v>627</v>
      </c>
      <c r="C16" s="122" t="s">
        <v>628</v>
      </c>
      <c r="D16" s="122" t="s">
        <v>629</v>
      </c>
      <c r="E16" s="126" t="s">
        <v>630</v>
      </c>
    </row>
    <row r="17" spans="1:5" ht="46">
      <c r="A17" s="125" t="s">
        <v>631</v>
      </c>
      <c r="B17" s="122" t="s">
        <v>632</v>
      </c>
      <c r="C17" s="122" t="s">
        <v>633</v>
      </c>
      <c r="D17" s="122"/>
      <c r="E17" s="126"/>
    </row>
    <row r="18" spans="1:5" ht="46">
      <c r="A18" s="125" t="s">
        <v>634</v>
      </c>
      <c r="B18" s="122" t="s">
        <v>635</v>
      </c>
      <c r="C18" s="122" t="s">
        <v>636</v>
      </c>
      <c r="D18" s="122" t="s">
        <v>637</v>
      </c>
      <c r="E18" s="126" t="s">
        <v>638</v>
      </c>
    </row>
    <row r="19" spans="1:5" ht="46">
      <c r="A19" s="125" t="s">
        <v>639</v>
      </c>
      <c r="B19" s="122" t="s">
        <v>640</v>
      </c>
      <c r="C19" s="122" t="s">
        <v>641</v>
      </c>
      <c r="D19" s="122" t="s">
        <v>642</v>
      </c>
      <c r="E19" s="126" t="s">
        <v>12</v>
      </c>
    </row>
    <row r="20" spans="1:5" ht="46">
      <c r="A20" s="125" t="s">
        <v>643</v>
      </c>
      <c r="B20" s="122" t="s">
        <v>644</v>
      </c>
      <c r="C20" s="122" t="s">
        <v>645</v>
      </c>
      <c r="D20" s="122" t="s">
        <v>642</v>
      </c>
      <c r="E20" s="126" t="s">
        <v>646</v>
      </c>
    </row>
    <row r="21" spans="1:5" ht="46">
      <c r="A21" s="125" t="s">
        <v>647</v>
      </c>
      <c r="B21" s="122" t="s">
        <v>648</v>
      </c>
      <c r="C21" s="122" t="s">
        <v>649</v>
      </c>
      <c r="D21" s="122" t="s">
        <v>650</v>
      </c>
      <c r="E21" s="126" t="s">
        <v>651</v>
      </c>
    </row>
    <row r="22" spans="1:5" ht="69">
      <c r="A22" s="125" t="s">
        <v>652</v>
      </c>
      <c r="B22" s="122" t="s">
        <v>653</v>
      </c>
      <c r="C22" s="122" t="s">
        <v>654</v>
      </c>
      <c r="D22" s="122" t="s">
        <v>650</v>
      </c>
      <c r="E22" s="126" t="s">
        <v>15</v>
      </c>
    </row>
    <row r="23" spans="1:5" ht="46">
      <c r="A23" s="125" t="s">
        <v>655</v>
      </c>
      <c r="B23" s="122" t="s">
        <v>656</v>
      </c>
      <c r="C23" s="122" t="s">
        <v>657</v>
      </c>
      <c r="D23" s="122" t="s">
        <v>658</v>
      </c>
      <c r="E23" s="126" t="s">
        <v>659</v>
      </c>
    </row>
    <row r="24" spans="1:5" ht="46">
      <c r="A24" s="125" t="s">
        <v>660</v>
      </c>
      <c r="B24" s="122" t="s">
        <v>661</v>
      </c>
      <c r="C24" s="130" t="s">
        <v>662</v>
      </c>
      <c r="D24" s="122" t="s">
        <v>663</v>
      </c>
      <c r="E24" s="126" t="s">
        <v>270</v>
      </c>
    </row>
    <row r="25" spans="1:5" ht="46">
      <c r="A25" s="125" t="s">
        <v>664</v>
      </c>
      <c r="B25" s="122" t="s">
        <v>665</v>
      </c>
      <c r="C25" s="122" t="s">
        <v>666</v>
      </c>
      <c r="D25" s="122" t="s">
        <v>667</v>
      </c>
      <c r="E25" s="126" t="s">
        <v>22</v>
      </c>
    </row>
    <row r="26" spans="1:5" ht="46">
      <c r="A26" s="125" t="s">
        <v>668</v>
      </c>
      <c r="B26" s="122" t="s">
        <v>669</v>
      </c>
      <c r="C26" s="122" t="s">
        <v>670</v>
      </c>
      <c r="D26" s="122" t="s">
        <v>671</v>
      </c>
      <c r="E26" s="126" t="s">
        <v>672</v>
      </c>
    </row>
    <row r="27" spans="1:5" ht="46">
      <c r="A27" s="125" t="s">
        <v>673</v>
      </c>
      <c r="B27" s="122" t="s">
        <v>674</v>
      </c>
      <c r="C27" s="122" t="s">
        <v>675</v>
      </c>
      <c r="D27" s="122" t="s">
        <v>671</v>
      </c>
      <c r="E27" s="126" t="s">
        <v>676</v>
      </c>
    </row>
    <row r="28" spans="1:5" ht="46">
      <c r="A28" s="125" t="s">
        <v>677</v>
      </c>
      <c r="B28" s="122" t="s">
        <v>678</v>
      </c>
      <c r="C28" s="122" t="s">
        <v>679</v>
      </c>
      <c r="D28" s="122" t="s">
        <v>680</v>
      </c>
      <c r="E28" s="126" t="s">
        <v>24</v>
      </c>
    </row>
    <row r="29" spans="1:5" ht="46">
      <c r="A29" s="129" t="s">
        <v>513</v>
      </c>
      <c r="B29" s="122" t="s">
        <v>681</v>
      </c>
      <c r="C29" s="122" t="s">
        <v>682</v>
      </c>
      <c r="D29" s="122" t="s">
        <v>683</v>
      </c>
      <c r="E29" s="126"/>
    </row>
    <row r="30" spans="1:5" ht="69">
      <c r="A30" s="125" t="s">
        <v>684</v>
      </c>
      <c r="B30" s="122" t="s">
        <v>685</v>
      </c>
      <c r="C30" s="122" t="s">
        <v>686</v>
      </c>
      <c r="D30" s="122" t="s">
        <v>687</v>
      </c>
      <c r="E30" s="126" t="s">
        <v>269</v>
      </c>
    </row>
    <row r="31" spans="1:5" ht="70.5">
      <c r="A31" s="125" t="s">
        <v>688</v>
      </c>
      <c r="B31" s="122" t="s">
        <v>689</v>
      </c>
      <c r="C31" s="131" t="s">
        <v>690</v>
      </c>
      <c r="D31" s="131" t="s">
        <v>642</v>
      </c>
      <c r="E31" s="126" t="s">
        <v>13</v>
      </c>
    </row>
    <row r="32" spans="1:5" ht="69">
      <c r="A32" s="125" t="s">
        <v>691</v>
      </c>
      <c r="B32" s="122" t="s">
        <v>692</v>
      </c>
      <c r="C32" s="122" t="s">
        <v>693</v>
      </c>
      <c r="D32" s="122" t="s">
        <v>694</v>
      </c>
      <c r="E32" s="126" t="s">
        <v>270</v>
      </c>
    </row>
    <row r="33" spans="1:5" ht="92">
      <c r="A33" s="125" t="s">
        <v>695</v>
      </c>
      <c r="B33" s="122" t="s">
        <v>696</v>
      </c>
      <c r="C33" s="122" t="s">
        <v>697</v>
      </c>
      <c r="D33" s="122" t="s">
        <v>698</v>
      </c>
      <c r="E33" s="126" t="s">
        <v>13</v>
      </c>
    </row>
    <row r="34" spans="1:5" ht="70.5">
      <c r="A34" s="125" t="s">
        <v>699</v>
      </c>
      <c r="B34" s="122" t="s">
        <v>699</v>
      </c>
      <c r="C34" s="131" t="s">
        <v>700</v>
      </c>
      <c r="D34" s="122" t="s">
        <v>701</v>
      </c>
      <c r="E34" s="126" t="s">
        <v>13</v>
      </c>
    </row>
    <row r="35" spans="1:5" ht="92.5">
      <c r="A35" s="132" t="s">
        <v>702</v>
      </c>
      <c r="B35" s="122" t="s">
        <v>703</v>
      </c>
      <c r="C35" s="122" t="s">
        <v>704</v>
      </c>
      <c r="D35" s="122" t="s">
        <v>694</v>
      </c>
      <c r="E35" s="126" t="s">
        <v>8</v>
      </c>
    </row>
    <row r="36" spans="1:5" ht="92.5" thickBot="1">
      <c r="A36" s="133" t="s">
        <v>705</v>
      </c>
      <c r="B36" s="134" t="s">
        <v>706</v>
      </c>
      <c r="C36" s="134" t="s">
        <v>707</v>
      </c>
      <c r="D36" s="134" t="s">
        <v>708</v>
      </c>
      <c r="E36" s="135" t="s">
        <v>14</v>
      </c>
    </row>
    <row r="62" spans="1:5">
      <c r="A62" s="138"/>
      <c r="B62" s="138"/>
      <c r="C62" s="138"/>
      <c r="D62" s="138"/>
      <c r="E62" s="139"/>
    </row>
    <row r="63" spans="1:5">
      <c r="A63" s="138"/>
      <c r="B63" s="138"/>
      <c r="C63" s="138"/>
      <c r="D63" s="138"/>
      <c r="E63" s="139"/>
    </row>
    <row r="64" spans="1:5">
      <c r="A64" s="138"/>
      <c r="B64" s="138"/>
      <c r="C64" s="138"/>
      <c r="D64" s="138"/>
      <c r="E64" s="139"/>
    </row>
    <row r="65" spans="1:5">
      <c r="A65" s="138"/>
      <c r="B65" s="138"/>
      <c r="C65" s="138"/>
      <c r="D65" s="138"/>
      <c r="E65" s="139"/>
    </row>
    <row r="66" spans="1:5">
      <c r="A66" s="138"/>
      <c r="B66" s="138"/>
      <c r="C66" s="138"/>
      <c r="D66" s="138"/>
      <c r="E66" s="139"/>
    </row>
    <row r="67" spans="1:5">
      <c r="A67" s="138"/>
      <c r="B67" s="138"/>
      <c r="C67" s="138"/>
      <c r="D67" s="138"/>
      <c r="E67" s="139"/>
    </row>
    <row r="68" spans="1:5">
      <c r="A68" s="138"/>
      <c r="B68" s="138"/>
      <c r="C68" s="138"/>
      <c r="D68" s="138"/>
      <c r="E68" s="139"/>
    </row>
    <row r="69" spans="1:5">
      <c r="A69" s="138"/>
      <c r="B69" s="138"/>
      <c r="C69" s="138"/>
      <c r="D69" s="138"/>
      <c r="E69" s="139"/>
    </row>
    <row r="70" spans="1:5">
      <c r="A70" s="138"/>
      <c r="B70" s="138"/>
      <c r="C70" s="138"/>
      <c r="D70" s="138"/>
      <c r="E70" s="139"/>
    </row>
    <row r="71" spans="1:5">
      <c r="A71" s="138"/>
      <c r="B71" s="138"/>
      <c r="C71" s="138"/>
      <c r="D71" s="138"/>
      <c r="E71" s="139"/>
    </row>
    <row r="72" spans="1:5">
      <c r="A72" s="138"/>
      <c r="B72" s="138"/>
      <c r="C72" s="138"/>
      <c r="D72" s="138"/>
      <c r="E72" s="139"/>
    </row>
    <row r="73" spans="1:5">
      <c r="A73" s="138"/>
      <c r="B73" s="138"/>
      <c r="C73" s="138"/>
      <c r="D73" s="138"/>
      <c r="E73" s="139"/>
    </row>
    <row r="74" spans="1:5">
      <c r="A74" s="138"/>
      <c r="B74" s="138"/>
      <c r="C74" s="138"/>
      <c r="D74" s="138"/>
      <c r="E74" s="139"/>
    </row>
    <row r="75" spans="1:5">
      <c r="A75" s="138"/>
      <c r="B75" s="138"/>
      <c r="C75" s="138"/>
      <c r="D75" s="138"/>
      <c r="E75" s="139"/>
    </row>
    <row r="76" spans="1:5">
      <c r="A76" s="140"/>
      <c r="B76" s="140"/>
      <c r="C76" s="140"/>
      <c r="D76" s="140"/>
      <c r="E76" s="139"/>
    </row>
    <row r="77" spans="1:5">
      <c r="A77" s="138"/>
      <c r="B77" s="138"/>
      <c r="C77" s="138"/>
      <c r="D77" s="138"/>
      <c r="E77" s="139"/>
    </row>
    <row r="78" spans="1:5">
      <c r="A78" s="138"/>
      <c r="B78" s="138"/>
      <c r="C78" s="138"/>
      <c r="D78" s="138"/>
      <c r="E78" s="139"/>
    </row>
    <row r="79" spans="1:5">
      <c r="A79" s="138"/>
      <c r="B79" s="138"/>
      <c r="C79" s="138"/>
      <c r="D79" s="138"/>
      <c r="E79" s="139"/>
    </row>
    <row r="80" spans="1:5">
      <c r="A80" s="138"/>
      <c r="B80" s="138"/>
      <c r="C80" s="138"/>
      <c r="D80" s="138"/>
      <c r="E80" s="139"/>
    </row>
    <row r="81" spans="1:5">
      <c r="A81" s="138"/>
      <c r="B81" s="138"/>
      <c r="C81" s="138"/>
      <c r="D81" s="138"/>
      <c r="E81" s="139"/>
    </row>
    <row r="82" spans="1:5">
      <c r="A82" s="138"/>
      <c r="B82" s="138"/>
      <c r="C82" s="138"/>
      <c r="D82" s="138"/>
      <c r="E82" s="139"/>
    </row>
    <row r="83" spans="1:5">
      <c r="A83" s="138"/>
      <c r="B83" s="138"/>
      <c r="C83" s="138"/>
      <c r="D83" s="138"/>
      <c r="E83" s="139"/>
    </row>
    <row r="84" spans="1:5">
      <c r="A84" s="138"/>
      <c r="B84" s="138"/>
      <c r="C84" s="138"/>
      <c r="D84" s="138"/>
      <c r="E84" s="139"/>
    </row>
    <row r="85" spans="1:5">
      <c r="A85" s="138"/>
      <c r="B85" s="138"/>
      <c r="C85" s="138"/>
      <c r="D85" s="138"/>
      <c r="E85" s="139"/>
    </row>
    <row r="86" spans="1:5">
      <c r="A86" s="138"/>
      <c r="B86" s="138"/>
      <c r="C86" s="138"/>
      <c r="D86" s="138"/>
      <c r="E86" s="139"/>
    </row>
    <row r="87" spans="1:5">
      <c r="A87" s="138"/>
      <c r="B87" s="138"/>
      <c r="C87" s="138"/>
      <c r="D87" s="138"/>
      <c r="E87" s="139"/>
    </row>
    <row r="88" spans="1:5">
      <c r="A88" s="138"/>
      <c r="B88" s="138"/>
      <c r="C88" s="138"/>
      <c r="D88" s="138"/>
      <c r="E88" s="139"/>
    </row>
    <row r="89" spans="1:5">
      <c r="A89" s="138"/>
      <c r="B89" s="138"/>
      <c r="C89" s="138"/>
      <c r="D89" s="138"/>
      <c r="E89" s="139"/>
    </row>
    <row r="90" spans="1:5">
      <c r="A90" s="138"/>
      <c r="B90" s="138"/>
      <c r="C90" s="138"/>
      <c r="D90" s="138"/>
      <c r="E90" s="139"/>
    </row>
    <row r="91" spans="1:5">
      <c r="A91" s="138"/>
      <c r="B91" s="138"/>
      <c r="C91" s="138"/>
      <c r="D91" s="138"/>
      <c r="E91" s="139"/>
    </row>
    <row r="92" spans="1:5">
      <c r="A92" s="138"/>
      <c r="B92" s="138"/>
      <c r="C92" s="138"/>
      <c r="D92" s="138"/>
      <c r="E92" s="139"/>
    </row>
    <row r="93" spans="1:5">
      <c r="A93" s="138"/>
      <c r="B93" s="138"/>
      <c r="C93" s="138"/>
      <c r="D93" s="138"/>
      <c r="E93" s="139"/>
    </row>
    <row r="94" spans="1:5">
      <c r="A94" s="138"/>
      <c r="B94" s="138"/>
      <c r="C94" s="138"/>
      <c r="D94" s="138"/>
      <c r="E94" s="139"/>
    </row>
    <row r="95" spans="1:5">
      <c r="A95" s="138"/>
      <c r="B95" s="138"/>
      <c r="C95" s="138"/>
      <c r="D95" s="138"/>
      <c r="E95" s="139"/>
    </row>
    <row r="96" spans="1:5">
      <c r="A96" s="138"/>
      <c r="B96" s="138"/>
      <c r="C96" s="138"/>
      <c r="D96" s="138"/>
      <c r="E96" s="139"/>
    </row>
    <row r="97" spans="1:5">
      <c r="A97" s="138"/>
      <c r="B97" s="138"/>
      <c r="C97" s="138"/>
      <c r="D97" s="138"/>
      <c r="E97" s="1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9E56-A707-4A75-ABDA-57A9ACDDD965}">
  <dimension ref="A1:M85"/>
  <sheetViews>
    <sheetView tabSelected="1" zoomScale="55" zoomScaleNormal="55" workbookViewId="0">
      <pane ySplit="1" topLeftCell="A61" activePane="bottomLeft" state="frozen"/>
      <selection activeCell="G8" sqref="G8:G12"/>
      <selection pane="bottomLeft" activeCell="G13" sqref="G13:G17"/>
    </sheetView>
  </sheetViews>
  <sheetFormatPr defaultRowHeight="13"/>
  <cols>
    <col min="1" max="3" width="8.7265625" style="1"/>
    <col min="4" max="4" width="4.453125" style="1" customWidth="1"/>
    <col min="5" max="5" width="27.26953125" style="2" customWidth="1"/>
    <col min="6" max="6" width="5.81640625" style="2" customWidth="1"/>
    <col min="7" max="7" width="80.90625" style="3" customWidth="1"/>
    <col min="8" max="8" width="6.7265625" style="2" customWidth="1"/>
    <col min="9" max="9" width="88" style="2" customWidth="1"/>
    <col min="10" max="10" width="7.26953125" style="2" customWidth="1"/>
    <col min="11" max="11" width="69.08984375" style="1" bestFit="1" customWidth="1"/>
    <col min="12" max="12" width="8.08984375" style="1" customWidth="1"/>
    <col min="13" max="13" width="66.7265625" style="1" customWidth="1"/>
    <col min="14" max="16384" width="8.7265625" style="1"/>
  </cols>
  <sheetData>
    <row r="1" spans="1:13" s="4" customFormat="1" ht="30.5" thickBot="1">
      <c r="A1" s="61"/>
      <c r="B1" s="61"/>
      <c r="C1" s="61"/>
      <c r="D1" s="62"/>
      <c r="E1" s="5" t="s">
        <v>199</v>
      </c>
      <c r="F1" s="5"/>
      <c r="G1" s="5" t="s">
        <v>34</v>
      </c>
      <c r="H1" s="5"/>
      <c r="I1" s="5" t="s">
        <v>35</v>
      </c>
      <c r="J1" s="5"/>
      <c r="K1" s="6" t="s">
        <v>110</v>
      </c>
      <c r="L1" s="6"/>
      <c r="M1" s="7" t="s">
        <v>111</v>
      </c>
    </row>
    <row r="2" spans="1:13" ht="12.5" customHeight="1" thickBot="1">
      <c r="A2" s="63"/>
      <c r="B2" s="63"/>
      <c r="C2" s="63"/>
      <c r="D2" s="194">
        <v>1</v>
      </c>
      <c r="E2" s="197" t="s">
        <v>197</v>
      </c>
      <c r="F2" s="8"/>
      <c r="G2" s="57"/>
      <c r="H2" s="8"/>
      <c r="I2" s="8"/>
      <c r="J2" s="8"/>
      <c r="K2" s="9"/>
      <c r="L2" s="9"/>
      <c r="M2" s="10"/>
    </row>
    <row r="3" spans="1:13" ht="26.5" customHeight="1">
      <c r="A3" s="63"/>
      <c r="B3" s="63"/>
      <c r="C3" s="63"/>
      <c r="D3" s="195"/>
      <c r="E3" s="198"/>
      <c r="F3" s="11">
        <v>1.1000000000000001</v>
      </c>
      <c r="G3" s="200" t="s">
        <v>37</v>
      </c>
      <c r="H3" s="12"/>
      <c r="I3" s="12"/>
      <c r="J3" s="12"/>
      <c r="K3" s="13"/>
      <c r="L3" s="13"/>
      <c r="M3" s="14"/>
    </row>
    <row r="4" spans="1:13" ht="14.5" customHeight="1">
      <c r="A4" s="63"/>
      <c r="B4" s="63"/>
      <c r="C4" s="63"/>
      <c r="D4" s="195"/>
      <c r="E4" s="198"/>
      <c r="F4" s="15"/>
      <c r="G4" s="201"/>
      <c r="H4" s="8" t="s">
        <v>2</v>
      </c>
      <c r="I4" s="8" t="s">
        <v>82</v>
      </c>
      <c r="J4" s="8"/>
      <c r="K4" s="9"/>
      <c r="L4" s="9"/>
      <c r="M4" s="10"/>
    </row>
    <row r="5" spans="1:13" ht="14.5" customHeight="1">
      <c r="A5" s="63"/>
      <c r="B5" s="63"/>
      <c r="C5" s="63"/>
      <c r="D5" s="195"/>
      <c r="E5" s="198"/>
      <c r="F5" s="15"/>
      <c r="G5" s="201"/>
      <c r="H5" s="8"/>
      <c r="I5" s="8"/>
      <c r="J5" s="8" t="s">
        <v>86</v>
      </c>
      <c r="K5" s="9" t="s">
        <v>81</v>
      </c>
      <c r="L5" s="9" t="s">
        <v>87</v>
      </c>
      <c r="M5" s="10" t="s">
        <v>72</v>
      </c>
    </row>
    <row r="6" spans="1:13" ht="14.5" customHeight="1">
      <c r="A6" s="63"/>
      <c r="B6" s="63"/>
      <c r="C6" s="63"/>
      <c r="D6" s="195"/>
      <c r="E6" s="198"/>
      <c r="F6" s="15"/>
      <c r="G6" s="201"/>
      <c r="H6" s="8" t="s">
        <v>3</v>
      </c>
      <c r="I6" s="8" t="s">
        <v>38</v>
      </c>
      <c r="J6" s="8"/>
      <c r="K6" s="9"/>
      <c r="L6" s="9"/>
      <c r="M6" s="10"/>
    </row>
    <row r="7" spans="1:13" ht="15" customHeight="1" thickBot="1">
      <c r="A7" s="63"/>
      <c r="B7" s="63"/>
      <c r="C7" s="63"/>
      <c r="D7" s="195"/>
      <c r="E7" s="198"/>
      <c r="F7" s="16"/>
      <c r="G7" s="202"/>
      <c r="H7" s="17"/>
      <c r="I7" s="17"/>
      <c r="J7" s="17" t="s">
        <v>88</v>
      </c>
      <c r="K7" s="18" t="s">
        <v>73</v>
      </c>
      <c r="L7" s="18" t="s">
        <v>167</v>
      </c>
      <c r="M7" s="19" t="s">
        <v>196</v>
      </c>
    </row>
    <row r="8" spans="1:13" ht="14.5" customHeight="1">
      <c r="A8" s="63"/>
      <c r="B8" s="63"/>
      <c r="C8" s="63"/>
      <c r="D8" s="195"/>
      <c r="E8" s="198"/>
      <c r="F8" s="11">
        <v>1.2</v>
      </c>
      <c r="G8" s="200" t="s">
        <v>56</v>
      </c>
      <c r="H8" s="12"/>
      <c r="I8" s="12"/>
      <c r="J8" s="13"/>
      <c r="K8" s="13"/>
      <c r="L8" s="13"/>
      <c r="M8" s="14"/>
    </row>
    <row r="9" spans="1:13" ht="14.5" customHeight="1">
      <c r="A9" s="63"/>
      <c r="B9" s="63"/>
      <c r="C9" s="63"/>
      <c r="D9" s="195"/>
      <c r="E9" s="198"/>
      <c r="F9" s="15"/>
      <c r="G9" s="201"/>
      <c r="H9" s="8" t="s">
        <v>4</v>
      </c>
      <c r="I9" s="8" t="s">
        <v>36</v>
      </c>
      <c r="J9" s="8"/>
      <c r="K9" s="9"/>
      <c r="L9" s="9"/>
      <c r="M9" s="10"/>
    </row>
    <row r="10" spans="1:13" ht="14.5" customHeight="1">
      <c r="A10" s="63"/>
      <c r="B10" s="63"/>
      <c r="C10" s="63"/>
      <c r="D10" s="195"/>
      <c r="E10" s="198"/>
      <c r="F10" s="15"/>
      <c r="G10" s="201"/>
      <c r="H10" s="8"/>
      <c r="I10" s="8"/>
      <c r="J10" s="8" t="s">
        <v>166</v>
      </c>
      <c r="K10" s="9" t="s">
        <v>168</v>
      </c>
      <c r="L10" s="9" t="s">
        <v>89</v>
      </c>
      <c r="M10" s="10" t="s">
        <v>169</v>
      </c>
    </row>
    <row r="11" spans="1:13" ht="14.5" customHeight="1">
      <c r="A11" s="63"/>
      <c r="B11" s="63"/>
      <c r="C11" s="63"/>
      <c r="D11" s="195"/>
      <c r="E11" s="198"/>
      <c r="F11" s="15"/>
      <c r="G11" s="201"/>
      <c r="H11" s="8" t="s">
        <v>5</v>
      </c>
      <c r="I11" s="8" t="s">
        <v>57</v>
      </c>
      <c r="J11" s="8"/>
      <c r="K11" s="9"/>
      <c r="L11" s="9"/>
      <c r="M11" s="10"/>
    </row>
    <row r="12" spans="1:13" ht="15" customHeight="1" thickBot="1">
      <c r="A12" s="63"/>
      <c r="B12" s="63"/>
      <c r="C12" s="63"/>
      <c r="D12" s="195"/>
      <c r="E12" s="198"/>
      <c r="F12" s="16"/>
      <c r="G12" s="202"/>
      <c r="H12" s="17"/>
      <c r="I12" s="17"/>
      <c r="J12" s="17" t="s">
        <v>170</v>
      </c>
      <c r="K12" s="18" t="s">
        <v>172</v>
      </c>
      <c r="L12" s="18" t="s">
        <v>171</v>
      </c>
      <c r="M12" s="19" t="s">
        <v>173</v>
      </c>
    </row>
    <row r="13" spans="1:13" ht="26.5" customHeight="1">
      <c r="A13" s="63"/>
      <c r="B13" s="63"/>
      <c r="C13" s="63"/>
      <c r="D13" s="195"/>
      <c r="E13" s="198"/>
      <c r="F13" s="11">
        <v>1.3</v>
      </c>
      <c r="G13" s="200" t="s">
        <v>42</v>
      </c>
      <c r="H13" s="12"/>
      <c r="I13" s="12"/>
      <c r="J13" s="12"/>
      <c r="K13" s="13"/>
      <c r="L13" s="13"/>
      <c r="M13" s="14"/>
    </row>
    <row r="14" spans="1:13" ht="14.5" customHeight="1">
      <c r="A14" s="63"/>
      <c r="B14" s="63"/>
      <c r="C14" s="63"/>
      <c r="D14" s="195"/>
      <c r="E14" s="198"/>
      <c r="F14" s="15"/>
      <c r="G14" s="201"/>
      <c r="H14" s="8" t="s">
        <v>6</v>
      </c>
      <c r="I14" s="8" t="s">
        <v>71</v>
      </c>
      <c r="J14" s="8"/>
      <c r="K14" s="9"/>
      <c r="L14" s="9"/>
      <c r="M14" s="10"/>
    </row>
    <row r="15" spans="1:13" ht="14.5" customHeight="1">
      <c r="A15" s="63"/>
      <c r="B15" s="63"/>
      <c r="C15" s="63"/>
      <c r="D15" s="195"/>
      <c r="E15" s="198"/>
      <c r="F15" s="15"/>
      <c r="G15" s="201"/>
      <c r="H15" s="8"/>
      <c r="I15" s="8"/>
      <c r="J15" s="8" t="s">
        <v>174</v>
      </c>
      <c r="K15" s="9" t="s">
        <v>179</v>
      </c>
      <c r="L15" s="9" t="s">
        <v>175</v>
      </c>
      <c r="M15" s="10" t="s">
        <v>178</v>
      </c>
    </row>
    <row r="16" spans="1:13" ht="14.5" customHeight="1">
      <c r="A16" s="63"/>
      <c r="B16" s="63"/>
      <c r="C16" s="63"/>
      <c r="D16" s="195"/>
      <c r="E16" s="198"/>
      <c r="F16" s="15"/>
      <c r="G16" s="201"/>
      <c r="H16" s="8" t="s">
        <v>7</v>
      </c>
      <c r="I16" s="8" t="s">
        <v>187</v>
      </c>
      <c r="J16" s="8"/>
      <c r="K16" s="9"/>
      <c r="L16" s="9"/>
      <c r="M16" s="10"/>
    </row>
    <row r="17" spans="1:13" ht="15" customHeight="1" thickBot="1">
      <c r="A17" s="63"/>
      <c r="B17" s="63"/>
      <c r="C17" s="63"/>
      <c r="D17" s="196"/>
      <c r="E17" s="199"/>
      <c r="F17" s="16"/>
      <c r="G17" s="202"/>
      <c r="H17" s="17"/>
      <c r="I17" s="17"/>
      <c r="J17" s="17" t="s">
        <v>176</v>
      </c>
      <c r="K17" s="18" t="s">
        <v>107</v>
      </c>
      <c r="L17" s="18" t="s">
        <v>177</v>
      </c>
      <c r="M17" s="19" t="s">
        <v>180</v>
      </c>
    </row>
    <row r="18" spans="1:13" ht="10.5" customHeight="1" thickBot="1">
      <c r="A18" s="63"/>
      <c r="B18" s="63"/>
      <c r="C18" s="63"/>
      <c r="D18" s="185">
        <v>2</v>
      </c>
      <c r="E18" s="188" t="s">
        <v>194</v>
      </c>
      <c r="F18" s="20"/>
      <c r="G18" s="58"/>
      <c r="H18" s="20"/>
      <c r="I18" s="20"/>
      <c r="J18" s="20"/>
      <c r="K18" s="21"/>
      <c r="L18" s="21"/>
      <c r="M18" s="22"/>
    </row>
    <row r="19" spans="1:13" ht="26.5" customHeight="1">
      <c r="A19" s="63"/>
      <c r="B19" s="63"/>
      <c r="C19" s="63"/>
      <c r="D19" s="186"/>
      <c r="E19" s="189"/>
      <c r="F19" s="23">
        <v>2.1</v>
      </c>
      <c r="G19" s="191" t="s">
        <v>39</v>
      </c>
      <c r="H19" s="20"/>
      <c r="I19" s="20"/>
      <c r="J19" s="20"/>
      <c r="K19" s="21"/>
      <c r="L19" s="21"/>
      <c r="M19" s="22"/>
    </row>
    <row r="20" spans="1:13" ht="14.5" customHeight="1">
      <c r="A20" s="63"/>
      <c r="B20" s="63"/>
      <c r="C20" s="63"/>
      <c r="D20" s="186"/>
      <c r="E20" s="189"/>
      <c r="F20" s="24"/>
      <c r="G20" s="192"/>
      <c r="H20" s="25" t="s">
        <v>8</v>
      </c>
      <c r="I20" s="25" t="s">
        <v>40</v>
      </c>
      <c r="J20" s="25"/>
      <c r="K20" s="26"/>
      <c r="L20" s="26"/>
      <c r="M20" s="27"/>
    </row>
    <row r="21" spans="1:13" ht="14.5" customHeight="1">
      <c r="A21" s="63"/>
      <c r="B21" s="63"/>
      <c r="C21" s="63"/>
      <c r="D21" s="186"/>
      <c r="E21" s="189"/>
      <c r="F21" s="24"/>
      <c r="G21" s="192"/>
      <c r="H21" s="25"/>
      <c r="I21" s="25"/>
      <c r="J21" s="25" t="s">
        <v>181</v>
      </c>
      <c r="K21" s="26" t="s">
        <v>186</v>
      </c>
      <c r="L21" s="26" t="s">
        <v>181</v>
      </c>
      <c r="M21" s="27" t="s">
        <v>196</v>
      </c>
    </row>
    <row r="22" spans="1:13" ht="14.5" customHeight="1">
      <c r="A22" s="63"/>
      <c r="B22" s="63"/>
      <c r="C22" s="63"/>
      <c r="D22" s="186"/>
      <c r="E22" s="189"/>
      <c r="F22" s="24"/>
      <c r="G22" s="192"/>
      <c r="H22" s="25" t="s">
        <v>9</v>
      </c>
      <c r="I22" s="25" t="s">
        <v>59</v>
      </c>
      <c r="J22" s="25"/>
      <c r="K22" s="26"/>
      <c r="L22" s="26"/>
      <c r="M22" s="27"/>
    </row>
    <row r="23" spans="1:13" ht="15" customHeight="1" thickBot="1">
      <c r="A23" s="63"/>
      <c r="B23" s="63"/>
      <c r="C23" s="63"/>
      <c r="D23" s="186"/>
      <c r="E23" s="189"/>
      <c r="F23" s="28"/>
      <c r="G23" s="193"/>
      <c r="H23" s="29"/>
      <c r="I23" s="29"/>
      <c r="J23" s="29" t="s">
        <v>182</v>
      </c>
      <c r="K23" s="30" t="s">
        <v>185</v>
      </c>
      <c r="L23" s="30" t="s">
        <v>183</v>
      </c>
      <c r="M23" s="31" t="s">
        <v>184</v>
      </c>
    </row>
    <row r="24" spans="1:13" ht="14.5" customHeight="1">
      <c r="A24" s="63"/>
      <c r="B24" s="63"/>
      <c r="C24" s="63"/>
      <c r="D24" s="186"/>
      <c r="E24" s="189"/>
      <c r="F24" s="23">
        <v>2.2000000000000002</v>
      </c>
      <c r="G24" s="191" t="s">
        <v>195</v>
      </c>
      <c r="H24" s="20"/>
      <c r="I24" s="20"/>
      <c r="J24" s="20"/>
      <c r="K24" s="21"/>
      <c r="L24" s="21"/>
      <c r="M24" s="22"/>
    </row>
    <row r="25" spans="1:13" ht="14.5" customHeight="1">
      <c r="A25" s="63"/>
      <c r="B25" s="63"/>
      <c r="C25" s="63"/>
      <c r="D25" s="186"/>
      <c r="E25" s="189"/>
      <c r="F25" s="24"/>
      <c r="G25" s="192"/>
      <c r="H25" s="25" t="s">
        <v>10</v>
      </c>
      <c r="I25" s="25" t="s">
        <v>41</v>
      </c>
      <c r="J25" s="25"/>
      <c r="K25" s="26"/>
      <c r="L25" s="26"/>
      <c r="M25" s="27"/>
    </row>
    <row r="26" spans="1:13" ht="14.5" customHeight="1">
      <c r="A26" s="63"/>
      <c r="B26" s="63"/>
      <c r="C26" s="63"/>
      <c r="D26" s="186"/>
      <c r="E26" s="189"/>
      <c r="F26" s="24"/>
      <c r="G26" s="192"/>
      <c r="H26" s="25"/>
      <c r="I26" s="25"/>
      <c r="J26" s="25" t="s">
        <v>154</v>
      </c>
      <c r="K26" s="26" t="s">
        <v>156</v>
      </c>
      <c r="L26" s="26" t="s">
        <v>155</v>
      </c>
      <c r="M26" s="27" t="s">
        <v>157</v>
      </c>
    </row>
    <row r="27" spans="1:13" ht="14.5" customHeight="1">
      <c r="A27" s="63"/>
      <c r="B27" s="63"/>
      <c r="C27" s="63"/>
      <c r="D27" s="186"/>
      <c r="E27" s="189"/>
      <c r="F27" s="24"/>
      <c r="G27" s="192"/>
      <c r="H27" s="25" t="s">
        <v>11</v>
      </c>
      <c r="I27" s="25" t="s">
        <v>193</v>
      </c>
      <c r="J27" s="25"/>
      <c r="K27" s="26"/>
      <c r="L27" s="26"/>
      <c r="M27" s="27"/>
    </row>
    <row r="28" spans="1:13" ht="15" customHeight="1" thickBot="1">
      <c r="A28" s="63"/>
      <c r="B28" s="63"/>
      <c r="C28" s="63"/>
      <c r="D28" s="186"/>
      <c r="E28" s="189"/>
      <c r="F28" s="28"/>
      <c r="G28" s="193"/>
      <c r="H28" s="29"/>
      <c r="I28" s="29"/>
      <c r="J28" s="29" t="s">
        <v>151</v>
      </c>
      <c r="K28" s="30" t="s">
        <v>153</v>
      </c>
      <c r="L28" s="30" t="s">
        <v>152</v>
      </c>
      <c r="M28" s="31" t="s">
        <v>192</v>
      </c>
    </row>
    <row r="29" spans="1:13" ht="14.5" customHeight="1">
      <c r="A29" s="63"/>
      <c r="B29" s="63"/>
      <c r="C29" s="63"/>
      <c r="D29" s="186"/>
      <c r="E29" s="189"/>
      <c r="F29" s="23">
        <v>2.2999999999999998</v>
      </c>
      <c r="G29" s="191" t="s">
        <v>43</v>
      </c>
      <c r="H29" s="20"/>
      <c r="I29" s="20"/>
      <c r="J29" s="20"/>
      <c r="K29" s="21"/>
      <c r="L29" s="21"/>
      <c r="M29" s="22"/>
    </row>
    <row r="30" spans="1:13" ht="14.5" customHeight="1">
      <c r="A30" s="63"/>
      <c r="B30" s="63"/>
      <c r="C30" s="63"/>
      <c r="D30" s="186"/>
      <c r="E30" s="189"/>
      <c r="F30" s="24"/>
      <c r="G30" s="192"/>
      <c r="H30" s="25" t="s">
        <v>12</v>
      </c>
      <c r="I30" s="25" t="s">
        <v>58</v>
      </c>
      <c r="J30" s="25"/>
      <c r="K30" s="26"/>
      <c r="L30" s="26"/>
      <c r="M30" s="27"/>
    </row>
    <row r="31" spans="1:13" ht="14.5" customHeight="1">
      <c r="A31" s="63"/>
      <c r="B31" s="63"/>
      <c r="C31" s="63"/>
      <c r="D31" s="186"/>
      <c r="E31" s="189"/>
      <c r="F31" s="24"/>
      <c r="G31" s="192"/>
      <c r="H31" s="25"/>
      <c r="I31" s="25"/>
      <c r="J31" s="25" t="s">
        <v>158</v>
      </c>
      <c r="K31" s="26" t="s">
        <v>160</v>
      </c>
      <c r="L31" s="26" t="s">
        <v>159</v>
      </c>
      <c r="M31" s="27" t="s">
        <v>161</v>
      </c>
    </row>
    <row r="32" spans="1:13" ht="14.5" customHeight="1">
      <c r="A32" s="63"/>
      <c r="B32" s="63"/>
      <c r="C32" s="63"/>
      <c r="D32" s="186"/>
      <c r="E32" s="189"/>
      <c r="F32" s="24"/>
      <c r="G32" s="192"/>
      <c r="H32" s="25" t="s">
        <v>13</v>
      </c>
      <c r="I32" s="25" t="s">
        <v>191</v>
      </c>
      <c r="J32" s="25"/>
      <c r="K32" s="26"/>
      <c r="L32" s="26"/>
      <c r="M32" s="27"/>
    </row>
    <row r="33" spans="1:13" ht="15" customHeight="1" thickBot="1">
      <c r="A33" s="63"/>
      <c r="B33" s="63"/>
      <c r="C33" s="63"/>
      <c r="D33" s="187"/>
      <c r="E33" s="190"/>
      <c r="F33" s="28"/>
      <c r="G33" s="193"/>
      <c r="H33" s="29"/>
      <c r="I33" s="29"/>
      <c r="J33" s="29" t="s">
        <v>162</v>
      </c>
      <c r="K33" s="30" t="s">
        <v>164</v>
      </c>
      <c r="L33" s="30" t="s">
        <v>163</v>
      </c>
      <c r="M33" s="31" t="s">
        <v>165</v>
      </c>
    </row>
    <row r="34" spans="1:13" ht="16.5" customHeight="1" thickBot="1">
      <c r="A34" s="63"/>
      <c r="B34" s="63"/>
      <c r="C34" s="63"/>
      <c r="D34" s="212">
        <v>3</v>
      </c>
      <c r="E34" s="215" t="s">
        <v>198</v>
      </c>
      <c r="F34" s="32"/>
      <c r="G34" s="59"/>
      <c r="H34" s="32"/>
      <c r="I34" s="32"/>
      <c r="J34" s="32"/>
      <c r="K34" s="33"/>
      <c r="L34" s="33"/>
      <c r="M34" s="34"/>
    </row>
    <row r="35" spans="1:13" ht="26.5" customHeight="1">
      <c r="A35" s="63"/>
      <c r="B35" s="63"/>
      <c r="C35" s="63"/>
      <c r="D35" s="213"/>
      <c r="E35" s="216"/>
      <c r="F35" s="35">
        <v>3.1</v>
      </c>
      <c r="G35" s="218" t="s">
        <v>44</v>
      </c>
      <c r="H35" s="32"/>
      <c r="I35" s="32"/>
      <c r="J35" s="32"/>
      <c r="K35" s="33"/>
      <c r="L35" s="33"/>
      <c r="M35" s="34"/>
    </row>
    <row r="36" spans="1:13" ht="14.5" customHeight="1">
      <c r="A36" s="63"/>
      <c r="B36" s="63"/>
      <c r="C36" s="63"/>
      <c r="D36" s="213"/>
      <c r="E36" s="216"/>
      <c r="F36" s="36"/>
      <c r="G36" s="219"/>
      <c r="H36" s="37" t="s">
        <v>14</v>
      </c>
      <c r="I36" s="37" t="s">
        <v>188</v>
      </c>
      <c r="J36" s="37"/>
      <c r="K36" s="38"/>
      <c r="L36" s="38"/>
      <c r="M36" s="39"/>
    </row>
    <row r="37" spans="1:13" ht="14.5" customHeight="1">
      <c r="A37" s="63"/>
      <c r="B37" s="63"/>
      <c r="C37" s="63"/>
      <c r="D37" s="213"/>
      <c r="E37" s="216"/>
      <c r="F37" s="36"/>
      <c r="G37" s="219"/>
      <c r="H37" s="37"/>
      <c r="I37" s="37"/>
      <c r="J37" s="37" t="s">
        <v>84</v>
      </c>
      <c r="K37" s="38" t="s">
        <v>63</v>
      </c>
      <c r="L37" s="38" t="s">
        <v>85</v>
      </c>
      <c r="M37" s="39" t="s">
        <v>83</v>
      </c>
    </row>
    <row r="38" spans="1:13" ht="14.5" customHeight="1">
      <c r="A38" s="63"/>
      <c r="B38" s="63"/>
      <c r="C38" s="63"/>
      <c r="D38" s="213"/>
      <c r="E38" s="216"/>
      <c r="F38" s="36"/>
      <c r="G38" s="219"/>
      <c r="H38" s="37" t="s">
        <v>15</v>
      </c>
      <c r="I38" s="37" t="s">
        <v>45</v>
      </c>
      <c r="J38" s="37"/>
      <c r="K38" s="38"/>
      <c r="L38" s="38"/>
      <c r="M38" s="39"/>
    </row>
    <row r="39" spans="1:13" ht="15" customHeight="1" thickBot="1">
      <c r="A39" s="63"/>
      <c r="B39" s="63"/>
      <c r="C39" s="63"/>
      <c r="D39" s="213"/>
      <c r="E39" s="216"/>
      <c r="F39" s="40"/>
      <c r="G39" s="220"/>
      <c r="H39" s="41"/>
      <c r="I39" s="41"/>
      <c r="J39" s="41" t="s">
        <v>112</v>
      </c>
      <c r="K39" s="42" t="s">
        <v>114</v>
      </c>
      <c r="L39" s="42" t="s">
        <v>113</v>
      </c>
      <c r="M39" s="43" t="s">
        <v>115</v>
      </c>
    </row>
    <row r="40" spans="1:13" ht="26.5" customHeight="1">
      <c r="A40" s="63"/>
      <c r="B40" s="63"/>
      <c r="C40" s="63"/>
      <c r="D40" s="213"/>
      <c r="E40" s="216"/>
      <c r="F40" s="35">
        <v>3.2</v>
      </c>
      <c r="G40" s="218" t="s">
        <v>62</v>
      </c>
      <c r="H40" s="32"/>
      <c r="I40" s="32"/>
      <c r="J40" s="32"/>
      <c r="K40" s="33"/>
      <c r="L40" s="33"/>
      <c r="M40" s="34"/>
    </row>
    <row r="41" spans="1:13" ht="14.5" customHeight="1">
      <c r="A41" s="63"/>
      <c r="B41" s="63"/>
      <c r="C41" s="63"/>
      <c r="D41" s="213"/>
      <c r="E41" s="216"/>
      <c r="F41" s="36"/>
      <c r="G41" s="219"/>
      <c r="H41" s="37" t="s">
        <v>16</v>
      </c>
      <c r="I41" s="37" t="s">
        <v>92</v>
      </c>
      <c r="J41" s="37"/>
      <c r="K41" s="38"/>
      <c r="L41" s="38"/>
      <c r="M41" s="39"/>
    </row>
    <row r="42" spans="1:13" ht="14.5" customHeight="1">
      <c r="A42" s="63"/>
      <c r="B42" s="63"/>
      <c r="C42" s="63"/>
      <c r="D42" s="213"/>
      <c r="E42" s="216"/>
      <c r="F42" s="36"/>
      <c r="G42" s="219"/>
      <c r="H42" s="37"/>
      <c r="I42" s="37"/>
      <c r="J42" s="37" t="s">
        <v>90</v>
      </c>
      <c r="K42" s="37" t="s">
        <v>68</v>
      </c>
      <c r="L42" s="37" t="s">
        <v>91</v>
      </c>
      <c r="M42" s="39" t="s">
        <v>46</v>
      </c>
    </row>
    <row r="43" spans="1:13" ht="14.5" customHeight="1">
      <c r="A43" s="63"/>
      <c r="B43" s="63"/>
      <c r="C43" s="63"/>
      <c r="D43" s="213"/>
      <c r="E43" s="216"/>
      <c r="F43" s="36"/>
      <c r="G43" s="219"/>
      <c r="H43" s="37" t="s">
        <v>17</v>
      </c>
      <c r="I43" s="37" t="s">
        <v>118</v>
      </c>
      <c r="J43" s="37"/>
      <c r="K43" s="38"/>
      <c r="L43" s="38"/>
      <c r="M43" s="39"/>
    </row>
    <row r="44" spans="1:13" ht="15" customHeight="1" thickBot="1">
      <c r="A44" s="63"/>
      <c r="B44" s="63"/>
      <c r="C44" s="63"/>
      <c r="D44" s="213"/>
      <c r="E44" s="216"/>
      <c r="F44" s="40"/>
      <c r="G44" s="220"/>
      <c r="H44" s="41"/>
      <c r="I44" s="41"/>
      <c r="J44" s="41" t="s">
        <v>116</v>
      </c>
      <c r="K44" s="42" t="s">
        <v>119</v>
      </c>
      <c r="L44" s="42" t="s">
        <v>117</v>
      </c>
      <c r="M44" s="43" t="s">
        <v>120</v>
      </c>
    </row>
    <row r="45" spans="1:13" ht="26.5" customHeight="1">
      <c r="A45" s="63"/>
      <c r="B45" s="63"/>
      <c r="C45" s="63"/>
      <c r="D45" s="213"/>
      <c r="E45" s="216"/>
      <c r="F45" s="35">
        <v>3.3</v>
      </c>
      <c r="G45" s="218" t="s">
        <v>0</v>
      </c>
      <c r="H45" s="32"/>
      <c r="I45" s="32"/>
      <c r="J45" s="32"/>
      <c r="K45" s="33"/>
      <c r="L45" s="33"/>
      <c r="M45" s="34"/>
    </row>
    <row r="46" spans="1:13" ht="14.5" customHeight="1">
      <c r="A46" s="63"/>
      <c r="B46" s="63"/>
      <c r="C46" s="63"/>
      <c r="D46" s="213"/>
      <c r="E46" s="216"/>
      <c r="F46" s="36"/>
      <c r="G46" s="219"/>
      <c r="H46" s="37" t="s">
        <v>18</v>
      </c>
      <c r="I46" s="37" t="s">
        <v>189</v>
      </c>
      <c r="J46" s="37"/>
      <c r="K46" s="38"/>
      <c r="L46" s="38"/>
      <c r="M46" s="39"/>
    </row>
    <row r="47" spans="1:13" ht="14.5" customHeight="1">
      <c r="A47" s="63"/>
      <c r="B47" s="63"/>
      <c r="C47" s="63"/>
      <c r="D47" s="213"/>
      <c r="E47" s="216"/>
      <c r="F47" s="36"/>
      <c r="G47" s="219"/>
      <c r="H47" s="37"/>
      <c r="I47" s="37"/>
      <c r="J47" s="37" t="s">
        <v>93</v>
      </c>
      <c r="K47" s="38" t="s">
        <v>94</v>
      </c>
      <c r="L47" s="38" t="s">
        <v>93</v>
      </c>
      <c r="M47" s="39" t="s">
        <v>190</v>
      </c>
    </row>
    <row r="48" spans="1:13" ht="15" customHeight="1" thickBot="1">
      <c r="A48" s="63"/>
      <c r="B48" s="63"/>
      <c r="C48" s="63"/>
      <c r="D48" s="214"/>
      <c r="E48" s="217"/>
      <c r="F48" s="40"/>
      <c r="G48" s="220"/>
      <c r="H48" s="41" t="s">
        <v>19</v>
      </c>
      <c r="I48" s="41" t="s">
        <v>99</v>
      </c>
      <c r="J48" s="41"/>
      <c r="K48" s="42"/>
      <c r="L48" s="42"/>
      <c r="M48" s="43"/>
    </row>
    <row r="49" spans="1:13" ht="15" customHeight="1" thickBot="1">
      <c r="A49" s="63"/>
      <c r="B49" s="63"/>
      <c r="C49" s="63"/>
      <c r="D49" s="203">
        <v>4</v>
      </c>
      <c r="E49" s="206" t="s">
        <v>47</v>
      </c>
      <c r="F49" s="44"/>
      <c r="G49" s="60"/>
      <c r="H49" s="44"/>
      <c r="I49" s="44"/>
      <c r="J49" s="44" t="s">
        <v>96</v>
      </c>
      <c r="K49" s="45" t="s">
        <v>95</v>
      </c>
      <c r="L49" s="45" t="s">
        <v>97</v>
      </c>
      <c r="M49" s="46" t="s">
        <v>98</v>
      </c>
    </row>
    <row r="50" spans="1:13" ht="14.5" customHeight="1">
      <c r="A50" s="63"/>
      <c r="B50" s="63"/>
      <c r="C50" s="63"/>
      <c r="D50" s="204"/>
      <c r="E50" s="207"/>
      <c r="F50" s="47">
        <v>4.0999999999999996</v>
      </c>
      <c r="G50" s="209" t="s">
        <v>49</v>
      </c>
      <c r="H50" s="44"/>
      <c r="I50" s="44"/>
      <c r="J50" s="44"/>
      <c r="K50" s="45"/>
      <c r="L50" s="45"/>
      <c r="M50" s="46"/>
    </row>
    <row r="51" spans="1:13" ht="14.5" customHeight="1">
      <c r="A51" s="63"/>
      <c r="B51" s="63"/>
      <c r="C51" s="63"/>
      <c r="D51" s="204"/>
      <c r="E51" s="207"/>
      <c r="F51" s="48"/>
      <c r="G51" s="210"/>
      <c r="H51" s="49" t="s">
        <v>20</v>
      </c>
      <c r="I51" s="49" t="s">
        <v>67</v>
      </c>
      <c r="J51" s="49"/>
      <c r="K51" s="50"/>
      <c r="L51" s="50"/>
      <c r="M51" s="51"/>
    </row>
    <row r="52" spans="1:13" ht="14.5" customHeight="1">
      <c r="A52" s="63"/>
      <c r="B52" s="63"/>
      <c r="C52" s="63"/>
      <c r="D52" s="204"/>
      <c r="E52" s="207"/>
      <c r="F52" s="48"/>
      <c r="G52" s="210"/>
      <c r="H52" s="49"/>
      <c r="I52" s="49"/>
      <c r="J52" s="49" t="s">
        <v>121</v>
      </c>
      <c r="K52" s="49" t="s">
        <v>123</v>
      </c>
      <c r="L52" s="49" t="s">
        <v>122</v>
      </c>
      <c r="M52" s="52" t="s">
        <v>64</v>
      </c>
    </row>
    <row r="53" spans="1:13" ht="14.5" customHeight="1">
      <c r="A53" s="63"/>
      <c r="B53" s="63"/>
      <c r="C53" s="63"/>
      <c r="D53" s="204"/>
      <c r="E53" s="207"/>
      <c r="F53" s="48"/>
      <c r="G53" s="210"/>
      <c r="H53" s="49" t="s">
        <v>21</v>
      </c>
      <c r="I53" s="49" t="s">
        <v>69</v>
      </c>
      <c r="J53" s="49"/>
      <c r="K53" s="50"/>
      <c r="L53" s="50"/>
      <c r="M53" s="51"/>
    </row>
    <row r="54" spans="1:13" ht="15" customHeight="1" thickBot="1">
      <c r="A54" s="63"/>
      <c r="B54" s="63"/>
      <c r="C54" s="63"/>
      <c r="D54" s="204"/>
      <c r="E54" s="207"/>
      <c r="F54" s="53"/>
      <c r="G54" s="211"/>
      <c r="H54" s="54"/>
      <c r="I54" s="54"/>
      <c r="J54" s="54" t="s">
        <v>124</v>
      </c>
      <c r="K54" s="55" t="s">
        <v>126</v>
      </c>
      <c r="L54" s="55" t="s">
        <v>125</v>
      </c>
      <c r="M54" s="56" t="s">
        <v>129</v>
      </c>
    </row>
    <row r="55" spans="1:13" ht="14.5" customHeight="1">
      <c r="A55" s="63"/>
      <c r="B55" s="63"/>
      <c r="C55" s="63"/>
      <c r="D55" s="204"/>
      <c r="E55" s="207"/>
      <c r="F55" s="47">
        <v>4.2</v>
      </c>
      <c r="G55" s="209" t="s">
        <v>50</v>
      </c>
      <c r="H55" s="44"/>
      <c r="I55" s="44"/>
      <c r="J55" s="44"/>
      <c r="K55" s="45"/>
      <c r="L55" s="45"/>
      <c r="M55" s="46"/>
    </row>
    <row r="56" spans="1:13" ht="14.5" customHeight="1">
      <c r="A56" s="63"/>
      <c r="B56" s="63"/>
      <c r="C56" s="63"/>
      <c r="D56" s="204"/>
      <c r="E56" s="207"/>
      <c r="F56" s="48"/>
      <c r="G56" s="210"/>
      <c r="H56" s="49" t="s">
        <v>22</v>
      </c>
      <c r="I56" s="49" t="s">
        <v>70</v>
      </c>
      <c r="J56" s="49"/>
      <c r="K56" s="50"/>
      <c r="L56" s="50"/>
      <c r="M56" s="51"/>
    </row>
    <row r="57" spans="1:13" ht="14.5" customHeight="1">
      <c r="A57" s="63"/>
      <c r="B57" s="63"/>
      <c r="C57" s="63"/>
      <c r="D57" s="204"/>
      <c r="E57" s="207"/>
      <c r="F57" s="48"/>
      <c r="G57" s="210"/>
      <c r="H57" s="49"/>
      <c r="I57" s="49"/>
      <c r="J57" s="49" t="s">
        <v>127</v>
      </c>
      <c r="K57" s="50" t="s">
        <v>128</v>
      </c>
      <c r="L57" s="50" t="s">
        <v>125</v>
      </c>
      <c r="M57" s="51" t="s">
        <v>130</v>
      </c>
    </row>
    <row r="58" spans="1:13" ht="14.5" customHeight="1">
      <c r="A58" s="63"/>
      <c r="B58" s="63"/>
      <c r="C58" s="63"/>
      <c r="D58" s="204"/>
      <c r="E58" s="207"/>
      <c r="F58" s="48"/>
      <c r="G58" s="210"/>
      <c r="H58" s="49" t="s">
        <v>23</v>
      </c>
      <c r="I58" s="49" t="s">
        <v>65</v>
      </c>
      <c r="J58" s="49"/>
      <c r="K58" s="50"/>
      <c r="L58" s="50"/>
      <c r="M58" s="51"/>
    </row>
    <row r="59" spans="1:13" ht="15" customHeight="1" thickBot="1">
      <c r="A59" s="63"/>
      <c r="B59" s="63"/>
      <c r="C59" s="63"/>
      <c r="D59" s="204"/>
      <c r="E59" s="207"/>
      <c r="F59" s="53"/>
      <c r="G59" s="211"/>
      <c r="H59" s="54"/>
      <c r="I59" s="54"/>
      <c r="J59" s="54" t="s">
        <v>131</v>
      </c>
      <c r="K59" s="55" t="s">
        <v>133</v>
      </c>
      <c r="L59" s="55" t="s">
        <v>132</v>
      </c>
      <c r="M59" s="56" t="s">
        <v>48</v>
      </c>
    </row>
    <row r="60" spans="1:13" ht="26.5" customHeight="1">
      <c r="A60" s="63"/>
      <c r="B60" s="63"/>
      <c r="C60" s="63"/>
      <c r="D60" s="204"/>
      <c r="E60" s="207"/>
      <c r="F60" s="47">
        <v>4.3</v>
      </c>
      <c r="G60" s="209" t="s">
        <v>51</v>
      </c>
      <c r="H60" s="44"/>
      <c r="I60" s="44"/>
      <c r="J60" s="44"/>
      <c r="K60" s="45"/>
      <c r="L60" s="45"/>
      <c r="M60" s="46"/>
    </row>
    <row r="61" spans="1:13" ht="14.5" customHeight="1">
      <c r="A61" s="63"/>
      <c r="B61" s="63"/>
      <c r="C61" s="63"/>
      <c r="D61" s="204"/>
      <c r="E61" s="207"/>
      <c r="F61" s="48"/>
      <c r="G61" s="210"/>
      <c r="H61" s="49" t="s">
        <v>24</v>
      </c>
      <c r="I61" s="49" t="s">
        <v>33</v>
      </c>
      <c r="J61" s="49"/>
      <c r="K61" s="50"/>
      <c r="L61" s="50"/>
      <c r="M61" s="51"/>
    </row>
    <row r="62" spans="1:13" ht="14.5" customHeight="1">
      <c r="A62" s="63"/>
      <c r="B62" s="63"/>
      <c r="C62" s="63"/>
      <c r="D62" s="204"/>
      <c r="E62" s="207"/>
      <c r="F62" s="48"/>
      <c r="G62" s="210"/>
      <c r="H62" s="49"/>
      <c r="I62" s="49"/>
      <c r="J62" s="49" t="s">
        <v>134</v>
      </c>
      <c r="K62" s="50" t="s">
        <v>137</v>
      </c>
      <c r="L62" s="50" t="s">
        <v>135</v>
      </c>
      <c r="M62" s="51" t="s">
        <v>136</v>
      </c>
    </row>
    <row r="63" spans="1:13" ht="14.5" customHeight="1">
      <c r="A63" s="63"/>
      <c r="B63" s="63"/>
      <c r="C63" s="63"/>
      <c r="D63" s="204"/>
      <c r="E63" s="207"/>
      <c r="F63" s="48"/>
      <c r="G63" s="210"/>
      <c r="H63" s="49" t="s">
        <v>25</v>
      </c>
      <c r="I63" s="49" t="s">
        <v>32</v>
      </c>
      <c r="J63" s="49"/>
      <c r="K63" s="50"/>
      <c r="L63" s="50"/>
      <c r="M63" s="51"/>
    </row>
    <row r="64" spans="1:13" ht="15" customHeight="1" thickBot="1">
      <c r="A64" s="63"/>
      <c r="B64" s="63"/>
      <c r="C64" s="63"/>
      <c r="D64" s="205"/>
      <c r="E64" s="208"/>
      <c r="F64" s="53"/>
      <c r="G64" s="211"/>
      <c r="H64" s="54"/>
      <c r="I64" s="54"/>
      <c r="J64" s="54" t="s">
        <v>139</v>
      </c>
      <c r="K64" s="55" t="s">
        <v>140</v>
      </c>
      <c r="L64" s="55" t="s">
        <v>138</v>
      </c>
      <c r="M64" s="56" t="s">
        <v>141</v>
      </c>
    </row>
    <row r="65" spans="1:13" ht="11.5" customHeight="1" thickBot="1">
      <c r="A65" s="63"/>
      <c r="B65" s="63"/>
      <c r="C65" s="63"/>
      <c r="D65" s="185">
        <v>5</v>
      </c>
      <c r="E65" s="188" t="s">
        <v>1</v>
      </c>
      <c r="F65" s="20"/>
      <c r="G65" s="58"/>
      <c r="H65" s="20"/>
      <c r="I65" s="20"/>
      <c r="J65" s="20"/>
      <c r="K65" s="21"/>
      <c r="L65" s="21"/>
      <c r="M65" s="22"/>
    </row>
    <row r="66" spans="1:13" ht="26.5" customHeight="1">
      <c r="A66" s="63"/>
      <c r="B66" s="63"/>
      <c r="C66" s="63"/>
      <c r="D66" s="186"/>
      <c r="E66" s="189"/>
      <c r="F66" s="23">
        <v>5.0999999999999996</v>
      </c>
      <c r="G66" s="191" t="s">
        <v>52</v>
      </c>
      <c r="H66" s="20"/>
      <c r="I66" s="20"/>
      <c r="J66" s="20"/>
      <c r="K66" s="21"/>
      <c r="L66" s="21"/>
      <c r="M66" s="22"/>
    </row>
    <row r="67" spans="1:13" ht="14.5" customHeight="1">
      <c r="A67" s="63"/>
      <c r="B67" s="63"/>
      <c r="C67" s="63"/>
      <c r="D67" s="186"/>
      <c r="E67" s="189"/>
      <c r="F67" s="24"/>
      <c r="G67" s="192"/>
      <c r="H67" s="25" t="s">
        <v>26</v>
      </c>
      <c r="I67" s="25" t="s">
        <v>60</v>
      </c>
      <c r="J67" s="25"/>
      <c r="K67" s="26"/>
      <c r="L67" s="26"/>
      <c r="M67" s="27"/>
    </row>
    <row r="68" spans="1:13" ht="14.5" customHeight="1">
      <c r="A68" s="63"/>
      <c r="B68" s="63"/>
      <c r="C68" s="63"/>
      <c r="D68" s="186"/>
      <c r="E68" s="189"/>
      <c r="F68" s="24"/>
      <c r="G68" s="192"/>
      <c r="H68" s="25"/>
      <c r="I68" s="25"/>
      <c r="J68" s="25" t="s">
        <v>142</v>
      </c>
      <c r="K68" s="26" t="s">
        <v>146</v>
      </c>
      <c r="L68" s="26" t="s">
        <v>142</v>
      </c>
      <c r="M68" s="27" t="s">
        <v>143</v>
      </c>
    </row>
    <row r="69" spans="1:13" ht="14.5" customHeight="1">
      <c r="A69" s="63"/>
      <c r="B69" s="63"/>
      <c r="C69" s="63"/>
      <c r="D69" s="186"/>
      <c r="E69" s="189"/>
      <c r="F69" s="24"/>
      <c r="G69" s="192"/>
      <c r="H69" s="25" t="s">
        <v>27</v>
      </c>
      <c r="I69" s="25" t="s">
        <v>66</v>
      </c>
      <c r="J69" s="25"/>
      <c r="K69" s="26"/>
      <c r="L69" s="26"/>
      <c r="M69" s="27"/>
    </row>
    <row r="70" spans="1:13" ht="15" customHeight="1" thickBot="1">
      <c r="A70" s="63"/>
      <c r="B70" s="63"/>
      <c r="C70" s="63"/>
      <c r="D70" s="186"/>
      <c r="E70" s="189"/>
      <c r="F70" s="28"/>
      <c r="G70" s="193"/>
      <c r="H70" s="29"/>
      <c r="I70" s="29"/>
      <c r="J70" s="29" t="s">
        <v>147</v>
      </c>
      <c r="K70" s="30" t="s">
        <v>150</v>
      </c>
      <c r="L70" s="30" t="s">
        <v>148</v>
      </c>
      <c r="M70" s="31" t="s">
        <v>149</v>
      </c>
    </row>
    <row r="71" spans="1:13" ht="26.5" customHeight="1">
      <c r="A71" s="63"/>
      <c r="B71" s="63"/>
      <c r="C71" s="63"/>
      <c r="D71" s="186"/>
      <c r="E71" s="189"/>
      <c r="F71" s="23">
        <v>5.2</v>
      </c>
      <c r="G71" s="191" t="s">
        <v>53</v>
      </c>
      <c r="H71" s="20"/>
      <c r="I71" s="20"/>
      <c r="J71" s="20"/>
      <c r="K71" s="21"/>
      <c r="L71" s="21"/>
      <c r="M71" s="22"/>
    </row>
    <row r="72" spans="1:13" ht="14.5" customHeight="1">
      <c r="A72" s="63"/>
      <c r="B72" s="63"/>
      <c r="C72" s="63"/>
      <c r="D72" s="186"/>
      <c r="E72" s="189"/>
      <c r="F72" s="24"/>
      <c r="G72" s="192"/>
      <c r="H72" s="25" t="s">
        <v>30</v>
      </c>
      <c r="I72" s="25" t="s">
        <v>108</v>
      </c>
      <c r="J72" s="25"/>
      <c r="K72" s="26"/>
      <c r="L72" s="26"/>
      <c r="M72" s="27"/>
    </row>
    <row r="73" spans="1:13" ht="14.5" customHeight="1">
      <c r="A73" s="63"/>
      <c r="B73" s="63"/>
      <c r="C73" s="63"/>
      <c r="D73" s="186"/>
      <c r="E73" s="189"/>
      <c r="F73" s="24"/>
      <c r="G73" s="192"/>
      <c r="H73" s="25"/>
      <c r="I73" s="25"/>
      <c r="J73" s="25" t="s">
        <v>105</v>
      </c>
      <c r="K73" s="26" t="s">
        <v>109</v>
      </c>
      <c r="L73" s="26" t="s">
        <v>106</v>
      </c>
      <c r="M73" s="27" t="s">
        <v>144</v>
      </c>
    </row>
    <row r="74" spans="1:13" ht="14.5" customHeight="1">
      <c r="A74" s="63"/>
      <c r="B74" s="63"/>
      <c r="C74" s="63"/>
      <c r="D74" s="186"/>
      <c r="E74" s="189"/>
      <c r="F74" s="24"/>
      <c r="G74" s="192"/>
      <c r="H74" s="25" t="s">
        <v>31</v>
      </c>
      <c r="I74" s="25" t="s">
        <v>54</v>
      </c>
      <c r="J74" s="25"/>
      <c r="K74" s="26"/>
      <c r="L74" s="26"/>
      <c r="M74" s="27"/>
    </row>
    <row r="75" spans="1:13" ht="15" customHeight="1" thickBot="1">
      <c r="A75" s="63"/>
      <c r="B75" s="63"/>
      <c r="C75" s="63"/>
      <c r="D75" s="186"/>
      <c r="E75" s="189"/>
      <c r="F75" s="28"/>
      <c r="G75" s="193"/>
      <c r="H75" s="29"/>
      <c r="I75" s="29"/>
      <c r="J75" s="29" t="s">
        <v>102</v>
      </c>
      <c r="K75" s="30" t="s">
        <v>104</v>
      </c>
      <c r="L75" s="30" t="s">
        <v>103</v>
      </c>
      <c r="M75" s="31" t="s">
        <v>145</v>
      </c>
    </row>
    <row r="76" spans="1:13" ht="14.5" customHeight="1">
      <c r="A76" s="63"/>
      <c r="B76" s="63"/>
      <c r="C76" s="63"/>
      <c r="D76" s="186"/>
      <c r="E76" s="189"/>
      <c r="F76" s="23">
        <v>5.3</v>
      </c>
      <c r="G76" s="191" t="s">
        <v>55</v>
      </c>
      <c r="H76" s="20"/>
      <c r="I76" s="20"/>
      <c r="J76" s="20"/>
      <c r="K76" s="21"/>
      <c r="L76" s="21"/>
      <c r="M76" s="22"/>
    </row>
    <row r="77" spans="1:13" ht="14.5" customHeight="1">
      <c r="A77" s="63"/>
      <c r="B77" s="63"/>
      <c r="C77" s="63"/>
      <c r="D77" s="186"/>
      <c r="E77" s="189"/>
      <c r="F77" s="24"/>
      <c r="G77" s="192"/>
      <c r="H77" s="25" t="s">
        <v>28</v>
      </c>
      <c r="I77" s="25" t="s">
        <v>61</v>
      </c>
      <c r="J77" s="25"/>
      <c r="K77" s="26"/>
      <c r="L77" s="26"/>
      <c r="M77" s="27"/>
    </row>
    <row r="78" spans="1:13" ht="14.5" customHeight="1">
      <c r="A78" s="63"/>
      <c r="B78" s="63"/>
      <c r="C78" s="63"/>
      <c r="D78" s="186"/>
      <c r="E78" s="189"/>
      <c r="F78" s="24"/>
      <c r="G78" s="192"/>
      <c r="H78" s="25"/>
      <c r="I78" s="25"/>
      <c r="J78" s="25" t="s">
        <v>74</v>
      </c>
      <c r="K78" s="25" t="s">
        <v>101</v>
      </c>
      <c r="L78" s="25" t="s">
        <v>75</v>
      </c>
      <c r="M78" s="27" t="s">
        <v>76</v>
      </c>
    </row>
    <row r="79" spans="1:13" ht="14.5" customHeight="1">
      <c r="A79" s="63"/>
      <c r="B79" s="63"/>
      <c r="C79" s="63"/>
      <c r="D79" s="186"/>
      <c r="E79" s="189"/>
      <c r="F79" s="24"/>
      <c r="G79" s="192"/>
      <c r="H79" s="25" t="s">
        <v>29</v>
      </c>
      <c r="I79" s="25" t="s">
        <v>78</v>
      </c>
      <c r="J79" s="25"/>
      <c r="K79" s="26"/>
      <c r="L79" s="26"/>
      <c r="M79" s="27"/>
    </row>
    <row r="80" spans="1:13" ht="15" customHeight="1" thickBot="1">
      <c r="A80" s="63"/>
      <c r="B80" s="63"/>
      <c r="C80" s="63"/>
      <c r="D80" s="187"/>
      <c r="E80" s="190"/>
      <c r="F80" s="28"/>
      <c r="G80" s="193"/>
      <c r="H80" s="29"/>
      <c r="I80" s="29"/>
      <c r="J80" s="29" t="s">
        <v>77</v>
      </c>
      <c r="K80" s="30" t="s">
        <v>79</v>
      </c>
      <c r="L80" s="30" t="s">
        <v>80</v>
      </c>
      <c r="M80" s="31" t="s">
        <v>100</v>
      </c>
    </row>
    <row r="85" spans="7:7">
      <c r="G85" s="3">
        <f>15*2</f>
        <v>30</v>
      </c>
    </row>
  </sheetData>
  <mergeCells count="25">
    <mergeCell ref="D65:D80"/>
    <mergeCell ref="E65:E80"/>
    <mergeCell ref="G66:G70"/>
    <mergeCell ref="G71:G75"/>
    <mergeCell ref="G76:G80"/>
    <mergeCell ref="D34:D48"/>
    <mergeCell ref="E34:E48"/>
    <mergeCell ref="G35:G39"/>
    <mergeCell ref="G40:G44"/>
    <mergeCell ref="G45:G48"/>
    <mergeCell ref="D49:D64"/>
    <mergeCell ref="E49:E64"/>
    <mergeCell ref="G50:G54"/>
    <mergeCell ref="G55:G59"/>
    <mergeCell ref="G60:G64"/>
    <mergeCell ref="D2:D17"/>
    <mergeCell ref="E2:E17"/>
    <mergeCell ref="G3:G7"/>
    <mergeCell ref="G8:G12"/>
    <mergeCell ref="G13:G17"/>
    <mergeCell ref="D18:D33"/>
    <mergeCell ref="E18:E33"/>
    <mergeCell ref="G19:G23"/>
    <mergeCell ref="G24:G28"/>
    <mergeCell ref="G29:G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C90E-A612-48D9-A709-D03A39173CFB}">
  <dimension ref="A1:AZ109"/>
  <sheetViews>
    <sheetView zoomScale="10" zoomScaleNormal="10" workbookViewId="0">
      <pane ySplit="1" topLeftCell="A2" activePane="bottomLeft" state="frozen"/>
      <selection activeCell="G8" sqref="G8:G12"/>
      <selection pane="bottomLeft" activeCell="Q5" sqref="Q5"/>
    </sheetView>
  </sheetViews>
  <sheetFormatPr defaultRowHeight="13"/>
  <cols>
    <col min="1" max="3" width="8.7265625" style="1"/>
    <col min="4" max="4" width="4.453125" style="1" customWidth="1"/>
    <col min="5" max="5" width="21.36328125" style="2" customWidth="1"/>
    <col min="6" max="6" width="5.81640625" style="2" customWidth="1"/>
    <col min="7" max="7" width="80.90625" style="3" customWidth="1"/>
    <col min="8" max="8" width="6.7265625" style="2" customWidth="1"/>
    <col min="9" max="9" width="88" style="2" customWidth="1"/>
    <col min="10" max="10" width="7.26953125" style="2" customWidth="1"/>
    <col min="11" max="11" width="69.08984375" style="1" bestFit="1" customWidth="1"/>
    <col min="12" max="12" width="8.08984375" style="1" customWidth="1"/>
    <col min="13" max="13" width="66.7265625" style="1" customWidth="1"/>
    <col min="14" max="16" width="8.7265625" style="1"/>
    <col min="17" max="17" width="35.81640625" style="1" bestFit="1" customWidth="1"/>
    <col min="18" max="18" width="8.7265625" style="1"/>
    <col min="19" max="19" width="8.7265625" style="2"/>
    <col min="20" max="20" width="21.453125" style="2" customWidth="1"/>
    <col min="21" max="21" width="4.90625" style="2" customWidth="1"/>
    <col min="22" max="22" width="39" style="2" customWidth="1"/>
    <col min="23" max="26" width="8.7265625" style="1"/>
    <col min="27" max="27" width="41.7265625" style="2" bestFit="1" customWidth="1"/>
    <col min="28" max="28" width="68.81640625" style="2" customWidth="1"/>
    <col min="29" max="29" width="21" style="1" customWidth="1"/>
    <col min="30" max="30" width="4.90625" style="1" bestFit="1" customWidth="1"/>
    <col min="31" max="31" width="67.08984375" style="1" customWidth="1"/>
    <col min="32" max="32" width="20.54296875" style="1" bestFit="1" customWidth="1"/>
    <col min="33" max="33" width="4.90625" style="1" bestFit="1" customWidth="1"/>
    <col min="34" max="34" width="72" style="1" customWidth="1"/>
    <col min="35" max="35" width="28.90625" style="1" customWidth="1"/>
    <col min="36" max="36" width="4.90625" style="1" bestFit="1" customWidth="1"/>
    <col min="37" max="37" width="71.54296875" style="1" customWidth="1"/>
    <col min="38" max="38" width="24.453125" style="1" customWidth="1"/>
    <col min="39" max="39" width="4.90625" style="1" bestFit="1" customWidth="1"/>
    <col min="40" max="40" width="71.7265625" style="1" customWidth="1"/>
    <col min="41" max="41" width="20.81640625" style="1" customWidth="1"/>
    <col min="42" max="42" width="6.26953125" style="1" bestFit="1" customWidth="1"/>
    <col min="43" max="43" width="58" style="1" customWidth="1"/>
    <col min="44" max="44" width="35.7265625" style="1" customWidth="1"/>
    <col min="45" max="45" width="4.90625" style="1" bestFit="1" customWidth="1"/>
    <col min="46" max="46" width="50.90625" style="1" customWidth="1"/>
    <col min="47" max="47" width="25.1796875" style="1" customWidth="1"/>
    <col min="48" max="48" width="4.90625" style="1" bestFit="1" customWidth="1"/>
    <col min="49" max="49" width="56.81640625" style="1" customWidth="1"/>
    <col min="50" max="50" width="27" style="1" customWidth="1"/>
    <col min="51" max="51" width="4.90625" style="1" bestFit="1" customWidth="1"/>
    <col min="52" max="52" width="67.453125" style="1" customWidth="1"/>
    <col min="53" max="53" width="51" style="1" customWidth="1"/>
    <col min="54" max="16384" width="8.7265625" style="1"/>
  </cols>
  <sheetData>
    <row r="1" spans="1:28" s="4" customFormat="1" ht="30.5" thickBot="1">
      <c r="A1" s="61"/>
      <c r="B1" s="61"/>
      <c r="C1" s="61"/>
      <c r="D1" s="62"/>
      <c r="E1" s="5" t="s">
        <v>199</v>
      </c>
      <c r="F1" s="5"/>
      <c r="G1" s="5" t="s">
        <v>34</v>
      </c>
      <c r="H1" s="5"/>
      <c r="I1" s="5" t="s">
        <v>35</v>
      </c>
      <c r="J1" s="5"/>
      <c r="K1" s="6" t="s">
        <v>110</v>
      </c>
      <c r="L1" s="6"/>
      <c r="M1" s="7" t="s">
        <v>111</v>
      </c>
      <c r="S1" s="64"/>
      <c r="T1" s="64"/>
      <c r="U1" s="64"/>
      <c r="V1" s="64"/>
      <c r="AA1" s="64"/>
      <c r="AB1" s="64"/>
    </row>
    <row r="2" spans="1:28" ht="12.5" customHeight="1" thickBot="1">
      <c r="A2" s="63"/>
      <c r="B2" s="63"/>
      <c r="C2" s="63"/>
      <c r="D2" s="194">
        <v>1</v>
      </c>
      <c r="E2" s="197" t="s">
        <v>197</v>
      </c>
      <c r="F2" s="8"/>
      <c r="G2" s="57"/>
      <c r="H2" s="8"/>
      <c r="I2" s="8"/>
      <c r="J2" s="8"/>
      <c r="K2" s="9"/>
      <c r="L2" s="9"/>
      <c r="M2" s="10"/>
    </row>
    <row r="3" spans="1:28" ht="26.5" customHeight="1">
      <c r="A3" s="63"/>
      <c r="B3" s="63"/>
      <c r="C3" s="63"/>
      <c r="D3" s="195"/>
      <c r="E3" s="198"/>
      <c r="F3" s="11">
        <v>1.1000000000000001</v>
      </c>
      <c r="G3" s="200" t="s">
        <v>37</v>
      </c>
      <c r="H3" s="12"/>
      <c r="I3" s="12"/>
      <c r="J3" s="12"/>
      <c r="K3" s="13"/>
      <c r="L3" s="13"/>
      <c r="M3" s="14"/>
    </row>
    <row r="4" spans="1:28" ht="14.5" customHeight="1">
      <c r="A4" s="63"/>
      <c r="B4" s="63"/>
      <c r="C4" s="63"/>
      <c r="D4" s="195"/>
      <c r="E4" s="198"/>
      <c r="F4" s="15"/>
      <c r="G4" s="201"/>
      <c r="H4" s="8" t="s">
        <v>2</v>
      </c>
      <c r="I4" s="8" t="s">
        <v>82</v>
      </c>
      <c r="J4" s="8">
        <v>4</v>
      </c>
      <c r="K4" s="9" t="s">
        <v>204</v>
      </c>
      <c r="L4" s="9"/>
      <c r="M4" s="10"/>
    </row>
    <row r="5" spans="1:28" ht="14.5" customHeight="1">
      <c r="A5" s="63"/>
      <c r="B5" s="63"/>
      <c r="C5" s="63"/>
      <c r="D5" s="195"/>
      <c r="E5" s="198"/>
      <c r="F5" s="15"/>
      <c r="G5" s="201"/>
      <c r="H5" s="8"/>
      <c r="I5" s="8"/>
      <c r="J5" s="8"/>
      <c r="K5" s="9"/>
      <c r="L5" s="9" t="s">
        <v>87</v>
      </c>
      <c r="M5" s="10" t="s">
        <v>72</v>
      </c>
    </row>
    <row r="6" spans="1:28" ht="14.5" customHeight="1">
      <c r="A6" s="63"/>
      <c r="B6" s="63"/>
      <c r="C6" s="63"/>
      <c r="D6" s="195"/>
      <c r="E6" s="198"/>
      <c r="F6" s="15"/>
      <c r="G6" s="201"/>
      <c r="H6" s="8" t="s">
        <v>3</v>
      </c>
      <c r="I6" s="8" t="s">
        <v>38</v>
      </c>
      <c r="J6" s="8" t="s">
        <v>209</v>
      </c>
      <c r="K6" s="9" t="s">
        <v>214</v>
      </c>
      <c r="L6" s="9"/>
      <c r="M6" s="10"/>
      <c r="P6" s="1" t="s">
        <v>200</v>
      </c>
    </row>
    <row r="7" spans="1:28" ht="15" customHeight="1" thickBot="1">
      <c r="A7" s="63"/>
      <c r="B7" s="63"/>
      <c r="C7" s="63"/>
      <c r="D7" s="195"/>
      <c r="E7" s="198"/>
      <c r="F7" s="16"/>
      <c r="G7" s="202"/>
      <c r="H7" s="17"/>
      <c r="I7" s="17"/>
      <c r="J7" s="17"/>
      <c r="K7" s="18"/>
      <c r="L7" s="18" t="s">
        <v>167</v>
      </c>
      <c r="M7" s="19" t="s">
        <v>196</v>
      </c>
      <c r="P7" s="1">
        <v>1</v>
      </c>
      <c r="Q7" s="1" t="s">
        <v>202</v>
      </c>
    </row>
    <row r="8" spans="1:28" ht="14.5" customHeight="1">
      <c r="A8" s="63"/>
      <c r="B8" s="63"/>
      <c r="C8" s="63"/>
      <c r="D8" s="195"/>
      <c r="E8" s="198"/>
      <c r="F8" s="11">
        <v>1.2</v>
      </c>
      <c r="G8" s="200" t="s">
        <v>56</v>
      </c>
      <c r="H8" s="12"/>
      <c r="I8" s="12"/>
      <c r="J8" s="13"/>
      <c r="K8" s="13"/>
      <c r="L8" s="13"/>
      <c r="M8" s="14"/>
      <c r="P8" s="1">
        <v>2</v>
      </c>
      <c r="Q8" s="1" t="s">
        <v>201</v>
      </c>
    </row>
    <row r="9" spans="1:28" ht="14.5" customHeight="1">
      <c r="A9" s="63"/>
      <c r="B9" s="63"/>
      <c r="C9" s="63"/>
      <c r="D9" s="195"/>
      <c r="E9" s="198"/>
      <c r="F9" s="15"/>
      <c r="G9" s="201"/>
      <c r="H9" s="8" t="s">
        <v>4</v>
      </c>
      <c r="I9" s="8" t="s">
        <v>36</v>
      </c>
      <c r="J9" s="8">
        <v>2</v>
      </c>
      <c r="K9" s="9" t="s">
        <v>201</v>
      </c>
      <c r="L9" s="9"/>
      <c r="M9" s="10"/>
      <c r="P9" s="1">
        <v>3</v>
      </c>
      <c r="Q9" s="1" t="s">
        <v>203</v>
      </c>
    </row>
    <row r="10" spans="1:28" ht="14.5" customHeight="1">
      <c r="A10" s="63"/>
      <c r="B10" s="63"/>
      <c r="C10" s="63"/>
      <c r="D10" s="195"/>
      <c r="E10" s="198"/>
      <c r="F10" s="15"/>
      <c r="G10" s="201"/>
      <c r="H10" s="8"/>
      <c r="I10" s="8"/>
      <c r="J10" s="8"/>
      <c r="K10" s="9"/>
      <c r="L10" s="9" t="s">
        <v>89</v>
      </c>
      <c r="M10" s="10" t="s">
        <v>169</v>
      </c>
      <c r="P10" s="1">
        <v>4</v>
      </c>
      <c r="Q10" s="1" t="s">
        <v>204</v>
      </c>
    </row>
    <row r="11" spans="1:28" ht="14.5" customHeight="1">
      <c r="A11" s="63"/>
      <c r="B11" s="63"/>
      <c r="C11" s="63"/>
      <c r="D11" s="195"/>
      <c r="E11" s="198"/>
      <c r="F11" s="15"/>
      <c r="G11" s="201"/>
      <c r="H11" s="8" t="s">
        <v>5</v>
      </c>
      <c r="I11" s="8" t="s">
        <v>57</v>
      </c>
      <c r="J11" s="8">
        <v>4</v>
      </c>
      <c r="K11" s="9" t="s">
        <v>204</v>
      </c>
      <c r="L11" s="9"/>
      <c r="M11" s="10"/>
      <c r="P11" s="1">
        <v>5</v>
      </c>
      <c r="Q11" s="1" t="s">
        <v>205</v>
      </c>
    </row>
    <row r="12" spans="1:28" ht="15" customHeight="1" thickBot="1">
      <c r="A12" s="63"/>
      <c r="B12" s="63"/>
      <c r="C12" s="63"/>
      <c r="D12" s="195"/>
      <c r="E12" s="198"/>
      <c r="F12" s="16"/>
      <c r="G12" s="202"/>
      <c r="H12" s="17"/>
      <c r="I12" s="17"/>
      <c r="J12" s="17"/>
      <c r="K12" s="18"/>
      <c r="L12" s="18" t="s">
        <v>171</v>
      </c>
      <c r="M12" s="19" t="s">
        <v>173</v>
      </c>
      <c r="P12" s="1">
        <v>6</v>
      </c>
      <c r="Q12" s="1" t="s">
        <v>206</v>
      </c>
    </row>
    <row r="13" spans="1:28" ht="26.5" customHeight="1">
      <c r="A13" s="63"/>
      <c r="B13" s="63"/>
      <c r="C13" s="63"/>
      <c r="D13" s="195"/>
      <c r="E13" s="198"/>
      <c r="F13" s="11">
        <v>1.3</v>
      </c>
      <c r="G13" s="200" t="s">
        <v>42</v>
      </c>
      <c r="H13" s="12"/>
      <c r="I13" s="12"/>
      <c r="J13" s="12"/>
      <c r="K13" s="13"/>
      <c r="L13" s="13"/>
      <c r="M13" s="14"/>
      <c r="P13" s="1">
        <v>7</v>
      </c>
      <c r="Q13" s="1" t="s">
        <v>207</v>
      </c>
    </row>
    <row r="14" spans="1:28" ht="14.5" customHeight="1">
      <c r="A14" s="63"/>
      <c r="B14" s="63"/>
      <c r="C14" s="63"/>
      <c r="D14" s="195"/>
      <c r="E14" s="198"/>
      <c r="F14" s="15"/>
      <c r="G14" s="201"/>
      <c r="H14" s="8" t="s">
        <v>6</v>
      </c>
      <c r="I14" s="8" t="s">
        <v>71</v>
      </c>
      <c r="J14" s="8">
        <v>3</v>
      </c>
      <c r="K14" s="9" t="s">
        <v>203</v>
      </c>
      <c r="L14" s="9"/>
      <c r="M14" s="10"/>
      <c r="P14" s="1">
        <v>8</v>
      </c>
      <c r="Q14" s="1" t="s">
        <v>208</v>
      </c>
    </row>
    <row r="15" spans="1:28" ht="14.5" customHeight="1">
      <c r="A15" s="63"/>
      <c r="B15" s="63"/>
      <c r="C15" s="63"/>
      <c r="D15" s="195"/>
      <c r="E15" s="198"/>
      <c r="F15" s="15"/>
      <c r="G15" s="201"/>
      <c r="H15" s="8"/>
      <c r="I15" s="8"/>
      <c r="J15" s="8"/>
      <c r="K15" s="9"/>
      <c r="L15" s="9" t="s">
        <v>175</v>
      </c>
      <c r="M15" s="10" t="s">
        <v>178</v>
      </c>
    </row>
    <row r="16" spans="1:28" ht="14.5" customHeight="1">
      <c r="A16" s="63"/>
      <c r="B16" s="63"/>
      <c r="C16" s="63"/>
      <c r="D16" s="195"/>
      <c r="E16" s="198"/>
      <c r="F16" s="15"/>
      <c r="G16" s="201"/>
      <c r="H16" s="8" t="s">
        <v>7</v>
      </c>
      <c r="I16" s="8" t="s">
        <v>187</v>
      </c>
      <c r="J16" s="8">
        <v>4</v>
      </c>
      <c r="K16" s="9" t="s">
        <v>204</v>
      </c>
      <c r="L16" s="9"/>
      <c r="M16" s="10"/>
    </row>
    <row r="17" spans="1:13" ht="15" customHeight="1" thickBot="1">
      <c r="A17" s="63"/>
      <c r="B17" s="63"/>
      <c r="C17" s="63"/>
      <c r="D17" s="196"/>
      <c r="E17" s="199"/>
      <c r="F17" s="16"/>
      <c r="G17" s="202"/>
      <c r="H17" s="17"/>
      <c r="I17" s="17"/>
      <c r="J17" s="17"/>
      <c r="K17" s="18"/>
      <c r="L17" s="18" t="s">
        <v>177</v>
      </c>
      <c r="M17" s="19" t="s">
        <v>180</v>
      </c>
    </row>
    <row r="18" spans="1:13" ht="10.5" customHeight="1" thickBot="1">
      <c r="A18" s="63"/>
      <c r="B18" s="63"/>
      <c r="C18" s="63"/>
      <c r="D18" s="185">
        <v>2</v>
      </c>
      <c r="E18" s="188" t="s">
        <v>194</v>
      </c>
      <c r="F18" s="20"/>
      <c r="G18" s="58"/>
      <c r="H18" s="20"/>
      <c r="I18" s="20"/>
      <c r="J18" s="20"/>
      <c r="K18" s="21"/>
      <c r="L18" s="21"/>
      <c r="M18" s="22"/>
    </row>
    <row r="19" spans="1:13" ht="26.5" customHeight="1">
      <c r="A19" s="63"/>
      <c r="B19" s="63"/>
      <c r="C19" s="63"/>
      <c r="D19" s="186"/>
      <c r="E19" s="189"/>
      <c r="F19" s="23">
        <v>2.1</v>
      </c>
      <c r="G19" s="191" t="s">
        <v>39</v>
      </c>
      <c r="H19" s="20"/>
      <c r="I19" s="20"/>
      <c r="J19" s="20"/>
      <c r="K19" s="21"/>
      <c r="L19" s="21"/>
      <c r="M19" s="22"/>
    </row>
    <row r="20" spans="1:13" ht="14.5" customHeight="1">
      <c r="A20" s="63"/>
      <c r="B20" s="63"/>
      <c r="C20" s="63"/>
      <c r="D20" s="186"/>
      <c r="E20" s="189"/>
      <c r="F20" s="24"/>
      <c r="G20" s="192"/>
      <c r="H20" s="25" t="s">
        <v>8</v>
      </c>
      <c r="I20" s="25" t="s">
        <v>40</v>
      </c>
      <c r="J20" s="25">
        <v>1</v>
      </c>
      <c r="K20" s="26" t="s">
        <v>202</v>
      </c>
      <c r="L20" s="26"/>
      <c r="M20" s="27"/>
    </row>
    <row r="21" spans="1:13" ht="14.5" customHeight="1">
      <c r="A21" s="63"/>
      <c r="B21" s="63"/>
      <c r="C21" s="63"/>
      <c r="D21" s="186"/>
      <c r="E21" s="189"/>
      <c r="F21" s="24"/>
      <c r="G21" s="192"/>
      <c r="H21" s="25"/>
      <c r="I21" s="25"/>
      <c r="J21" s="25"/>
      <c r="K21" s="26"/>
      <c r="L21" s="26" t="s">
        <v>181</v>
      </c>
      <c r="M21" s="27" t="s">
        <v>196</v>
      </c>
    </row>
    <row r="22" spans="1:13" ht="14.5" customHeight="1">
      <c r="A22" s="63"/>
      <c r="B22" s="63"/>
      <c r="C22" s="63"/>
      <c r="D22" s="186"/>
      <c r="E22" s="189"/>
      <c r="F22" s="24"/>
      <c r="G22" s="192"/>
      <c r="H22" s="25" t="s">
        <v>9</v>
      </c>
      <c r="I22" s="25" t="s">
        <v>59</v>
      </c>
      <c r="J22" s="25">
        <v>4</v>
      </c>
      <c r="K22" s="26" t="s">
        <v>204</v>
      </c>
      <c r="L22" s="26"/>
      <c r="M22" s="27"/>
    </row>
    <row r="23" spans="1:13" ht="15" customHeight="1" thickBot="1">
      <c r="A23" s="63"/>
      <c r="B23" s="63"/>
      <c r="C23" s="63"/>
      <c r="D23" s="186"/>
      <c r="E23" s="189"/>
      <c r="F23" s="28"/>
      <c r="G23" s="193"/>
      <c r="H23" s="29"/>
      <c r="I23" s="29"/>
      <c r="J23" s="29"/>
      <c r="K23" s="30"/>
      <c r="L23" s="30" t="s">
        <v>183</v>
      </c>
      <c r="M23" s="31" t="s">
        <v>184</v>
      </c>
    </row>
    <row r="24" spans="1:13" ht="14.5" customHeight="1">
      <c r="A24" s="63"/>
      <c r="B24" s="63"/>
      <c r="C24" s="63"/>
      <c r="D24" s="186"/>
      <c r="E24" s="189"/>
      <c r="F24" s="23">
        <v>2.2000000000000002</v>
      </c>
      <c r="G24" s="191" t="s">
        <v>195</v>
      </c>
      <c r="H24" s="20"/>
      <c r="I24" s="20"/>
      <c r="J24" s="20"/>
      <c r="K24" s="21"/>
      <c r="L24" s="21"/>
      <c r="M24" s="22"/>
    </row>
    <row r="25" spans="1:13" ht="14.5" customHeight="1">
      <c r="A25" s="63"/>
      <c r="B25" s="63"/>
      <c r="C25" s="63"/>
      <c r="D25" s="186"/>
      <c r="E25" s="189"/>
      <c r="F25" s="24"/>
      <c r="G25" s="192"/>
      <c r="H25" s="25" t="s">
        <v>10</v>
      </c>
      <c r="I25" s="25" t="s">
        <v>41</v>
      </c>
      <c r="J25" s="25">
        <v>2</v>
      </c>
      <c r="K25" s="26" t="s">
        <v>201</v>
      </c>
      <c r="L25" s="26"/>
      <c r="M25" s="27"/>
    </row>
    <row r="26" spans="1:13" ht="14.5" customHeight="1">
      <c r="A26" s="63"/>
      <c r="B26" s="63"/>
      <c r="C26" s="63"/>
      <c r="D26" s="186"/>
      <c r="E26" s="189"/>
      <c r="F26" s="24"/>
      <c r="G26" s="192"/>
      <c r="H26" s="25"/>
      <c r="I26" s="25"/>
      <c r="J26" s="25"/>
      <c r="K26" s="26"/>
      <c r="L26" s="26" t="s">
        <v>155</v>
      </c>
      <c r="M26" s="27" t="s">
        <v>157</v>
      </c>
    </row>
    <row r="27" spans="1:13" ht="14.5" customHeight="1">
      <c r="A27" s="63"/>
      <c r="B27" s="63"/>
      <c r="C27" s="63"/>
      <c r="D27" s="186"/>
      <c r="E27" s="189"/>
      <c r="F27" s="24"/>
      <c r="G27" s="192"/>
      <c r="H27" s="25" t="s">
        <v>11</v>
      </c>
      <c r="I27" s="25" t="s">
        <v>193</v>
      </c>
      <c r="J27" s="25">
        <v>6</v>
      </c>
      <c r="K27" s="26" t="s">
        <v>217</v>
      </c>
      <c r="L27" s="26"/>
      <c r="M27" s="27"/>
    </row>
    <row r="28" spans="1:13" ht="15" customHeight="1" thickBot="1">
      <c r="A28" s="63"/>
      <c r="B28" s="63"/>
      <c r="C28" s="63"/>
      <c r="D28" s="186"/>
      <c r="E28" s="189"/>
      <c r="F28" s="28"/>
      <c r="G28" s="193"/>
      <c r="H28" s="29"/>
      <c r="I28" s="29"/>
      <c r="J28" s="29"/>
      <c r="K28" s="30"/>
      <c r="L28" s="30" t="s">
        <v>152</v>
      </c>
      <c r="M28" s="31" t="s">
        <v>192</v>
      </c>
    </row>
    <row r="29" spans="1:13" ht="14.5" customHeight="1">
      <c r="A29" s="63"/>
      <c r="B29" s="63"/>
      <c r="C29" s="63"/>
      <c r="D29" s="186"/>
      <c r="E29" s="189"/>
      <c r="F29" s="23">
        <v>2.2999999999999998</v>
      </c>
      <c r="G29" s="191" t="s">
        <v>43</v>
      </c>
      <c r="H29" s="20"/>
      <c r="I29" s="20"/>
      <c r="J29" s="20"/>
      <c r="K29" s="21"/>
      <c r="L29" s="21"/>
      <c r="M29" s="22"/>
    </row>
    <row r="30" spans="1:13" ht="14.5" customHeight="1">
      <c r="A30" s="63"/>
      <c r="B30" s="63"/>
      <c r="C30" s="63"/>
      <c r="D30" s="186"/>
      <c r="E30" s="189"/>
      <c r="F30" s="24"/>
      <c r="G30" s="192"/>
      <c r="H30" s="25" t="s">
        <v>12</v>
      </c>
      <c r="I30" s="25" t="s">
        <v>58</v>
      </c>
      <c r="J30" s="25">
        <v>5</v>
      </c>
      <c r="K30" s="26" t="s">
        <v>205</v>
      </c>
      <c r="L30" s="26"/>
      <c r="M30" s="27"/>
    </row>
    <row r="31" spans="1:13" ht="14.5" customHeight="1">
      <c r="A31" s="63"/>
      <c r="B31" s="63"/>
      <c r="C31" s="63"/>
      <c r="D31" s="186"/>
      <c r="E31" s="189"/>
      <c r="F31" s="24"/>
      <c r="G31" s="192"/>
      <c r="H31" s="25" t="s">
        <v>13</v>
      </c>
      <c r="I31" s="25" t="s">
        <v>268</v>
      </c>
      <c r="J31" s="25"/>
      <c r="K31" s="26"/>
      <c r="L31" s="26" t="s">
        <v>159</v>
      </c>
      <c r="M31" s="27" t="s">
        <v>161</v>
      </c>
    </row>
    <row r="32" spans="1:13" ht="14.5" customHeight="1">
      <c r="A32" s="63"/>
      <c r="B32" s="63"/>
      <c r="C32" s="63"/>
      <c r="D32" s="186"/>
      <c r="E32" s="189"/>
      <c r="F32" s="24"/>
      <c r="G32" s="192"/>
      <c r="H32" s="25" t="s">
        <v>269</v>
      </c>
      <c r="I32" s="25" t="s">
        <v>272</v>
      </c>
      <c r="J32" s="25">
        <v>6</v>
      </c>
      <c r="K32" s="26" t="s">
        <v>206</v>
      </c>
      <c r="L32" s="26"/>
      <c r="M32" s="27"/>
    </row>
    <row r="33" spans="1:13" ht="15" customHeight="1" thickBot="1">
      <c r="A33" s="63"/>
      <c r="B33" s="63"/>
      <c r="C33" s="63"/>
      <c r="D33" s="187"/>
      <c r="E33" s="190"/>
      <c r="F33" s="28"/>
      <c r="G33" s="193"/>
      <c r="H33" s="29" t="s">
        <v>270</v>
      </c>
      <c r="I33" s="29" t="s">
        <v>271</v>
      </c>
      <c r="J33" s="29"/>
      <c r="K33" s="30"/>
      <c r="L33" s="30" t="s">
        <v>163</v>
      </c>
      <c r="M33" s="31" t="s">
        <v>165</v>
      </c>
    </row>
    <row r="34" spans="1:13" ht="16.5" customHeight="1" thickBot="1">
      <c r="A34" s="63"/>
      <c r="B34" s="63"/>
      <c r="C34" s="63"/>
      <c r="D34" s="212">
        <v>3</v>
      </c>
      <c r="E34" s="215" t="s">
        <v>198</v>
      </c>
      <c r="F34" s="32"/>
      <c r="G34" s="59"/>
      <c r="H34" s="32"/>
      <c r="I34" s="32"/>
      <c r="J34" s="32"/>
      <c r="K34" s="33"/>
      <c r="L34" s="33"/>
      <c r="M34" s="34"/>
    </row>
    <row r="35" spans="1:13" ht="26.5" customHeight="1">
      <c r="A35" s="63"/>
      <c r="B35" s="63"/>
      <c r="C35" s="63"/>
      <c r="D35" s="213"/>
      <c r="E35" s="216"/>
      <c r="F35" s="35">
        <v>3.1</v>
      </c>
      <c r="G35" s="218" t="s">
        <v>44</v>
      </c>
      <c r="H35" s="32"/>
      <c r="I35" s="32"/>
      <c r="J35" s="32"/>
      <c r="K35" s="33"/>
      <c r="L35" s="33"/>
      <c r="M35" s="34"/>
    </row>
    <row r="36" spans="1:13" ht="14.5" customHeight="1">
      <c r="A36" s="63"/>
      <c r="B36" s="63"/>
      <c r="C36" s="63"/>
      <c r="D36" s="213"/>
      <c r="E36" s="216"/>
      <c r="F36" s="36"/>
      <c r="G36" s="219"/>
      <c r="H36" s="37" t="s">
        <v>14</v>
      </c>
      <c r="I36" s="37" t="s">
        <v>188</v>
      </c>
      <c r="J36" s="37">
        <v>3</v>
      </c>
      <c r="K36" s="38" t="s">
        <v>203</v>
      </c>
      <c r="L36" s="38"/>
      <c r="M36" s="39"/>
    </row>
    <row r="37" spans="1:13" ht="14.5" customHeight="1">
      <c r="A37" s="63"/>
      <c r="B37" s="63"/>
      <c r="C37" s="63"/>
      <c r="D37" s="213"/>
      <c r="E37" s="216"/>
      <c r="F37" s="36"/>
      <c r="G37" s="219"/>
      <c r="H37" s="37"/>
      <c r="I37" s="37"/>
      <c r="J37" s="37"/>
      <c r="K37" s="38"/>
      <c r="L37" s="38" t="s">
        <v>85</v>
      </c>
      <c r="M37" s="39" t="s">
        <v>83</v>
      </c>
    </row>
    <row r="38" spans="1:13" ht="14.5" customHeight="1">
      <c r="A38" s="63"/>
      <c r="B38" s="63"/>
      <c r="C38" s="63"/>
      <c r="D38" s="213"/>
      <c r="E38" s="216"/>
      <c r="F38" s="36"/>
      <c r="G38" s="219"/>
      <c r="H38" s="37" t="s">
        <v>15</v>
      </c>
      <c r="I38" s="37" t="s">
        <v>45</v>
      </c>
      <c r="J38" s="37" t="s">
        <v>209</v>
      </c>
      <c r="K38" s="38" t="s">
        <v>214</v>
      </c>
      <c r="L38" s="38"/>
      <c r="M38" s="39"/>
    </row>
    <row r="39" spans="1:13" ht="15" customHeight="1" thickBot="1">
      <c r="A39" s="63"/>
      <c r="B39" s="63"/>
      <c r="C39" s="63"/>
      <c r="D39" s="213"/>
      <c r="E39" s="216"/>
      <c r="F39" s="40"/>
      <c r="G39" s="220"/>
      <c r="H39" s="41"/>
      <c r="I39" s="41"/>
      <c r="J39" s="41"/>
      <c r="K39" s="42"/>
      <c r="L39" s="42" t="s">
        <v>113</v>
      </c>
      <c r="M39" s="43" t="s">
        <v>115</v>
      </c>
    </row>
    <row r="40" spans="1:13" ht="26.5" customHeight="1">
      <c r="A40" s="63"/>
      <c r="B40" s="63"/>
      <c r="C40" s="63"/>
      <c r="D40" s="213"/>
      <c r="E40" s="216"/>
      <c r="F40" s="35">
        <v>3.2</v>
      </c>
      <c r="G40" s="218" t="s">
        <v>62</v>
      </c>
      <c r="H40" s="32"/>
      <c r="I40" s="32"/>
      <c r="J40" s="32"/>
      <c r="K40" s="33"/>
      <c r="L40" s="33"/>
      <c r="M40" s="34"/>
    </row>
    <row r="41" spans="1:13" ht="14.5" customHeight="1">
      <c r="A41" s="63"/>
      <c r="B41" s="63"/>
      <c r="C41" s="63"/>
      <c r="D41" s="213"/>
      <c r="E41" s="216"/>
      <c r="F41" s="36"/>
      <c r="G41" s="219"/>
      <c r="H41" s="37" t="s">
        <v>16</v>
      </c>
      <c r="I41" s="37" t="s">
        <v>92</v>
      </c>
      <c r="J41" s="37">
        <v>7</v>
      </c>
      <c r="K41" s="38" t="s">
        <v>207</v>
      </c>
      <c r="L41" s="38"/>
      <c r="M41" s="39"/>
    </row>
    <row r="42" spans="1:13" ht="14.5" customHeight="1">
      <c r="A42" s="63"/>
      <c r="B42" s="63"/>
      <c r="C42" s="63"/>
      <c r="D42" s="213"/>
      <c r="E42" s="216"/>
      <c r="F42" s="36"/>
      <c r="G42" s="219"/>
      <c r="H42" s="37"/>
      <c r="I42" s="37"/>
      <c r="J42" s="37"/>
      <c r="K42" s="37"/>
      <c r="L42" s="37" t="s">
        <v>91</v>
      </c>
      <c r="M42" s="39" t="s">
        <v>46</v>
      </c>
    </row>
    <row r="43" spans="1:13" ht="14.5" customHeight="1">
      <c r="A43" s="63"/>
      <c r="B43" s="63"/>
      <c r="C43" s="63"/>
      <c r="D43" s="213"/>
      <c r="E43" s="216"/>
      <c r="F43" s="36"/>
      <c r="G43" s="219"/>
      <c r="H43" s="37" t="s">
        <v>17</v>
      </c>
      <c r="I43" s="37" t="s">
        <v>118</v>
      </c>
      <c r="J43" s="37">
        <v>7</v>
      </c>
      <c r="K43" s="38" t="s">
        <v>207</v>
      </c>
      <c r="L43" s="38"/>
      <c r="M43" s="39"/>
    </row>
    <row r="44" spans="1:13" ht="15" customHeight="1" thickBot="1">
      <c r="A44" s="63"/>
      <c r="B44" s="63"/>
      <c r="C44" s="63"/>
      <c r="D44" s="213"/>
      <c r="E44" s="216"/>
      <c r="F44" s="40"/>
      <c r="G44" s="220"/>
      <c r="H44" s="41"/>
      <c r="I44" s="41"/>
      <c r="J44" s="41"/>
      <c r="K44" s="42"/>
      <c r="L44" s="42" t="s">
        <v>117</v>
      </c>
      <c r="M44" s="43" t="s">
        <v>120</v>
      </c>
    </row>
    <row r="45" spans="1:13" ht="26.5" customHeight="1">
      <c r="A45" s="63"/>
      <c r="B45" s="63"/>
      <c r="C45" s="63"/>
      <c r="D45" s="213"/>
      <c r="E45" s="216"/>
      <c r="F45" s="35">
        <v>3.3</v>
      </c>
      <c r="G45" s="218" t="s">
        <v>0</v>
      </c>
      <c r="H45" s="32"/>
      <c r="I45" s="32"/>
      <c r="J45" s="32"/>
      <c r="K45" s="33"/>
      <c r="L45" s="33"/>
      <c r="M45" s="34"/>
    </row>
    <row r="46" spans="1:13" ht="14.5" customHeight="1">
      <c r="A46" s="63"/>
      <c r="B46" s="63"/>
      <c r="C46" s="63"/>
      <c r="D46" s="213"/>
      <c r="E46" s="216"/>
      <c r="F46" s="36"/>
      <c r="G46" s="219"/>
      <c r="H46" s="37" t="s">
        <v>18</v>
      </c>
      <c r="I46" s="37" t="s">
        <v>189</v>
      </c>
      <c r="J46" s="37">
        <v>1</v>
      </c>
      <c r="K46" s="38" t="s">
        <v>202</v>
      </c>
      <c r="L46" s="38"/>
      <c r="M46" s="39"/>
    </row>
    <row r="47" spans="1:13" ht="14.5" customHeight="1">
      <c r="A47" s="63"/>
      <c r="B47" s="63"/>
      <c r="C47" s="63"/>
      <c r="D47" s="213"/>
      <c r="E47" s="216"/>
      <c r="F47" s="36"/>
      <c r="G47" s="219"/>
      <c r="H47" s="37"/>
      <c r="I47" s="37"/>
      <c r="J47" s="37"/>
      <c r="K47" s="38"/>
      <c r="L47" s="38" t="s">
        <v>93</v>
      </c>
      <c r="M47" s="39" t="s">
        <v>190</v>
      </c>
    </row>
    <row r="48" spans="1:13" ht="15" customHeight="1" thickBot="1">
      <c r="A48" s="63"/>
      <c r="B48" s="63"/>
      <c r="C48" s="63"/>
      <c r="D48" s="214"/>
      <c r="E48" s="217"/>
      <c r="F48" s="40"/>
      <c r="G48" s="220"/>
      <c r="H48" s="41" t="s">
        <v>19</v>
      </c>
      <c r="I48" s="41" t="s">
        <v>99</v>
      </c>
      <c r="J48" s="41">
        <v>8</v>
      </c>
      <c r="K48" s="42" t="s">
        <v>208</v>
      </c>
      <c r="L48" s="42"/>
      <c r="M48" s="43"/>
    </row>
    <row r="49" spans="1:13" ht="15" customHeight="1" thickBot="1">
      <c r="A49" s="63"/>
      <c r="B49" s="63"/>
      <c r="C49" s="63"/>
      <c r="D49" s="203">
        <v>4</v>
      </c>
      <c r="E49" s="206" t="s">
        <v>47</v>
      </c>
      <c r="F49" s="44"/>
      <c r="G49" s="60"/>
      <c r="H49" s="44"/>
      <c r="I49" s="44"/>
      <c r="J49" s="44"/>
      <c r="K49" s="45"/>
      <c r="L49" s="45" t="s">
        <v>97</v>
      </c>
      <c r="M49" s="46" t="s">
        <v>98</v>
      </c>
    </row>
    <row r="50" spans="1:13" ht="14.5" customHeight="1">
      <c r="A50" s="63"/>
      <c r="B50" s="63"/>
      <c r="C50" s="63"/>
      <c r="D50" s="204"/>
      <c r="E50" s="207"/>
      <c r="F50" s="47">
        <v>4.0999999999999996</v>
      </c>
      <c r="G50" s="209" t="s">
        <v>49</v>
      </c>
      <c r="H50" s="44"/>
      <c r="I50" s="44"/>
      <c r="J50" s="44"/>
      <c r="K50" s="45"/>
      <c r="L50" s="45"/>
      <c r="M50" s="46"/>
    </row>
    <row r="51" spans="1:13" ht="14.5" customHeight="1">
      <c r="A51" s="63"/>
      <c r="B51" s="63"/>
      <c r="C51" s="63"/>
      <c r="D51" s="204"/>
      <c r="E51" s="207"/>
      <c r="F51" s="48"/>
      <c r="G51" s="210"/>
      <c r="H51" s="49" t="s">
        <v>20</v>
      </c>
      <c r="I51" s="49" t="s">
        <v>67</v>
      </c>
      <c r="J51" s="49">
        <v>3</v>
      </c>
      <c r="K51" s="50" t="s">
        <v>203</v>
      </c>
      <c r="L51" s="50"/>
      <c r="M51" s="51"/>
    </row>
    <row r="52" spans="1:13" ht="14.5" customHeight="1">
      <c r="A52" s="63"/>
      <c r="B52" s="63"/>
      <c r="C52" s="63"/>
      <c r="D52" s="204"/>
      <c r="E52" s="207"/>
      <c r="F52" s="48"/>
      <c r="G52" s="210"/>
      <c r="H52" s="49"/>
      <c r="I52" s="49"/>
      <c r="J52" s="49"/>
      <c r="K52" s="49"/>
      <c r="L52" s="49" t="s">
        <v>122</v>
      </c>
      <c r="M52" s="52" t="s">
        <v>64</v>
      </c>
    </row>
    <row r="53" spans="1:13" ht="14.5" customHeight="1">
      <c r="A53" s="63"/>
      <c r="B53" s="63"/>
      <c r="C53" s="63"/>
      <c r="D53" s="204"/>
      <c r="E53" s="207"/>
      <c r="F53" s="48"/>
      <c r="G53" s="210"/>
      <c r="H53" s="49" t="s">
        <v>21</v>
      </c>
      <c r="I53" s="49" t="s">
        <v>69</v>
      </c>
      <c r="J53" s="49">
        <v>5</v>
      </c>
      <c r="K53" s="50" t="s">
        <v>205</v>
      </c>
      <c r="L53" s="50"/>
      <c r="M53" s="51"/>
    </row>
    <row r="54" spans="1:13" ht="15" customHeight="1" thickBot="1">
      <c r="A54" s="63"/>
      <c r="B54" s="63"/>
      <c r="C54" s="63"/>
      <c r="D54" s="204"/>
      <c r="E54" s="207"/>
      <c r="F54" s="53"/>
      <c r="G54" s="211"/>
      <c r="H54" s="54"/>
      <c r="I54" s="54"/>
      <c r="J54" s="54"/>
      <c r="K54" s="55"/>
      <c r="L54" s="55" t="s">
        <v>125</v>
      </c>
      <c r="M54" s="56" t="s">
        <v>129</v>
      </c>
    </row>
    <row r="55" spans="1:13" ht="14.5" customHeight="1">
      <c r="A55" s="63"/>
      <c r="B55" s="63"/>
      <c r="C55" s="63"/>
      <c r="D55" s="204"/>
      <c r="E55" s="207"/>
      <c r="F55" s="47">
        <v>4.2</v>
      </c>
      <c r="G55" s="209" t="s">
        <v>50</v>
      </c>
      <c r="H55" s="44"/>
      <c r="I55" s="44"/>
      <c r="J55" s="44"/>
      <c r="K55" s="45"/>
      <c r="L55" s="45"/>
      <c r="M55" s="46"/>
    </row>
    <row r="56" spans="1:13" ht="14.5" customHeight="1">
      <c r="A56" s="63"/>
      <c r="B56" s="63"/>
      <c r="C56" s="63"/>
      <c r="D56" s="204"/>
      <c r="E56" s="207"/>
      <c r="F56" s="48"/>
      <c r="G56" s="210"/>
      <c r="H56" s="49" t="s">
        <v>22</v>
      </c>
      <c r="I56" s="49" t="s">
        <v>70</v>
      </c>
      <c r="J56" s="49">
        <v>3</v>
      </c>
      <c r="K56" s="50" t="s">
        <v>203</v>
      </c>
      <c r="L56" s="50"/>
      <c r="M56" s="51"/>
    </row>
    <row r="57" spans="1:13" ht="14.5" customHeight="1">
      <c r="A57" s="63"/>
      <c r="B57" s="63"/>
      <c r="C57" s="63"/>
      <c r="D57" s="204"/>
      <c r="E57" s="207"/>
      <c r="F57" s="48"/>
      <c r="G57" s="210"/>
      <c r="H57" s="49"/>
      <c r="I57" s="49"/>
      <c r="J57" s="49"/>
      <c r="K57" s="50"/>
      <c r="L57" s="50" t="s">
        <v>125</v>
      </c>
      <c r="M57" s="51" t="s">
        <v>130</v>
      </c>
    </row>
    <row r="58" spans="1:13" ht="14.5" customHeight="1">
      <c r="A58" s="63"/>
      <c r="B58" s="63"/>
      <c r="C58" s="63"/>
      <c r="D58" s="204"/>
      <c r="E58" s="207"/>
      <c r="F58" s="48"/>
      <c r="G58" s="210"/>
      <c r="H58" s="49" t="s">
        <v>23</v>
      </c>
      <c r="I58" s="49" t="s">
        <v>65</v>
      </c>
      <c r="J58" s="49" t="s">
        <v>212</v>
      </c>
      <c r="K58" s="50" t="s">
        <v>213</v>
      </c>
      <c r="L58" s="50"/>
      <c r="M58" s="51"/>
    </row>
    <row r="59" spans="1:13" ht="15" customHeight="1" thickBot="1">
      <c r="A59" s="63"/>
      <c r="B59" s="63"/>
      <c r="C59" s="63"/>
      <c r="D59" s="204"/>
      <c r="E59" s="207"/>
      <c r="F59" s="53"/>
      <c r="G59" s="211"/>
      <c r="H59" s="54"/>
      <c r="I59" s="54"/>
      <c r="J59" s="54"/>
      <c r="K59" s="55"/>
      <c r="L59" s="55" t="s">
        <v>132</v>
      </c>
      <c r="M59" s="56" t="s">
        <v>48</v>
      </c>
    </row>
    <row r="60" spans="1:13" ht="26.5" customHeight="1">
      <c r="A60" s="63"/>
      <c r="B60" s="63"/>
      <c r="C60" s="63"/>
      <c r="D60" s="204"/>
      <c r="E60" s="207"/>
      <c r="F60" s="47">
        <v>4.3</v>
      </c>
      <c r="G60" s="209" t="s">
        <v>51</v>
      </c>
      <c r="H60" s="44"/>
      <c r="I60" s="44"/>
      <c r="J60" s="44"/>
      <c r="K60" s="45"/>
      <c r="L60" s="45"/>
      <c r="M60" s="46"/>
    </row>
    <row r="61" spans="1:13" ht="14.5" customHeight="1">
      <c r="A61" s="63"/>
      <c r="B61" s="63"/>
      <c r="C61" s="63"/>
      <c r="D61" s="204"/>
      <c r="E61" s="207"/>
      <c r="F61" s="48"/>
      <c r="G61" s="210"/>
      <c r="H61" s="49" t="s">
        <v>24</v>
      </c>
      <c r="I61" s="49" t="s">
        <v>33</v>
      </c>
      <c r="J61" s="49">
        <v>5</v>
      </c>
      <c r="K61" s="50" t="s">
        <v>205</v>
      </c>
      <c r="L61" s="50"/>
      <c r="M61" s="51"/>
    </row>
    <row r="62" spans="1:13" ht="14.5" customHeight="1">
      <c r="A62" s="63"/>
      <c r="B62" s="63"/>
      <c r="C62" s="63"/>
      <c r="D62" s="204"/>
      <c r="E62" s="207"/>
      <c r="F62" s="48"/>
      <c r="G62" s="210"/>
      <c r="H62" s="49"/>
      <c r="I62" s="49"/>
      <c r="J62" s="49"/>
      <c r="K62" s="50"/>
      <c r="L62" s="50" t="s">
        <v>135</v>
      </c>
      <c r="M62" s="51" t="s">
        <v>136</v>
      </c>
    </row>
    <row r="63" spans="1:13" ht="14.5" customHeight="1">
      <c r="A63" s="63"/>
      <c r="B63" s="63"/>
      <c r="C63" s="63"/>
      <c r="D63" s="204"/>
      <c r="E63" s="207"/>
      <c r="F63" s="48"/>
      <c r="G63" s="210"/>
      <c r="H63" s="49" t="s">
        <v>25</v>
      </c>
      <c r="I63" s="49" t="s">
        <v>32</v>
      </c>
      <c r="J63" s="49" t="s">
        <v>212</v>
      </c>
      <c r="K63" s="50" t="s">
        <v>213</v>
      </c>
      <c r="L63" s="50"/>
      <c r="M63" s="51"/>
    </row>
    <row r="64" spans="1:13" ht="15" customHeight="1" thickBot="1">
      <c r="A64" s="63"/>
      <c r="B64" s="63"/>
      <c r="C64" s="63"/>
      <c r="D64" s="205"/>
      <c r="E64" s="208"/>
      <c r="F64" s="53"/>
      <c r="G64" s="211"/>
      <c r="H64" s="54"/>
      <c r="I64" s="54"/>
      <c r="J64" s="54"/>
      <c r="K64" s="55"/>
      <c r="L64" s="55" t="s">
        <v>138</v>
      </c>
      <c r="M64" s="56" t="s">
        <v>141</v>
      </c>
    </row>
    <row r="65" spans="1:13" ht="11.5" customHeight="1" thickBot="1">
      <c r="A65" s="63"/>
      <c r="B65" s="63"/>
      <c r="C65" s="63"/>
      <c r="D65" s="185">
        <v>5</v>
      </c>
      <c r="E65" s="188" t="s">
        <v>1</v>
      </c>
      <c r="F65" s="20"/>
      <c r="G65" s="58"/>
      <c r="H65" s="20"/>
      <c r="I65" s="20"/>
      <c r="J65" s="20"/>
      <c r="K65" s="21"/>
      <c r="L65" s="21"/>
      <c r="M65" s="22"/>
    </row>
    <row r="66" spans="1:13" ht="26.5" customHeight="1">
      <c r="A66" s="63"/>
      <c r="B66" s="63"/>
      <c r="C66" s="63"/>
      <c r="D66" s="186"/>
      <c r="E66" s="189"/>
      <c r="F66" s="23">
        <v>5.0999999999999996</v>
      </c>
      <c r="G66" s="191" t="s">
        <v>52</v>
      </c>
      <c r="H66" s="20"/>
      <c r="I66" s="20"/>
      <c r="J66" s="20"/>
      <c r="K66" s="21"/>
      <c r="L66" s="21"/>
      <c r="M66" s="22"/>
    </row>
    <row r="67" spans="1:13" ht="14.5" customHeight="1">
      <c r="A67" s="63"/>
      <c r="B67" s="63"/>
      <c r="C67" s="63"/>
      <c r="D67" s="186"/>
      <c r="E67" s="189"/>
      <c r="F67" s="24"/>
      <c r="G67" s="192"/>
      <c r="H67" s="25" t="s">
        <v>26</v>
      </c>
      <c r="I67" s="25" t="s">
        <v>60</v>
      </c>
      <c r="J67" s="25">
        <v>7</v>
      </c>
      <c r="K67" s="26" t="s">
        <v>215</v>
      </c>
      <c r="L67" s="26"/>
      <c r="M67" s="27"/>
    </row>
    <row r="68" spans="1:13" ht="14.5" customHeight="1">
      <c r="A68" s="63"/>
      <c r="B68" s="63"/>
      <c r="C68" s="63"/>
      <c r="D68" s="186"/>
      <c r="E68" s="189"/>
      <c r="F68" s="24"/>
      <c r="G68" s="192"/>
      <c r="H68" s="25"/>
      <c r="I68" s="25"/>
      <c r="J68" s="25"/>
      <c r="K68" s="26"/>
      <c r="L68" s="26" t="s">
        <v>142</v>
      </c>
      <c r="M68" s="27" t="s">
        <v>143</v>
      </c>
    </row>
    <row r="69" spans="1:13" ht="14.5" customHeight="1">
      <c r="A69" s="63"/>
      <c r="B69" s="63"/>
      <c r="C69" s="63"/>
      <c r="D69" s="186"/>
      <c r="E69" s="189"/>
      <c r="F69" s="24"/>
      <c r="G69" s="192"/>
      <c r="H69" s="25" t="s">
        <v>27</v>
      </c>
      <c r="I69" s="25" t="s">
        <v>66</v>
      </c>
      <c r="J69" s="25">
        <v>8</v>
      </c>
      <c r="K69" s="26" t="s">
        <v>208</v>
      </c>
      <c r="L69" s="26"/>
      <c r="M69" s="27"/>
    </row>
    <row r="70" spans="1:13" ht="15" customHeight="1" thickBot="1">
      <c r="A70" s="63"/>
      <c r="B70" s="63"/>
      <c r="C70" s="63"/>
      <c r="D70" s="186"/>
      <c r="E70" s="189"/>
      <c r="F70" s="28"/>
      <c r="G70" s="193"/>
      <c r="H70" s="29"/>
      <c r="I70" s="29"/>
      <c r="J70" s="29"/>
      <c r="K70" s="30"/>
      <c r="L70" s="30" t="s">
        <v>148</v>
      </c>
      <c r="M70" s="31" t="s">
        <v>149</v>
      </c>
    </row>
    <row r="71" spans="1:13" ht="26.5" customHeight="1">
      <c r="A71" s="63"/>
      <c r="B71" s="63"/>
      <c r="C71" s="63"/>
      <c r="D71" s="186"/>
      <c r="E71" s="189"/>
      <c r="F71" s="23">
        <v>5.2</v>
      </c>
      <c r="G71" s="191" t="s">
        <v>53</v>
      </c>
      <c r="H71" s="20"/>
      <c r="I71" s="20"/>
      <c r="J71" s="20"/>
      <c r="K71" s="21"/>
      <c r="L71" s="21"/>
      <c r="M71" s="22"/>
    </row>
    <row r="72" spans="1:13" ht="14.5" customHeight="1">
      <c r="A72" s="63"/>
      <c r="B72" s="63"/>
      <c r="C72" s="63"/>
      <c r="D72" s="186"/>
      <c r="E72" s="189"/>
      <c r="F72" s="24"/>
      <c r="G72" s="192"/>
      <c r="H72" s="25" t="s">
        <v>30</v>
      </c>
      <c r="I72" s="25" t="s">
        <v>108</v>
      </c>
      <c r="J72" s="25">
        <v>7</v>
      </c>
      <c r="K72" s="26" t="s">
        <v>215</v>
      </c>
      <c r="L72" s="26"/>
      <c r="M72" s="27"/>
    </row>
    <row r="73" spans="1:13" ht="14.5" customHeight="1">
      <c r="A73" s="63"/>
      <c r="B73" s="63"/>
      <c r="C73" s="63"/>
      <c r="D73" s="186"/>
      <c r="E73" s="189"/>
      <c r="F73" s="24"/>
      <c r="G73" s="192"/>
      <c r="H73" s="25"/>
      <c r="I73" s="25"/>
      <c r="J73" s="25"/>
      <c r="K73" s="26"/>
      <c r="L73" s="26" t="s">
        <v>106</v>
      </c>
      <c r="M73" s="27" t="s">
        <v>144</v>
      </c>
    </row>
    <row r="74" spans="1:13" ht="14.5" customHeight="1">
      <c r="A74" s="63"/>
      <c r="B74" s="63"/>
      <c r="C74" s="63"/>
      <c r="D74" s="186"/>
      <c r="E74" s="189"/>
      <c r="F74" s="24"/>
      <c r="G74" s="192"/>
      <c r="H74" s="25" t="s">
        <v>31</v>
      </c>
      <c r="I74" s="25" t="s">
        <v>54</v>
      </c>
      <c r="J74" s="25" t="s">
        <v>211</v>
      </c>
      <c r="K74" s="26" t="s">
        <v>216</v>
      </c>
      <c r="L74" s="26"/>
      <c r="M74" s="27"/>
    </row>
    <row r="75" spans="1:13" ht="15" customHeight="1" thickBot="1">
      <c r="A75" s="63"/>
      <c r="B75" s="63"/>
      <c r="C75" s="63"/>
      <c r="D75" s="186"/>
      <c r="E75" s="189"/>
      <c r="F75" s="28"/>
      <c r="G75" s="193"/>
      <c r="H75" s="29"/>
      <c r="I75" s="29"/>
      <c r="J75" s="29"/>
      <c r="K75" s="30"/>
      <c r="L75" s="30" t="s">
        <v>103</v>
      </c>
      <c r="M75" s="31" t="s">
        <v>145</v>
      </c>
    </row>
    <row r="76" spans="1:13" ht="14.5" customHeight="1">
      <c r="A76" s="63"/>
      <c r="B76" s="63"/>
      <c r="C76" s="63"/>
      <c r="D76" s="186"/>
      <c r="E76" s="189"/>
      <c r="F76" s="23">
        <v>5.3</v>
      </c>
      <c r="G76" s="191" t="s">
        <v>55</v>
      </c>
      <c r="H76" s="20"/>
      <c r="I76" s="20"/>
      <c r="J76" s="20"/>
      <c r="K76" s="21"/>
      <c r="L76" s="21"/>
      <c r="M76" s="22"/>
    </row>
    <row r="77" spans="1:13" ht="14.5" customHeight="1">
      <c r="A77" s="63"/>
      <c r="B77" s="63"/>
      <c r="C77" s="63"/>
      <c r="D77" s="186"/>
      <c r="E77" s="189"/>
      <c r="F77" s="24"/>
      <c r="G77" s="192"/>
      <c r="H77" s="25" t="s">
        <v>28</v>
      </c>
      <c r="I77" s="25" t="s">
        <v>61</v>
      </c>
      <c r="J77" s="25">
        <v>8</v>
      </c>
      <c r="K77" s="26" t="s">
        <v>208</v>
      </c>
      <c r="L77" s="26"/>
      <c r="M77" s="27"/>
    </row>
    <row r="78" spans="1:13" ht="14.5" customHeight="1">
      <c r="A78" s="63"/>
      <c r="B78" s="63"/>
      <c r="C78" s="63"/>
      <c r="D78" s="186"/>
      <c r="E78" s="189"/>
      <c r="F78" s="24"/>
      <c r="G78" s="192"/>
      <c r="H78" s="25"/>
      <c r="I78" s="25"/>
      <c r="J78" s="25"/>
      <c r="K78" s="25"/>
      <c r="L78" s="25" t="s">
        <v>75</v>
      </c>
      <c r="M78" s="27" t="s">
        <v>76</v>
      </c>
    </row>
    <row r="79" spans="1:13" ht="14.5" customHeight="1">
      <c r="A79" s="63"/>
      <c r="B79" s="63"/>
      <c r="C79" s="63"/>
      <c r="D79" s="186"/>
      <c r="E79" s="189"/>
      <c r="F79" s="24"/>
      <c r="G79" s="192"/>
      <c r="H79" s="25" t="s">
        <v>29</v>
      </c>
      <c r="I79" s="25" t="s">
        <v>78</v>
      </c>
      <c r="J79" s="25" t="s">
        <v>210</v>
      </c>
      <c r="K79" s="26" t="s">
        <v>216</v>
      </c>
      <c r="L79" s="26"/>
      <c r="M79" s="27"/>
    </row>
    <row r="80" spans="1:13" ht="15" customHeight="1" thickBot="1">
      <c r="A80" s="63"/>
      <c r="B80" s="63"/>
      <c r="C80" s="63"/>
      <c r="D80" s="187"/>
      <c r="E80" s="190"/>
      <c r="F80" s="28"/>
      <c r="G80" s="193"/>
      <c r="H80" s="29"/>
      <c r="I80" s="29"/>
      <c r="J80" s="29"/>
      <c r="K80" s="30"/>
      <c r="L80" s="30" t="s">
        <v>80</v>
      </c>
      <c r="M80" s="31" t="s">
        <v>100</v>
      </c>
    </row>
    <row r="84" spans="7:52" ht="13.5" thickBot="1"/>
    <row r="85" spans="7:52" ht="13.5" thickBot="1">
      <c r="G85" s="3">
        <f>15*2</f>
        <v>30</v>
      </c>
      <c r="S85" s="221" t="s">
        <v>274</v>
      </c>
      <c r="T85" s="222"/>
      <c r="U85" s="222" t="s">
        <v>273</v>
      </c>
      <c r="V85" s="223"/>
    </row>
    <row r="86" spans="7:52" ht="52.5" thickBot="1">
      <c r="S86" s="77">
        <v>1</v>
      </c>
      <c r="T86" s="67" t="s">
        <v>277</v>
      </c>
      <c r="U86" s="67">
        <v>1.1000000000000001</v>
      </c>
      <c r="V86" s="68" t="s">
        <v>275</v>
      </c>
    </row>
    <row r="87" spans="7:52" ht="65.5" thickBot="1">
      <c r="S87" s="78">
        <v>2</v>
      </c>
      <c r="T87" s="69" t="s">
        <v>278</v>
      </c>
      <c r="U87" s="69">
        <v>2.1</v>
      </c>
      <c r="V87" s="70" t="s">
        <v>276</v>
      </c>
    </row>
    <row r="88" spans="7:52" ht="39">
      <c r="S88" s="226">
        <v>3</v>
      </c>
      <c r="T88" s="224" t="s">
        <v>279</v>
      </c>
      <c r="U88" s="73">
        <v>3.1</v>
      </c>
      <c r="V88" s="74" t="s">
        <v>281</v>
      </c>
    </row>
    <row r="89" spans="7:52" ht="27" customHeight="1" thickBot="1">
      <c r="S89" s="227"/>
      <c r="T89" s="225"/>
      <c r="U89" s="75">
        <v>3.2</v>
      </c>
      <c r="V89" s="76" t="s">
        <v>282</v>
      </c>
    </row>
    <row r="90" spans="7:52" ht="39">
      <c r="S90" s="228">
        <v>4</v>
      </c>
      <c r="T90" s="230" t="s">
        <v>280</v>
      </c>
      <c r="U90" s="71">
        <v>4.0999999999999996</v>
      </c>
      <c r="V90" s="72" t="s">
        <v>283</v>
      </c>
      <c r="AQ90" s="1" t="s">
        <v>768</v>
      </c>
    </row>
    <row r="91" spans="7:52" ht="40" customHeight="1" thickBot="1">
      <c r="S91" s="229"/>
      <c r="T91" s="231"/>
      <c r="U91" s="65">
        <v>4.2</v>
      </c>
      <c r="V91" s="66" t="s">
        <v>284</v>
      </c>
    </row>
    <row r="92" spans="7:52" ht="13.5" thickBot="1"/>
    <row r="93" spans="7:52" ht="73" customHeight="1" thickBot="1">
      <c r="AC93" s="86" t="s">
        <v>285</v>
      </c>
      <c r="AD93" s="92"/>
      <c r="AE93" s="87" t="s">
        <v>286</v>
      </c>
      <c r="AF93" s="86" t="s">
        <v>285</v>
      </c>
      <c r="AG93" s="92"/>
      <c r="AH93" s="87" t="s">
        <v>286</v>
      </c>
      <c r="AI93" s="86" t="s">
        <v>285</v>
      </c>
      <c r="AJ93" s="92"/>
      <c r="AK93" s="87" t="s">
        <v>286</v>
      </c>
      <c r="AL93" s="86" t="s">
        <v>285</v>
      </c>
      <c r="AM93" s="92"/>
      <c r="AN93" s="87" t="s">
        <v>286</v>
      </c>
      <c r="AO93" s="86" t="s">
        <v>285</v>
      </c>
      <c r="AP93" s="92"/>
      <c r="AQ93" s="87" t="s">
        <v>286</v>
      </c>
      <c r="AR93" s="86" t="s">
        <v>285</v>
      </c>
      <c r="AS93" s="92"/>
      <c r="AT93" s="87" t="s">
        <v>286</v>
      </c>
      <c r="AU93" s="86" t="s">
        <v>285</v>
      </c>
      <c r="AV93" s="92"/>
      <c r="AW93" s="87" t="s">
        <v>286</v>
      </c>
      <c r="AX93" s="86" t="s">
        <v>285</v>
      </c>
      <c r="AY93" s="92"/>
      <c r="AZ93" s="87" t="s">
        <v>286</v>
      </c>
    </row>
    <row r="94" spans="7:52" ht="43.5">
      <c r="AC94" s="232" t="s">
        <v>361</v>
      </c>
      <c r="AD94" s="104" t="s">
        <v>365</v>
      </c>
      <c r="AE94" s="105" t="s">
        <v>342</v>
      </c>
      <c r="AF94" s="242" t="s">
        <v>362</v>
      </c>
      <c r="AG94" s="99" t="s">
        <v>370</v>
      </c>
      <c r="AH94" s="100" t="s">
        <v>306</v>
      </c>
      <c r="AI94" s="232" t="s">
        <v>301</v>
      </c>
      <c r="AJ94" s="104" t="s">
        <v>375</v>
      </c>
      <c r="AK94" s="105" t="s">
        <v>311</v>
      </c>
      <c r="AL94" s="242" t="s">
        <v>378</v>
      </c>
      <c r="AM94" s="99" t="s">
        <v>379</v>
      </c>
      <c r="AN94" s="100" t="s">
        <v>312</v>
      </c>
      <c r="AO94" s="232" t="s">
        <v>382</v>
      </c>
      <c r="AP94" s="104" t="s">
        <v>383</v>
      </c>
      <c r="AQ94" s="105" t="s">
        <v>287</v>
      </c>
      <c r="AR94" s="242" t="s">
        <v>391</v>
      </c>
      <c r="AS94" s="99" t="s">
        <v>392</v>
      </c>
      <c r="AT94" s="100" t="s">
        <v>439</v>
      </c>
      <c r="AU94" s="232" t="s">
        <v>403</v>
      </c>
      <c r="AV94" s="104" t="s">
        <v>404</v>
      </c>
      <c r="AW94" s="105" t="s">
        <v>318</v>
      </c>
      <c r="AX94" s="242" t="s">
        <v>417</v>
      </c>
      <c r="AY94" s="99" t="s">
        <v>418</v>
      </c>
      <c r="AZ94" s="100" t="s">
        <v>328</v>
      </c>
    </row>
    <row r="95" spans="7:52" ht="43.5">
      <c r="AC95" s="233"/>
      <c r="AD95" s="103" t="s">
        <v>366</v>
      </c>
      <c r="AE95" s="88" t="s">
        <v>302</v>
      </c>
      <c r="AF95" s="243"/>
      <c r="AG95" s="97" t="s">
        <v>371</v>
      </c>
      <c r="AH95" s="81" t="s">
        <v>307</v>
      </c>
      <c r="AI95" s="233"/>
      <c r="AJ95" s="103" t="s">
        <v>376</v>
      </c>
      <c r="AK95" s="88" t="s">
        <v>348</v>
      </c>
      <c r="AL95" s="243"/>
      <c r="AM95" s="97" t="s">
        <v>380</v>
      </c>
      <c r="AN95" s="81" t="s">
        <v>446</v>
      </c>
      <c r="AO95" s="233"/>
      <c r="AP95" s="103" t="s">
        <v>384</v>
      </c>
      <c r="AQ95" s="88" t="s">
        <v>288</v>
      </c>
      <c r="AR95" s="243"/>
      <c r="AS95" s="97" t="s">
        <v>393</v>
      </c>
      <c r="AT95" s="81" t="s">
        <v>440</v>
      </c>
      <c r="AU95" s="233"/>
      <c r="AV95" s="103" t="s">
        <v>405</v>
      </c>
      <c r="AW95" s="88" t="s">
        <v>319</v>
      </c>
      <c r="AX95" s="243"/>
      <c r="AY95" s="97" t="s">
        <v>419</v>
      </c>
      <c r="AZ95" s="81" t="s">
        <v>329</v>
      </c>
    </row>
    <row r="96" spans="7:52" ht="43.5">
      <c r="AC96" s="233"/>
      <c r="AD96" s="103" t="s">
        <v>367</v>
      </c>
      <c r="AE96" s="88" t="s">
        <v>303</v>
      </c>
      <c r="AF96" s="243"/>
      <c r="AG96" s="97" t="s">
        <v>372</v>
      </c>
      <c r="AH96" s="81" t="s">
        <v>308</v>
      </c>
      <c r="AI96" s="233"/>
      <c r="AJ96" s="103" t="s">
        <v>377</v>
      </c>
      <c r="AK96" s="88" t="s">
        <v>347</v>
      </c>
      <c r="AL96" s="243"/>
      <c r="AM96" s="97" t="s">
        <v>381</v>
      </c>
      <c r="AN96" s="81" t="s">
        <v>437</v>
      </c>
      <c r="AO96" s="233"/>
      <c r="AP96" s="103" t="s">
        <v>385</v>
      </c>
      <c r="AQ96" s="88" t="s">
        <v>289</v>
      </c>
      <c r="AR96" s="243"/>
      <c r="AS96" s="97" t="s">
        <v>394</v>
      </c>
      <c r="AT96" s="81" t="s">
        <v>442</v>
      </c>
      <c r="AU96" s="233"/>
      <c r="AV96" s="103" t="s">
        <v>406</v>
      </c>
      <c r="AW96" s="88" t="s">
        <v>320</v>
      </c>
      <c r="AX96" s="243"/>
      <c r="AY96" s="97" t="s">
        <v>420</v>
      </c>
      <c r="AZ96" s="81" t="s">
        <v>330</v>
      </c>
    </row>
    <row r="97" spans="29:52" ht="29">
      <c r="AC97" s="233"/>
      <c r="AD97" s="103" t="s">
        <v>368</v>
      </c>
      <c r="AE97" s="88" t="s">
        <v>304</v>
      </c>
      <c r="AF97" s="243"/>
      <c r="AG97" s="97" t="s">
        <v>373</v>
      </c>
      <c r="AH97" s="81" t="s">
        <v>309</v>
      </c>
      <c r="AI97" s="233"/>
      <c r="AJ97" s="103"/>
      <c r="AK97" s="88"/>
      <c r="AL97" s="243"/>
      <c r="AM97" s="97"/>
      <c r="AN97" s="81"/>
      <c r="AO97" s="233"/>
      <c r="AP97" s="103" t="s">
        <v>386</v>
      </c>
      <c r="AQ97" s="88" t="s">
        <v>290</v>
      </c>
      <c r="AR97" s="243"/>
      <c r="AS97" s="97" t="s">
        <v>395</v>
      </c>
      <c r="AT97" s="81" t="s">
        <v>441</v>
      </c>
      <c r="AU97" s="233"/>
      <c r="AV97" s="103" t="s">
        <v>407</v>
      </c>
      <c r="AW97" s="88" t="s">
        <v>321</v>
      </c>
      <c r="AX97" s="243"/>
      <c r="AY97" s="97" t="s">
        <v>421</v>
      </c>
      <c r="AZ97" s="81" t="s">
        <v>331</v>
      </c>
    </row>
    <row r="98" spans="29:52" ht="44" thickBot="1">
      <c r="AC98" s="234"/>
      <c r="AD98" s="109" t="s">
        <v>369</v>
      </c>
      <c r="AE98" s="106" t="s">
        <v>305</v>
      </c>
      <c r="AF98" s="244"/>
      <c r="AG98" s="107" t="s">
        <v>374</v>
      </c>
      <c r="AH98" s="108" t="s">
        <v>310</v>
      </c>
      <c r="AI98" s="234"/>
      <c r="AJ98" s="109"/>
      <c r="AK98" s="106"/>
      <c r="AL98" s="244"/>
      <c r="AM98" s="107"/>
      <c r="AN98" s="108"/>
      <c r="AO98" s="234"/>
      <c r="AP98" s="109" t="s">
        <v>387</v>
      </c>
      <c r="AQ98" s="106" t="s">
        <v>291</v>
      </c>
      <c r="AR98" s="244"/>
      <c r="AS98" s="107" t="s">
        <v>396</v>
      </c>
      <c r="AT98" s="108" t="s">
        <v>443</v>
      </c>
      <c r="AU98" s="234"/>
      <c r="AV98" s="109" t="s">
        <v>408</v>
      </c>
      <c r="AW98" s="106" t="s">
        <v>322</v>
      </c>
      <c r="AX98" s="244"/>
      <c r="AY98" s="107" t="s">
        <v>422</v>
      </c>
      <c r="AZ98" s="108" t="s">
        <v>438</v>
      </c>
    </row>
    <row r="99" spans="29:52" ht="28.5" customHeight="1" thickBot="1">
      <c r="AC99" s="79" t="s">
        <v>292</v>
      </c>
      <c r="AD99" s="91"/>
      <c r="AE99" s="80" t="s">
        <v>293</v>
      </c>
      <c r="AF99" s="79" t="s">
        <v>292</v>
      </c>
      <c r="AG99" s="115"/>
      <c r="AH99" s="80" t="s">
        <v>293</v>
      </c>
      <c r="AI99" s="116" t="s">
        <v>292</v>
      </c>
      <c r="AJ99" s="91"/>
      <c r="AK99" s="80" t="s">
        <v>293</v>
      </c>
      <c r="AL99" s="79" t="s">
        <v>292</v>
      </c>
      <c r="AM99" s="91"/>
      <c r="AN99" s="80" t="s">
        <v>293</v>
      </c>
      <c r="AO99" s="79" t="s">
        <v>292</v>
      </c>
      <c r="AP99" s="91"/>
      <c r="AQ99" s="167" t="s">
        <v>293</v>
      </c>
      <c r="AR99" s="79" t="s">
        <v>292</v>
      </c>
      <c r="AS99" s="91"/>
      <c r="AT99" s="80" t="s">
        <v>293</v>
      </c>
      <c r="AU99" s="79" t="s">
        <v>292</v>
      </c>
      <c r="AV99" s="91"/>
      <c r="AW99" s="80" t="s">
        <v>293</v>
      </c>
      <c r="AX99" s="79" t="s">
        <v>292</v>
      </c>
      <c r="AY99" s="91"/>
      <c r="AZ99" s="80" t="s">
        <v>293</v>
      </c>
    </row>
    <row r="100" spans="29:52" ht="29">
      <c r="AC100" s="248" t="s">
        <v>178</v>
      </c>
      <c r="AD100" s="93" t="s">
        <v>2</v>
      </c>
      <c r="AE100" s="110" t="s">
        <v>341</v>
      </c>
      <c r="AF100" s="245" t="s">
        <v>169</v>
      </c>
      <c r="AG100" s="111" t="s">
        <v>2</v>
      </c>
      <c r="AH100" s="112" t="s">
        <v>344</v>
      </c>
      <c r="AI100" s="239" t="s">
        <v>431</v>
      </c>
      <c r="AJ100" s="113" t="s">
        <v>14</v>
      </c>
      <c r="AK100" s="110" t="s">
        <v>434</v>
      </c>
      <c r="AL100" s="245" t="s">
        <v>83</v>
      </c>
      <c r="AM100" s="114" t="s">
        <v>20</v>
      </c>
      <c r="AN100" s="112" t="s">
        <v>358</v>
      </c>
      <c r="AO100" s="238" t="s">
        <v>115</v>
      </c>
      <c r="AP100" s="113" t="s">
        <v>26</v>
      </c>
      <c r="AQ100" s="110" t="s">
        <v>341</v>
      </c>
      <c r="AR100" s="245" t="s">
        <v>192</v>
      </c>
      <c r="AS100" s="114" t="s">
        <v>397</v>
      </c>
      <c r="AT100" s="112" t="s">
        <v>444</v>
      </c>
      <c r="AU100" s="238" t="s">
        <v>46</v>
      </c>
      <c r="AV100" s="113" t="s">
        <v>409</v>
      </c>
      <c r="AW100" s="110" t="s">
        <v>349</v>
      </c>
      <c r="AX100" s="245" t="s">
        <v>98</v>
      </c>
      <c r="AY100" s="114" t="s">
        <v>423</v>
      </c>
      <c r="AZ100" s="112" t="s">
        <v>350</v>
      </c>
    </row>
    <row r="101" spans="29:52" ht="15.5" customHeight="1">
      <c r="AC101" s="248"/>
      <c r="AD101" s="93" t="s">
        <v>3</v>
      </c>
      <c r="AE101" s="89" t="s">
        <v>769</v>
      </c>
      <c r="AF101" s="246"/>
      <c r="AG101" s="98" t="s">
        <v>3</v>
      </c>
      <c r="AH101" s="82" t="s">
        <v>343</v>
      </c>
      <c r="AI101" s="240"/>
      <c r="AJ101" s="94" t="s">
        <v>15</v>
      </c>
      <c r="AK101" s="89" t="s">
        <v>435</v>
      </c>
      <c r="AL101" s="246"/>
      <c r="AM101" s="96" t="s">
        <v>21</v>
      </c>
      <c r="AN101" s="82" t="s">
        <v>359</v>
      </c>
      <c r="AO101" s="235"/>
      <c r="AP101" s="94" t="s">
        <v>27</v>
      </c>
      <c r="AQ101" s="89" t="s">
        <v>769</v>
      </c>
      <c r="AR101" s="246"/>
      <c r="AS101" s="96" t="s">
        <v>398</v>
      </c>
      <c r="AT101" s="82" t="s">
        <v>314</v>
      </c>
      <c r="AU101" s="235"/>
      <c r="AV101" s="94" t="s">
        <v>410</v>
      </c>
      <c r="AW101" s="89" t="s">
        <v>323</v>
      </c>
      <c r="AX101" s="246"/>
      <c r="AY101" s="96" t="s">
        <v>424</v>
      </c>
      <c r="AZ101" s="82" t="s">
        <v>333</v>
      </c>
    </row>
    <row r="102" spans="29:52" ht="14.5">
      <c r="AC102" s="248"/>
      <c r="AD102" s="93" t="s">
        <v>363</v>
      </c>
      <c r="AE102" s="89" t="s">
        <v>351</v>
      </c>
      <c r="AF102" s="246" t="s">
        <v>157</v>
      </c>
      <c r="AG102" s="98" t="s">
        <v>4</v>
      </c>
      <c r="AH102" s="82" t="s">
        <v>345</v>
      </c>
      <c r="AI102" s="240" t="s">
        <v>432</v>
      </c>
      <c r="AJ102" s="94" t="s">
        <v>16</v>
      </c>
      <c r="AK102" s="89" t="s">
        <v>436</v>
      </c>
      <c r="AL102" s="246" t="s">
        <v>64</v>
      </c>
      <c r="AM102" s="96" t="s">
        <v>22</v>
      </c>
      <c r="AN102" s="82" t="s">
        <v>352</v>
      </c>
      <c r="AO102" s="235" t="s">
        <v>129</v>
      </c>
      <c r="AP102" s="94" t="s">
        <v>30</v>
      </c>
      <c r="AQ102" s="89" t="s">
        <v>360</v>
      </c>
      <c r="AR102" s="246" t="s">
        <v>165</v>
      </c>
      <c r="AS102" s="96" t="s">
        <v>399</v>
      </c>
      <c r="AT102" s="82" t="s">
        <v>315</v>
      </c>
      <c r="AU102" s="235" t="s">
        <v>120</v>
      </c>
      <c r="AV102" s="94" t="s">
        <v>411</v>
      </c>
      <c r="AW102" s="89" t="s">
        <v>324</v>
      </c>
      <c r="AX102" s="246" t="s">
        <v>149</v>
      </c>
      <c r="AY102" s="96" t="s">
        <v>425</v>
      </c>
      <c r="AZ102" s="82" t="s">
        <v>334</v>
      </c>
    </row>
    <row r="103" spans="29:52" ht="29.5" thickBot="1">
      <c r="AC103" s="238"/>
      <c r="AD103" s="93" t="s">
        <v>364</v>
      </c>
      <c r="AE103" s="90" t="s">
        <v>340</v>
      </c>
      <c r="AF103" s="247"/>
      <c r="AG103" s="101" t="s">
        <v>5</v>
      </c>
      <c r="AH103" s="83" t="s">
        <v>346</v>
      </c>
      <c r="AI103" s="241"/>
      <c r="AJ103" s="95" t="s">
        <v>17</v>
      </c>
      <c r="AK103" s="90" t="s">
        <v>433</v>
      </c>
      <c r="AL103" s="246"/>
      <c r="AM103" s="96" t="s">
        <v>23</v>
      </c>
      <c r="AN103" s="82" t="s">
        <v>356</v>
      </c>
      <c r="AO103" s="235"/>
      <c r="AP103" s="94" t="s">
        <v>31</v>
      </c>
      <c r="AQ103" s="89" t="s">
        <v>353</v>
      </c>
      <c r="AR103" s="246"/>
      <c r="AS103" s="96" t="s">
        <v>400</v>
      </c>
      <c r="AT103" s="82" t="s">
        <v>316</v>
      </c>
      <c r="AU103" s="235"/>
      <c r="AV103" s="94" t="s">
        <v>412</v>
      </c>
      <c r="AW103" s="89" t="s">
        <v>325</v>
      </c>
      <c r="AX103" s="246"/>
      <c r="AY103" s="96" t="s">
        <v>426</v>
      </c>
      <c r="AZ103" s="82" t="s">
        <v>335</v>
      </c>
    </row>
    <row r="104" spans="29:52" ht="87" customHeight="1">
      <c r="AC104" s="235" t="s">
        <v>115</v>
      </c>
      <c r="AD104" s="94" t="s">
        <v>4</v>
      </c>
      <c r="AE104" s="89" t="s">
        <v>341</v>
      </c>
      <c r="AF104" s="237"/>
      <c r="AG104" s="84"/>
      <c r="AH104" s="85"/>
      <c r="AI104" s="237"/>
      <c r="AJ104" s="84"/>
      <c r="AK104" s="85"/>
      <c r="AL104" s="246" t="s">
        <v>130</v>
      </c>
      <c r="AM104" s="96" t="s">
        <v>24</v>
      </c>
      <c r="AN104" s="82" t="s">
        <v>313</v>
      </c>
      <c r="AO104" s="235" t="s">
        <v>48</v>
      </c>
      <c r="AP104" s="94" t="s">
        <v>28</v>
      </c>
      <c r="AQ104" s="89" t="s">
        <v>295</v>
      </c>
      <c r="AR104" s="246" t="s">
        <v>100</v>
      </c>
      <c r="AS104" s="96" t="s">
        <v>401</v>
      </c>
      <c r="AT104" s="82" t="s">
        <v>445</v>
      </c>
      <c r="AU104" s="235" t="s">
        <v>143</v>
      </c>
      <c r="AV104" s="94" t="s">
        <v>413</v>
      </c>
      <c r="AW104" s="89" t="s">
        <v>354</v>
      </c>
      <c r="AX104" s="246" t="s">
        <v>332</v>
      </c>
      <c r="AY104" s="96" t="s">
        <v>427</v>
      </c>
      <c r="AZ104" s="82" t="s">
        <v>336</v>
      </c>
    </row>
    <row r="105" spans="29:52" ht="29.5" thickBot="1">
      <c r="AC105" s="236"/>
      <c r="AD105" s="95" t="s">
        <v>5</v>
      </c>
      <c r="AE105" s="90" t="s">
        <v>294</v>
      </c>
      <c r="AF105" s="237"/>
      <c r="AG105" s="84"/>
      <c r="AH105" s="85"/>
      <c r="AI105" s="237"/>
      <c r="AJ105" s="84"/>
      <c r="AK105" s="85"/>
      <c r="AL105" s="247"/>
      <c r="AM105" s="102" t="s">
        <v>25</v>
      </c>
      <c r="AN105" s="83" t="s">
        <v>357</v>
      </c>
      <c r="AO105" s="235"/>
      <c r="AP105" s="94" t="s">
        <v>29</v>
      </c>
      <c r="AQ105" s="89" t="s">
        <v>296</v>
      </c>
      <c r="AR105" s="247"/>
      <c r="AS105" s="102" t="s">
        <v>402</v>
      </c>
      <c r="AT105" s="83" t="s">
        <v>317</v>
      </c>
      <c r="AU105" s="235"/>
      <c r="AV105" s="94" t="s">
        <v>414</v>
      </c>
      <c r="AW105" s="89" t="s">
        <v>326</v>
      </c>
      <c r="AX105" s="246"/>
      <c r="AY105" s="96" t="s">
        <v>428</v>
      </c>
      <c r="AZ105" s="82" t="s">
        <v>337</v>
      </c>
    </row>
    <row r="106" spans="29:52" ht="29">
      <c r="AC106" s="237"/>
      <c r="AD106" s="84"/>
      <c r="AE106" s="85"/>
      <c r="AF106" s="237"/>
      <c r="AG106" s="84"/>
      <c r="AH106" s="85"/>
      <c r="AI106" s="237"/>
      <c r="AJ106" s="84"/>
      <c r="AK106" s="85"/>
      <c r="AL106" s="237"/>
      <c r="AM106" s="84"/>
      <c r="AN106" s="85"/>
      <c r="AO106" s="235" t="s">
        <v>136</v>
      </c>
      <c r="AP106" s="94" t="s">
        <v>388</v>
      </c>
      <c r="AQ106" s="89" t="s">
        <v>297</v>
      </c>
      <c r="AR106" s="237"/>
      <c r="AS106" s="84"/>
      <c r="AT106" s="85"/>
      <c r="AU106" s="235" t="s">
        <v>144</v>
      </c>
      <c r="AV106" s="94" t="s">
        <v>415</v>
      </c>
      <c r="AW106" s="89" t="s">
        <v>355</v>
      </c>
      <c r="AX106" s="246" t="s">
        <v>76</v>
      </c>
      <c r="AY106" s="96" t="s">
        <v>429</v>
      </c>
      <c r="AZ106" s="82" t="s">
        <v>338</v>
      </c>
    </row>
    <row r="107" spans="29:52" ht="29.5" thickBot="1">
      <c r="AC107" s="237"/>
      <c r="AD107" s="84"/>
      <c r="AE107" s="85"/>
      <c r="AF107" s="237"/>
      <c r="AG107" s="84"/>
      <c r="AH107" s="85"/>
      <c r="AI107" s="237"/>
      <c r="AJ107" s="84"/>
      <c r="AK107" s="85"/>
      <c r="AL107" s="237"/>
      <c r="AM107" s="84"/>
      <c r="AN107" s="85"/>
      <c r="AO107" s="235"/>
      <c r="AP107" s="94" t="s">
        <v>388</v>
      </c>
      <c r="AQ107" s="89" t="s">
        <v>298</v>
      </c>
      <c r="AR107" s="237"/>
      <c r="AS107" s="84"/>
      <c r="AT107" s="85"/>
      <c r="AU107" s="236"/>
      <c r="AV107" s="95" t="s">
        <v>416</v>
      </c>
      <c r="AW107" s="90" t="s">
        <v>327</v>
      </c>
      <c r="AX107" s="247"/>
      <c r="AY107" s="102" t="s">
        <v>430</v>
      </c>
      <c r="AZ107" s="83" t="s">
        <v>339</v>
      </c>
    </row>
    <row r="108" spans="29:52" ht="58" customHeight="1">
      <c r="AC108" s="237"/>
      <c r="AD108" s="84"/>
      <c r="AE108" s="85"/>
      <c r="AF108" s="237"/>
      <c r="AG108" s="84"/>
      <c r="AH108" s="85"/>
      <c r="AI108" s="237"/>
      <c r="AJ108" s="84"/>
      <c r="AK108" s="85"/>
      <c r="AL108" s="237"/>
      <c r="AM108" s="84"/>
      <c r="AN108" s="85"/>
      <c r="AO108" s="235" t="s">
        <v>141</v>
      </c>
      <c r="AP108" s="94" t="s">
        <v>389</v>
      </c>
      <c r="AQ108" s="89" t="s">
        <v>299</v>
      </c>
      <c r="AR108" s="237"/>
      <c r="AS108" s="84"/>
      <c r="AT108" s="85"/>
      <c r="AU108" s="237"/>
      <c r="AV108" s="84"/>
      <c r="AW108" s="85"/>
      <c r="AX108" s="237"/>
      <c r="AY108" s="84"/>
      <c r="AZ108" s="85"/>
    </row>
    <row r="109" spans="29:52" ht="13.5" customHeight="1" thickBot="1">
      <c r="AC109" s="237"/>
      <c r="AD109" s="84"/>
      <c r="AE109" s="85"/>
      <c r="AF109" s="237"/>
      <c r="AG109" s="84"/>
      <c r="AH109" s="85"/>
      <c r="AI109" s="237"/>
      <c r="AJ109" s="84"/>
      <c r="AK109" s="85"/>
      <c r="AL109" s="237"/>
      <c r="AM109" s="84"/>
      <c r="AN109" s="85"/>
      <c r="AO109" s="236"/>
      <c r="AP109" s="95" t="s">
        <v>390</v>
      </c>
      <c r="AQ109" s="90" t="s">
        <v>300</v>
      </c>
      <c r="AR109" s="237"/>
      <c r="AS109" s="84"/>
      <c r="AT109" s="85"/>
      <c r="AU109" s="237"/>
      <c r="AV109" s="84"/>
      <c r="AW109" s="85"/>
      <c r="AX109" s="237"/>
      <c r="AY109" s="84"/>
      <c r="AZ109" s="85"/>
    </row>
  </sheetData>
  <mergeCells count="78">
    <mergeCell ref="AO108:AO109"/>
    <mergeCell ref="AX108:AX109"/>
    <mergeCell ref="AC100:AC103"/>
    <mergeCell ref="AX94:AX98"/>
    <mergeCell ref="AX100:AX101"/>
    <mergeCell ref="AX102:AX103"/>
    <mergeCell ref="AX104:AX105"/>
    <mergeCell ref="AX106:AX107"/>
    <mergeCell ref="AR108:AR109"/>
    <mergeCell ref="AU94:AU98"/>
    <mergeCell ref="AU100:AU101"/>
    <mergeCell ref="AU102:AU103"/>
    <mergeCell ref="AU104:AU105"/>
    <mergeCell ref="AU106:AU107"/>
    <mergeCell ref="AU108:AU109"/>
    <mergeCell ref="AR94:AR98"/>
    <mergeCell ref="AL108:AL109"/>
    <mergeCell ref="AL94:AL98"/>
    <mergeCell ref="AL100:AL101"/>
    <mergeCell ref="AL102:AL103"/>
    <mergeCell ref="AL104:AL105"/>
    <mergeCell ref="AL106:AL107"/>
    <mergeCell ref="AF100:AF101"/>
    <mergeCell ref="AF102:AF103"/>
    <mergeCell ref="AF104:AF105"/>
    <mergeCell ref="AF106:AF107"/>
    <mergeCell ref="AR102:AR103"/>
    <mergeCell ref="AR104:AR105"/>
    <mergeCell ref="AR106:AR107"/>
    <mergeCell ref="AO106:AO107"/>
    <mergeCell ref="AR100:AR101"/>
    <mergeCell ref="AC94:AC98"/>
    <mergeCell ref="AC104:AC105"/>
    <mergeCell ref="AC106:AC107"/>
    <mergeCell ref="AC108:AC109"/>
    <mergeCell ref="AO94:AO98"/>
    <mergeCell ref="AO100:AO101"/>
    <mergeCell ref="AO102:AO103"/>
    <mergeCell ref="AO104:AO105"/>
    <mergeCell ref="AF108:AF109"/>
    <mergeCell ref="AI94:AI98"/>
    <mergeCell ref="AI100:AI101"/>
    <mergeCell ref="AI102:AI103"/>
    <mergeCell ref="AI104:AI105"/>
    <mergeCell ref="AI106:AI107"/>
    <mergeCell ref="AI108:AI109"/>
    <mergeCell ref="AF94:AF98"/>
    <mergeCell ref="S85:T85"/>
    <mergeCell ref="U85:V85"/>
    <mergeCell ref="T88:T89"/>
    <mergeCell ref="S88:S89"/>
    <mergeCell ref="S90:S91"/>
    <mergeCell ref="T90:T91"/>
    <mergeCell ref="E2:E17"/>
    <mergeCell ref="E34:E48"/>
    <mergeCell ref="E49:E64"/>
    <mergeCell ref="E65:E80"/>
    <mergeCell ref="D18:D33"/>
    <mergeCell ref="D34:D48"/>
    <mergeCell ref="D49:D64"/>
    <mergeCell ref="D65:D80"/>
    <mergeCell ref="D2:D17"/>
    <mergeCell ref="G29:G33"/>
    <mergeCell ref="G35:G39"/>
    <mergeCell ref="G40:G44"/>
    <mergeCell ref="G45:G48"/>
    <mergeCell ref="E18:E33"/>
    <mergeCell ref="G3:G7"/>
    <mergeCell ref="G8:G12"/>
    <mergeCell ref="G13:G17"/>
    <mergeCell ref="G19:G23"/>
    <mergeCell ref="G24:G28"/>
    <mergeCell ref="G50:G54"/>
    <mergeCell ref="G55:G59"/>
    <mergeCell ref="G66:G70"/>
    <mergeCell ref="G71:G75"/>
    <mergeCell ref="G76:G80"/>
    <mergeCell ref="G60:G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A43E-5D22-4EEE-A03F-94F46DF2E0B9}">
  <dimension ref="A1:T44"/>
  <sheetViews>
    <sheetView topLeftCell="A14" zoomScale="55" zoomScaleNormal="55" workbookViewId="0">
      <selection activeCell="F25" sqref="F25"/>
    </sheetView>
  </sheetViews>
  <sheetFormatPr defaultRowHeight="14.5"/>
  <cols>
    <col min="1" max="2" width="2.453125" style="85" bestFit="1" customWidth="1"/>
    <col min="3" max="3" width="49.36328125" style="85" bestFit="1" customWidth="1"/>
    <col min="4" max="4" width="26.90625" style="85" bestFit="1" customWidth="1"/>
    <col min="5" max="5" width="4.453125" style="85" bestFit="1" customWidth="1"/>
    <col min="6" max="6" width="42.81640625" style="85" customWidth="1"/>
    <col min="7" max="7" width="15.54296875" style="85" bestFit="1" customWidth="1"/>
    <col min="8" max="8" width="6.90625" style="85" bestFit="1" customWidth="1"/>
    <col min="9" max="9" width="7.7265625" style="85" bestFit="1" customWidth="1"/>
    <col min="10" max="10" width="39.90625" style="85" customWidth="1"/>
    <col min="11" max="11" width="37" style="85" customWidth="1"/>
    <col min="12" max="12" width="36.08984375" style="85" customWidth="1"/>
    <col min="13" max="13" width="37.90625" style="85" customWidth="1"/>
    <col min="14" max="14" width="40.54296875" style="85" customWidth="1"/>
    <col min="15" max="20" width="8.7265625" style="85"/>
  </cols>
  <sheetData>
    <row r="1" spans="1:10" ht="15" thickBot="1">
      <c r="A1" s="263" t="s">
        <v>447</v>
      </c>
      <c r="B1" s="264"/>
      <c r="C1" s="264"/>
      <c r="D1" s="264"/>
      <c r="E1" s="264"/>
      <c r="F1" s="264"/>
      <c r="G1" s="264"/>
      <c r="H1" s="264"/>
      <c r="I1" s="264"/>
      <c r="J1" s="264"/>
    </row>
    <row r="2" spans="1:10">
      <c r="A2" s="265" t="s">
        <v>448</v>
      </c>
      <c r="B2" s="265"/>
      <c r="C2" s="265"/>
      <c r="D2" s="265"/>
      <c r="E2" s="265"/>
      <c r="F2" s="265"/>
      <c r="G2" s="265"/>
      <c r="H2" s="265"/>
      <c r="I2" s="265"/>
      <c r="J2" s="265"/>
    </row>
    <row r="3" spans="1:10">
      <c r="A3" s="262" t="s">
        <v>449</v>
      </c>
      <c r="B3" s="262"/>
      <c r="C3" s="262"/>
      <c r="D3" s="262"/>
      <c r="E3" s="262"/>
      <c r="F3" s="262"/>
      <c r="G3" s="262"/>
      <c r="H3" s="262"/>
      <c r="I3" s="262"/>
      <c r="J3" s="262"/>
    </row>
    <row r="4" spans="1:10" ht="28.5">
      <c r="A4" s="260" t="s">
        <v>450</v>
      </c>
      <c r="B4" s="141" t="s">
        <v>450</v>
      </c>
      <c r="C4" s="260" t="s">
        <v>451</v>
      </c>
      <c r="D4" s="266" t="s">
        <v>452</v>
      </c>
      <c r="E4" s="142" t="s">
        <v>453</v>
      </c>
      <c r="F4" s="143" t="s">
        <v>454</v>
      </c>
      <c r="G4" s="143" t="s">
        <v>455</v>
      </c>
      <c r="H4" s="144" t="s">
        <v>456</v>
      </c>
      <c r="I4" s="144" t="s">
        <v>457</v>
      </c>
      <c r="J4" s="145" t="s">
        <v>458</v>
      </c>
    </row>
    <row r="5" spans="1:10" ht="28.5">
      <c r="A5" s="261"/>
      <c r="B5" s="141"/>
      <c r="C5" s="261"/>
      <c r="D5" s="267"/>
      <c r="E5" s="142" t="s">
        <v>459</v>
      </c>
      <c r="F5" s="143" t="s">
        <v>460</v>
      </c>
      <c r="G5" s="143" t="s">
        <v>461</v>
      </c>
      <c r="H5" s="144" t="s">
        <v>462</v>
      </c>
      <c r="I5" s="144" t="s">
        <v>463</v>
      </c>
      <c r="J5" s="145" t="s">
        <v>464</v>
      </c>
    </row>
    <row r="6" spans="1:10" ht="28.5">
      <c r="A6" s="260" t="s">
        <v>465</v>
      </c>
      <c r="B6" s="141" t="s">
        <v>450</v>
      </c>
      <c r="C6" s="253" t="s">
        <v>466</v>
      </c>
      <c r="D6" s="255" t="s">
        <v>467</v>
      </c>
      <c r="E6" s="142" t="s">
        <v>453</v>
      </c>
      <c r="F6" s="143" t="s">
        <v>468</v>
      </c>
      <c r="G6" s="143" t="s">
        <v>455</v>
      </c>
      <c r="H6" s="144" t="s">
        <v>456</v>
      </c>
      <c r="I6" s="144" t="s">
        <v>469</v>
      </c>
      <c r="J6" s="145" t="s">
        <v>470</v>
      </c>
    </row>
    <row r="7" spans="1:10" ht="28.5">
      <c r="A7" s="261"/>
      <c r="B7" s="141"/>
      <c r="C7" s="254"/>
      <c r="D7" s="256"/>
      <c r="E7" s="142" t="s">
        <v>459</v>
      </c>
      <c r="F7" s="143" t="s">
        <v>471</v>
      </c>
      <c r="G7" s="143" t="s">
        <v>472</v>
      </c>
      <c r="H7" s="144" t="s">
        <v>456</v>
      </c>
      <c r="I7" s="144" t="s">
        <v>473</v>
      </c>
      <c r="J7" s="145" t="s">
        <v>474</v>
      </c>
    </row>
    <row r="8" spans="1:10" ht="38">
      <c r="A8" s="260" t="s">
        <v>475</v>
      </c>
      <c r="B8" s="141" t="s">
        <v>370</v>
      </c>
      <c r="C8" s="253" t="s">
        <v>476</v>
      </c>
      <c r="D8" s="255" t="s">
        <v>477</v>
      </c>
      <c r="E8" s="142" t="s">
        <v>453</v>
      </c>
      <c r="F8" s="143" t="s">
        <v>478</v>
      </c>
      <c r="G8" s="143" t="s">
        <v>479</v>
      </c>
      <c r="H8" s="144" t="s">
        <v>456</v>
      </c>
      <c r="I8" s="144" t="s">
        <v>480</v>
      </c>
      <c r="J8" s="145" t="s">
        <v>481</v>
      </c>
    </row>
    <row r="9" spans="1:10" ht="28.5">
      <c r="A9" s="261"/>
      <c r="B9" s="141"/>
      <c r="C9" s="254"/>
      <c r="D9" s="256"/>
      <c r="E9" s="142" t="s">
        <v>459</v>
      </c>
      <c r="F9" s="143" t="s">
        <v>482</v>
      </c>
      <c r="G9" s="143" t="s">
        <v>483</v>
      </c>
      <c r="H9" s="144" t="s">
        <v>456</v>
      </c>
      <c r="I9" s="144" t="s">
        <v>484</v>
      </c>
      <c r="J9" s="145" t="s">
        <v>485</v>
      </c>
    </row>
    <row r="10" spans="1:10" ht="28.5">
      <c r="A10" s="260" t="s">
        <v>486</v>
      </c>
      <c r="B10" s="141" t="s">
        <v>487</v>
      </c>
      <c r="C10" s="253" t="s">
        <v>488</v>
      </c>
      <c r="D10" s="255" t="s">
        <v>489</v>
      </c>
      <c r="E10" s="142" t="s">
        <v>453</v>
      </c>
      <c r="F10" s="143" t="s">
        <v>490</v>
      </c>
      <c r="G10" s="143" t="s">
        <v>491</v>
      </c>
      <c r="H10" s="144" t="s">
        <v>456</v>
      </c>
      <c r="I10" s="144" t="s">
        <v>492</v>
      </c>
      <c r="J10" s="145" t="s">
        <v>493</v>
      </c>
    </row>
    <row r="11" spans="1:10" ht="47.5">
      <c r="A11" s="261"/>
      <c r="B11" s="141"/>
      <c r="C11" s="254"/>
      <c r="D11" s="256"/>
      <c r="E11" s="142" t="s">
        <v>459</v>
      </c>
      <c r="F11" s="143" t="s">
        <v>494</v>
      </c>
      <c r="G11" s="143" t="s">
        <v>495</v>
      </c>
      <c r="H11" s="150" t="s">
        <v>496</v>
      </c>
      <c r="I11" s="144" t="s">
        <v>497</v>
      </c>
      <c r="J11" s="145" t="s">
        <v>498</v>
      </c>
    </row>
    <row r="12" spans="1:10" ht="47.5">
      <c r="A12" s="260" t="s">
        <v>499</v>
      </c>
      <c r="B12" s="141" t="s">
        <v>487</v>
      </c>
      <c r="C12" s="253" t="s">
        <v>500</v>
      </c>
      <c r="D12" s="255" t="s">
        <v>501</v>
      </c>
      <c r="E12" s="142" t="s">
        <v>453</v>
      </c>
      <c r="F12" s="143" t="s">
        <v>502</v>
      </c>
      <c r="G12" s="143" t="s">
        <v>503</v>
      </c>
      <c r="H12" s="150" t="s">
        <v>496</v>
      </c>
      <c r="I12" s="144" t="s">
        <v>504</v>
      </c>
      <c r="J12" s="145" t="s">
        <v>505</v>
      </c>
    </row>
    <row r="13" spans="1:10" ht="28.5">
      <c r="A13" s="261"/>
      <c r="B13" s="141"/>
      <c r="C13" s="254"/>
      <c r="D13" s="256"/>
      <c r="E13" s="142" t="s">
        <v>459</v>
      </c>
      <c r="F13" s="143" t="s">
        <v>506</v>
      </c>
      <c r="G13" s="143" t="s">
        <v>483</v>
      </c>
      <c r="H13" s="144" t="s">
        <v>456</v>
      </c>
      <c r="I13" s="144" t="s">
        <v>507</v>
      </c>
      <c r="J13" s="145" t="s">
        <v>508</v>
      </c>
    </row>
    <row r="14" spans="1:10" ht="47.5">
      <c r="A14" s="260" t="s">
        <v>509</v>
      </c>
      <c r="B14" s="141" t="s">
        <v>510</v>
      </c>
      <c r="C14" s="253" t="s">
        <v>511</v>
      </c>
      <c r="D14" s="255" t="s">
        <v>512</v>
      </c>
      <c r="E14" s="142" t="s">
        <v>453</v>
      </c>
      <c r="F14" s="143" t="s">
        <v>513</v>
      </c>
      <c r="G14" s="143" t="s">
        <v>455</v>
      </c>
      <c r="H14" s="144" t="s">
        <v>456</v>
      </c>
      <c r="I14" s="144" t="s">
        <v>463</v>
      </c>
      <c r="J14" s="145" t="s">
        <v>514</v>
      </c>
    </row>
    <row r="15" spans="1:10" ht="38">
      <c r="A15" s="261"/>
      <c r="B15" s="141"/>
      <c r="C15" s="254"/>
      <c r="D15" s="256"/>
      <c r="E15" s="142" t="s">
        <v>459</v>
      </c>
      <c r="F15" s="143" t="s">
        <v>515</v>
      </c>
      <c r="G15" s="143" t="s">
        <v>516</v>
      </c>
      <c r="H15" s="144" t="s">
        <v>456</v>
      </c>
      <c r="I15" s="144" t="s">
        <v>504</v>
      </c>
      <c r="J15" s="145" t="s">
        <v>517</v>
      </c>
    </row>
    <row r="16" spans="1:10" ht="28.5">
      <c r="A16" s="146" t="s">
        <v>518</v>
      </c>
      <c r="B16" s="141" t="s">
        <v>475</v>
      </c>
      <c r="C16" s="147" t="s">
        <v>519</v>
      </c>
      <c r="D16" s="143" t="s">
        <v>520</v>
      </c>
      <c r="E16" s="142" t="s">
        <v>453</v>
      </c>
      <c r="F16" s="143" t="s">
        <v>521</v>
      </c>
      <c r="G16" s="143" t="s">
        <v>522</v>
      </c>
      <c r="H16" s="144" t="s">
        <v>456</v>
      </c>
      <c r="I16" s="144" t="s">
        <v>523</v>
      </c>
      <c r="J16" s="145" t="s">
        <v>524</v>
      </c>
    </row>
    <row r="17" spans="1:10">
      <c r="A17" s="262" t="s">
        <v>525</v>
      </c>
      <c r="B17" s="262"/>
      <c r="C17" s="262"/>
      <c r="D17" s="262"/>
      <c r="E17" s="262"/>
      <c r="F17" s="262"/>
      <c r="G17" s="262"/>
      <c r="H17" s="262"/>
      <c r="I17" s="262"/>
      <c r="J17" s="262"/>
    </row>
    <row r="18" spans="1:10" ht="38">
      <c r="A18" s="258">
        <v>8</v>
      </c>
      <c r="B18" s="141" t="s">
        <v>526</v>
      </c>
      <c r="C18" s="249" t="s">
        <v>527</v>
      </c>
      <c r="D18" s="251" t="s">
        <v>528</v>
      </c>
      <c r="E18" s="148" t="s">
        <v>453</v>
      </c>
      <c r="F18" s="143" t="s">
        <v>529</v>
      </c>
      <c r="G18" s="143" t="s">
        <v>483</v>
      </c>
      <c r="H18" s="144" t="s">
        <v>456</v>
      </c>
      <c r="I18" s="144" t="s">
        <v>530</v>
      </c>
      <c r="J18" s="145" t="s">
        <v>531</v>
      </c>
    </row>
    <row r="19" spans="1:10" ht="38">
      <c r="A19" s="259"/>
      <c r="B19" s="141"/>
      <c r="C19" s="250"/>
      <c r="D19" s="252"/>
      <c r="E19" s="142" t="s">
        <v>459</v>
      </c>
      <c r="F19" s="143" t="s">
        <v>532</v>
      </c>
      <c r="G19" s="143" t="s">
        <v>533</v>
      </c>
      <c r="H19" s="144" t="s">
        <v>456</v>
      </c>
      <c r="I19" s="144" t="s">
        <v>530</v>
      </c>
      <c r="J19" s="145" t="s">
        <v>534</v>
      </c>
    </row>
    <row r="20" spans="1:10" ht="38">
      <c r="A20" s="258">
        <v>9</v>
      </c>
      <c r="B20" s="141" t="s">
        <v>510</v>
      </c>
      <c r="C20" s="249" t="s">
        <v>535</v>
      </c>
      <c r="D20" s="251" t="s">
        <v>536</v>
      </c>
      <c r="E20" s="148" t="s">
        <v>453</v>
      </c>
      <c r="F20" s="143" t="s">
        <v>537</v>
      </c>
      <c r="G20" s="143" t="s">
        <v>461</v>
      </c>
      <c r="H20" s="144" t="s">
        <v>456</v>
      </c>
      <c r="I20" s="144" t="s">
        <v>538</v>
      </c>
      <c r="J20" s="145" t="s">
        <v>539</v>
      </c>
    </row>
    <row r="21" spans="1:10" ht="20">
      <c r="A21" s="259"/>
      <c r="B21" s="141"/>
      <c r="C21" s="250"/>
      <c r="D21" s="252"/>
      <c r="E21" s="142" t="s">
        <v>459</v>
      </c>
      <c r="F21" s="143" t="s">
        <v>540</v>
      </c>
      <c r="G21" s="143" t="s">
        <v>541</v>
      </c>
      <c r="H21" s="144" t="s">
        <v>456</v>
      </c>
      <c r="I21" s="144" t="s">
        <v>542</v>
      </c>
      <c r="J21" s="145" t="s">
        <v>543</v>
      </c>
    </row>
    <row r="22" spans="1:10" ht="47.5">
      <c r="A22" s="258">
        <v>10</v>
      </c>
      <c r="B22" s="141" t="s">
        <v>487</v>
      </c>
      <c r="C22" s="249" t="s">
        <v>544</v>
      </c>
      <c r="D22" s="251" t="s">
        <v>545</v>
      </c>
      <c r="E22" s="148" t="s">
        <v>453</v>
      </c>
      <c r="F22" s="143" t="s">
        <v>546</v>
      </c>
      <c r="G22" s="143" t="s">
        <v>547</v>
      </c>
      <c r="H22" s="144" t="s">
        <v>456</v>
      </c>
      <c r="I22" s="144" t="s">
        <v>548</v>
      </c>
      <c r="J22" s="145" t="s">
        <v>549</v>
      </c>
    </row>
    <row r="23" spans="1:10" ht="38">
      <c r="A23" s="259"/>
      <c r="B23" s="141"/>
      <c r="C23" s="250"/>
      <c r="D23" s="252"/>
      <c r="E23" s="142" t="s">
        <v>459</v>
      </c>
      <c r="F23" s="143" t="s">
        <v>550</v>
      </c>
      <c r="G23" s="143" t="s">
        <v>551</v>
      </c>
      <c r="H23" s="144" t="s">
        <v>456</v>
      </c>
      <c r="I23" s="144" t="s">
        <v>552</v>
      </c>
      <c r="J23" s="145" t="s">
        <v>553</v>
      </c>
    </row>
    <row r="24" spans="1:10" ht="38">
      <c r="A24" s="149">
        <v>11</v>
      </c>
      <c r="B24" s="141" t="s">
        <v>554</v>
      </c>
      <c r="C24" s="249" t="s">
        <v>555</v>
      </c>
      <c r="D24" s="251" t="s">
        <v>556</v>
      </c>
      <c r="E24" s="148" t="s">
        <v>453</v>
      </c>
      <c r="F24" s="143" t="s">
        <v>557</v>
      </c>
      <c r="G24" s="143" t="s">
        <v>558</v>
      </c>
      <c r="H24" s="144" t="s">
        <v>456</v>
      </c>
      <c r="I24" s="144" t="s">
        <v>559</v>
      </c>
      <c r="J24" s="145" t="s">
        <v>560</v>
      </c>
    </row>
    <row r="25" spans="1:10" ht="38">
      <c r="A25" s="141"/>
      <c r="B25" s="141"/>
      <c r="C25" s="250"/>
      <c r="D25" s="252"/>
      <c r="E25" s="142" t="s">
        <v>459</v>
      </c>
      <c r="F25" s="143" t="s">
        <v>561</v>
      </c>
      <c r="G25" s="143" t="s">
        <v>562</v>
      </c>
      <c r="H25" s="144" t="s">
        <v>456</v>
      </c>
      <c r="I25" s="144" t="s">
        <v>563</v>
      </c>
      <c r="J25" s="145" t="s">
        <v>564</v>
      </c>
    </row>
    <row r="40" spans="3:10">
      <c r="C40" s="257" t="s">
        <v>770</v>
      </c>
      <c r="D40" s="257"/>
      <c r="E40" s="257"/>
      <c r="F40" s="257"/>
      <c r="G40" s="257"/>
      <c r="H40" s="257"/>
      <c r="I40" s="257"/>
      <c r="J40" s="257"/>
    </row>
    <row r="41" spans="3:10" ht="28.5">
      <c r="C41" s="253" t="s">
        <v>488</v>
      </c>
      <c r="D41" s="255" t="s">
        <v>489</v>
      </c>
      <c r="E41" s="142" t="s">
        <v>453</v>
      </c>
      <c r="F41" s="143" t="s">
        <v>490</v>
      </c>
      <c r="G41" s="143" t="s">
        <v>491</v>
      </c>
      <c r="H41" s="144" t="s">
        <v>456</v>
      </c>
      <c r="I41" s="144" t="s">
        <v>492</v>
      </c>
      <c r="J41" s="145" t="s">
        <v>493</v>
      </c>
    </row>
    <row r="42" spans="3:10" ht="47.5">
      <c r="C42" s="254"/>
      <c r="D42" s="256"/>
      <c r="E42" s="142" t="s">
        <v>459</v>
      </c>
      <c r="F42" s="143" t="s">
        <v>494</v>
      </c>
      <c r="G42" s="143" t="s">
        <v>495</v>
      </c>
      <c r="H42" s="150" t="s">
        <v>496</v>
      </c>
      <c r="I42" s="144" t="s">
        <v>497</v>
      </c>
      <c r="J42" s="145" t="s">
        <v>498</v>
      </c>
    </row>
    <row r="43" spans="3:10" ht="47.5">
      <c r="C43" s="253" t="s">
        <v>500</v>
      </c>
      <c r="D43" s="255" t="s">
        <v>501</v>
      </c>
      <c r="E43" s="142" t="s">
        <v>453</v>
      </c>
      <c r="F43" s="143" t="s">
        <v>502</v>
      </c>
      <c r="G43" s="143" t="s">
        <v>503</v>
      </c>
      <c r="H43" s="150" t="s">
        <v>496</v>
      </c>
      <c r="I43" s="144" t="s">
        <v>504</v>
      </c>
      <c r="J43" s="145" t="s">
        <v>505</v>
      </c>
    </row>
    <row r="44" spans="3:10" ht="28.5">
      <c r="C44" s="254"/>
      <c r="D44" s="256"/>
      <c r="E44" s="142" t="s">
        <v>459</v>
      </c>
      <c r="F44" s="143" t="s">
        <v>506</v>
      </c>
      <c r="G44" s="143" t="s">
        <v>483</v>
      </c>
      <c r="H44" s="144" t="s">
        <v>456</v>
      </c>
      <c r="I44" s="144" t="s">
        <v>507</v>
      </c>
      <c r="J44" s="145" t="s">
        <v>508</v>
      </c>
    </row>
  </sheetData>
  <mergeCells count="38">
    <mergeCell ref="A1:J1"/>
    <mergeCell ref="A2:J2"/>
    <mergeCell ref="A3:J3"/>
    <mergeCell ref="A4:A5"/>
    <mergeCell ref="C4:C5"/>
    <mergeCell ref="D4:D5"/>
    <mergeCell ref="A6:A7"/>
    <mergeCell ref="C6:C7"/>
    <mergeCell ref="D6:D7"/>
    <mergeCell ref="A8:A9"/>
    <mergeCell ref="C8:C9"/>
    <mergeCell ref="D8:D9"/>
    <mergeCell ref="A10:A11"/>
    <mergeCell ref="C10:C11"/>
    <mergeCell ref="D10:D11"/>
    <mergeCell ref="A12:A13"/>
    <mergeCell ref="C12:C13"/>
    <mergeCell ref="D12:D13"/>
    <mergeCell ref="A14:A15"/>
    <mergeCell ref="C14:C15"/>
    <mergeCell ref="D14:D15"/>
    <mergeCell ref="A17:J17"/>
    <mergeCell ref="A18:A19"/>
    <mergeCell ref="C18:C19"/>
    <mergeCell ref="D18:D19"/>
    <mergeCell ref="A20:A21"/>
    <mergeCell ref="C20:C21"/>
    <mergeCell ref="D20:D21"/>
    <mergeCell ref="A22:A23"/>
    <mergeCell ref="C22:C23"/>
    <mergeCell ref="D22:D23"/>
    <mergeCell ref="C24:C25"/>
    <mergeCell ref="D24:D25"/>
    <mergeCell ref="C41:C42"/>
    <mergeCell ref="D41:D42"/>
    <mergeCell ref="C43:C44"/>
    <mergeCell ref="D43:D44"/>
    <mergeCell ref="C40:J4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757B-8011-4CCC-9010-DF3C19CB2588}">
  <dimension ref="A1:J11"/>
  <sheetViews>
    <sheetView zoomScale="85" zoomScaleNormal="85" workbookViewId="0">
      <selection activeCell="F11" sqref="F11"/>
    </sheetView>
  </sheetViews>
  <sheetFormatPr defaultRowHeight="14.5"/>
  <cols>
    <col min="4" max="4" width="25.7265625" customWidth="1"/>
    <col min="6" max="6" width="30.54296875" customWidth="1"/>
    <col min="7" max="7" width="12.90625" customWidth="1"/>
    <col min="8" max="8" width="11.1796875" customWidth="1"/>
    <col min="9" max="9" width="14.36328125" customWidth="1"/>
    <col min="10" max="10" width="18.90625" customWidth="1"/>
  </cols>
  <sheetData>
    <row r="1" spans="1:10" ht="29.5" thickBot="1">
      <c r="A1" s="79" t="s">
        <v>709</v>
      </c>
      <c r="B1" s="115" t="s">
        <v>710</v>
      </c>
      <c r="C1" s="115" t="s">
        <v>711</v>
      </c>
      <c r="D1" s="115" t="s">
        <v>712</v>
      </c>
      <c r="E1" s="115" t="s">
        <v>713</v>
      </c>
      <c r="F1" s="115" t="s">
        <v>714</v>
      </c>
      <c r="G1" s="115" t="s">
        <v>715</v>
      </c>
      <c r="H1" s="115" t="s">
        <v>716</v>
      </c>
      <c r="I1" s="115" t="s">
        <v>717</v>
      </c>
      <c r="J1" s="80" t="s">
        <v>718</v>
      </c>
    </row>
    <row r="2" spans="1:10" ht="29">
      <c r="A2" s="268">
        <v>1</v>
      </c>
      <c r="B2" s="155" t="s">
        <v>719</v>
      </c>
      <c r="C2" s="155" t="s">
        <v>720</v>
      </c>
      <c r="D2" s="155" t="s">
        <v>721</v>
      </c>
      <c r="E2" s="155" t="s">
        <v>453</v>
      </c>
      <c r="F2" s="155" t="s">
        <v>722</v>
      </c>
      <c r="G2" s="155" t="s">
        <v>723</v>
      </c>
      <c r="H2" s="154" t="s">
        <v>496</v>
      </c>
      <c r="I2" s="155" t="s">
        <v>504</v>
      </c>
      <c r="J2" s="157" t="s">
        <v>724</v>
      </c>
    </row>
    <row r="3" spans="1:10" ht="29">
      <c r="A3" s="269"/>
      <c r="B3" s="156" t="s">
        <v>719</v>
      </c>
      <c r="C3" s="156" t="s">
        <v>720</v>
      </c>
      <c r="D3" s="156" t="s">
        <v>721</v>
      </c>
      <c r="E3" s="156" t="s">
        <v>459</v>
      </c>
      <c r="F3" s="156" t="s">
        <v>725</v>
      </c>
      <c r="G3" s="156" t="s">
        <v>726</v>
      </c>
      <c r="H3" s="151" t="s">
        <v>456</v>
      </c>
      <c r="I3" s="156" t="s">
        <v>727</v>
      </c>
      <c r="J3" s="81" t="s">
        <v>728</v>
      </c>
    </row>
    <row r="4" spans="1:10">
      <c r="A4" s="270">
        <v>2</v>
      </c>
      <c r="B4" s="158" t="s">
        <v>729</v>
      </c>
      <c r="C4" s="158" t="s">
        <v>730</v>
      </c>
      <c r="D4" s="158" t="s">
        <v>731</v>
      </c>
      <c r="E4" s="158" t="s">
        <v>453</v>
      </c>
      <c r="F4" s="158" t="s">
        <v>732</v>
      </c>
      <c r="G4" s="158" t="s">
        <v>726</v>
      </c>
      <c r="H4" s="151" t="s">
        <v>456</v>
      </c>
      <c r="I4" s="158" t="s">
        <v>733</v>
      </c>
      <c r="J4" s="159" t="s">
        <v>734</v>
      </c>
    </row>
    <row r="5" spans="1:10">
      <c r="A5" s="270"/>
      <c r="B5" s="158" t="s">
        <v>729</v>
      </c>
      <c r="C5" s="158" t="s">
        <v>730</v>
      </c>
      <c r="D5" s="158" t="s">
        <v>731</v>
      </c>
      <c r="E5" s="158" t="s">
        <v>459</v>
      </c>
      <c r="F5" s="158" t="s">
        <v>735</v>
      </c>
      <c r="G5" s="158" t="s">
        <v>736</v>
      </c>
      <c r="H5" s="151" t="s">
        <v>456</v>
      </c>
      <c r="I5" s="158" t="s">
        <v>733</v>
      </c>
      <c r="J5" s="159" t="s">
        <v>737</v>
      </c>
    </row>
    <row r="6" spans="1:10">
      <c r="A6" s="271">
        <v>3</v>
      </c>
      <c r="B6" s="160" t="s">
        <v>450</v>
      </c>
      <c r="C6" s="160" t="s">
        <v>738</v>
      </c>
      <c r="D6" s="160" t="s">
        <v>739</v>
      </c>
      <c r="E6" s="160" t="s">
        <v>453</v>
      </c>
      <c r="F6" s="160" t="s">
        <v>740</v>
      </c>
      <c r="G6" s="160" t="s">
        <v>741</v>
      </c>
      <c r="H6" s="151" t="s">
        <v>456</v>
      </c>
      <c r="I6" s="160" t="s">
        <v>742</v>
      </c>
      <c r="J6" s="161" t="s">
        <v>743</v>
      </c>
    </row>
    <row r="7" spans="1:10">
      <c r="A7" s="271"/>
      <c r="B7" s="160" t="s">
        <v>450</v>
      </c>
      <c r="C7" s="160" t="s">
        <v>738</v>
      </c>
      <c r="D7" s="160" t="s">
        <v>739</v>
      </c>
      <c r="E7" s="160" t="s">
        <v>459</v>
      </c>
      <c r="F7" s="160" t="s">
        <v>744</v>
      </c>
      <c r="G7" s="160" t="s">
        <v>745</v>
      </c>
      <c r="H7" s="152" t="s">
        <v>746</v>
      </c>
      <c r="I7" s="160" t="s">
        <v>747</v>
      </c>
      <c r="J7" s="161" t="s">
        <v>748</v>
      </c>
    </row>
    <row r="8" spans="1:10">
      <c r="A8" s="272">
        <v>4</v>
      </c>
      <c r="B8" s="162" t="s">
        <v>719</v>
      </c>
      <c r="C8" s="162" t="s">
        <v>749</v>
      </c>
      <c r="D8" s="162" t="s">
        <v>750</v>
      </c>
      <c r="E8" s="162" t="s">
        <v>453</v>
      </c>
      <c r="F8" s="162" t="s">
        <v>751</v>
      </c>
      <c r="G8" s="162" t="s">
        <v>752</v>
      </c>
      <c r="H8" s="151" t="s">
        <v>456</v>
      </c>
      <c r="I8" s="162" t="s">
        <v>753</v>
      </c>
      <c r="J8" s="88" t="s">
        <v>754</v>
      </c>
    </row>
    <row r="9" spans="1:10" ht="29">
      <c r="A9" s="272"/>
      <c r="B9" s="162" t="s">
        <v>719</v>
      </c>
      <c r="C9" s="162" t="s">
        <v>749</v>
      </c>
      <c r="D9" s="162" t="s">
        <v>750</v>
      </c>
      <c r="E9" s="162" t="s">
        <v>459</v>
      </c>
      <c r="F9" s="162" t="s">
        <v>755</v>
      </c>
      <c r="G9" s="162" t="s">
        <v>756</v>
      </c>
      <c r="H9" s="154" t="s">
        <v>496</v>
      </c>
      <c r="I9" s="162" t="s">
        <v>757</v>
      </c>
      <c r="J9" s="88" t="s">
        <v>758</v>
      </c>
    </row>
    <row r="10" spans="1:10" ht="29">
      <c r="A10" s="273">
        <v>5</v>
      </c>
      <c r="B10" s="163" t="s">
        <v>759</v>
      </c>
      <c r="C10" s="163" t="s">
        <v>760</v>
      </c>
      <c r="D10" s="163" t="s">
        <v>761</v>
      </c>
      <c r="E10" s="163" t="s">
        <v>453</v>
      </c>
      <c r="F10" s="163" t="s">
        <v>762</v>
      </c>
      <c r="G10" s="163" t="s">
        <v>741</v>
      </c>
      <c r="H10" s="151" t="s">
        <v>456</v>
      </c>
      <c r="I10" s="163" t="s">
        <v>763</v>
      </c>
      <c r="J10" s="165" t="s">
        <v>764</v>
      </c>
    </row>
    <row r="11" spans="1:10" ht="29.5" thickBot="1">
      <c r="A11" s="274"/>
      <c r="B11" s="164" t="s">
        <v>759</v>
      </c>
      <c r="C11" s="164" t="s">
        <v>760</v>
      </c>
      <c r="D11" s="164" t="s">
        <v>761</v>
      </c>
      <c r="E11" s="164" t="s">
        <v>459</v>
      </c>
      <c r="F11" s="164" t="s">
        <v>765</v>
      </c>
      <c r="G11" s="164" t="s">
        <v>766</v>
      </c>
      <c r="H11" s="153" t="s">
        <v>456</v>
      </c>
      <c r="I11" s="164" t="s">
        <v>504</v>
      </c>
      <c r="J11" s="166" t="s">
        <v>767</v>
      </c>
    </row>
  </sheetData>
  <mergeCells count="5">
    <mergeCell ref="A2:A3"/>
    <mergeCell ref="A4:A5"/>
    <mergeCell ref="A6:A7"/>
    <mergeCell ref="A8:A9"/>
    <mergeCell ref="A10:A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840C-DA00-4BA8-8487-080D1EFF5DEB}">
  <dimension ref="A1:Q85"/>
  <sheetViews>
    <sheetView topLeftCell="E1" zoomScale="10" zoomScaleNormal="10" workbookViewId="0">
      <pane ySplit="1" topLeftCell="A2" activePane="bottomLeft" state="frozen"/>
      <selection activeCell="H1" sqref="H1"/>
      <selection pane="bottomLeft" activeCell="BW173" sqref="BW173"/>
    </sheetView>
  </sheetViews>
  <sheetFormatPr defaultRowHeight="13"/>
  <cols>
    <col min="1" max="3" width="8.7265625" style="1"/>
    <col min="4" max="4" width="4.453125" style="1" customWidth="1"/>
    <col min="5" max="5" width="21.36328125" style="2" customWidth="1"/>
    <col min="6" max="6" width="5.81640625" style="2" customWidth="1"/>
    <col min="7" max="7" width="80.90625" style="3" customWidth="1"/>
    <col min="8" max="8" width="6.7265625" style="2" customWidth="1"/>
    <col min="9" max="9" width="88" style="2" customWidth="1"/>
    <col min="10" max="10" width="7.26953125" style="2" customWidth="1"/>
    <col min="11" max="11" width="69.08984375" style="1" bestFit="1" customWidth="1"/>
    <col min="12" max="12" width="8.08984375" style="1" customWidth="1"/>
    <col min="13" max="13" width="66.7265625" style="1" customWidth="1"/>
    <col min="14" max="16" width="8.7265625" style="1"/>
    <col min="17" max="17" width="35.81640625" style="1" bestFit="1" customWidth="1"/>
    <col min="18" max="16384" width="8.7265625" style="1"/>
  </cols>
  <sheetData>
    <row r="1" spans="1:17" s="4" customFormat="1" ht="30.5" thickBot="1">
      <c r="A1" s="61"/>
      <c r="B1" s="61"/>
      <c r="C1" s="61"/>
      <c r="D1" s="62"/>
      <c r="E1" s="5" t="s">
        <v>199</v>
      </c>
      <c r="F1" s="5"/>
      <c r="G1" s="5" t="s">
        <v>34</v>
      </c>
      <c r="H1" s="5"/>
      <c r="I1" s="5" t="s">
        <v>35</v>
      </c>
      <c r="J1" s="5"/>
      <c r="K1" s="6" t="s">
        <v>110</v>
      </c>
      <c r="L1" s="6"/>
      <c r="M1" s="7" t="s">
        <v>111</v>
      </c>
    </row>
    <row r="2" spans="1:17" ht="12.5" customHeight="1" thickBot="1">
      <c r="A2" s="63"/>
      <c r="B2" s="63"/>
      <c r="C2" s="63"/>
      <c r="D2" s="194">
        <v>1</v>
      </c>
      <c r="E2" s="197" t="s">
        <v>218</v>
      </c>
      <c r="F2" s="8"/>
      <c r="G2" s="57"/>
      <c r="H2" s="8"/>
      <c r="I2" s="8"/>
      <c r="J2" s="8"/>
      <c r="K2" s="9"/>
      <c r="L2" s="9"/>
      <c r="M2" s="10"/>
    </row>
    <row r="3" spans="1:17" ht="26.5" customHeight="1">
      <c r="A3" s="63"/>
      <c r="B3" s="63"/>
      <c r="C3" s="63"/>
      <c r="D3" s="195"/>
      <c r="E3" s="198"/>
      <c r="F3" s="11">
        <v>1.1000000000000001</v>
      </c>
      <c r="G3" s="200" t="s">
        <v>223</v>
      </c>
      <c r="H3" s="12"/>
      <c r="I3" s="12"/>
      <c r="J3" s="12"/>
      <c r="K3" s="13"/>
      <c r="L3" s="13"/>
      <c r="M3" s="14"/>
    </row>
    <row r="4" spans="1:17" ht="14.5" customHeight="1">
      <c r="A4" s="63"/>
      <c r="B4" s="63"/>
      <c r="C4" s="63"/>
      <c r="D4" s="195"/>
      <c r="E4" s="198"/>
      <c r="F4" s="15"/>
      <c r="G4" s="201"/>
      <c r="H4" s="8" t="s">
        <v>2</v>
      </c>
      <c r="I4" s="8" t="s">
        <v>238</v>
      </c>
      <c r="J4" s="8">
        <v>4</v>
      </c>
      <c r="K4" s="9" t="s">
        <v>204</v>
      </c>
      <c r="L4" s="9"/>
      <c r="M4" s="10"/>
    </row>
    <row r="5" spans="1:17" ht="14.5" customHeight="1">
      <c r="A5" s="63"/>
      <c r="B5" s="63"/>
      <c r="C5" s="63"/>
      <c r="D5" s="195"/>
      <c r="E5" s="198"/>
      <c r="F5" s="15"/>
      <c r="G5" s="201"/>
      <c r="H5" s="8"/>
      <c r="I5" s="8"/>
      <c r="J5" s="8"/>
      <c r="K5" s="9"/>
      <c r="L5" s="9" t="s">
        <v>87</v>
      </c>
      <c r="M5" s="10" t="s">
        <v>72</v>
      </c>
    </row>
    <row r="6" spans="1:17" ht="14.5" customHeight="1">
      <c r="A6" s="63"/>
      <c r="B6" s="63"/>
      <c r="C6" s="63"/>
      <c r="D6" s="195"/>
      <c r="E6" s="198"/>
      <c r="F6" s="15"/>
      <c r="G6" s="201"/>
      <c r="H6" s="8" t="s">
        <v>3</v>
      </c>
      <c r="I6" s="8" t="s">
        <v>239</v>
      </c>
      <c r="J6" s="8" t="s">
        <v>209</v>
      </c>
      <c r="K6" s="9" t="s">
        <v>214</v>
      </c>
      <c r="L6" s="9"/>
      <c r="M6" s="10"/>
      <c r="P6" s="1" t="s">
        <v>200</v>
      </c>
    </row>
    <row r="7" spans="1:17" ht="15" customHeight="1" thickBot="1">
      <c r="A7" s="63"/>
      <c r="B7" s="63"/>
      <c r="C7" s="63"/>
      <c r="D7" s="195"/>
      <c r="E7" s="198"/>
      <c r="F7" s="16"/>
      <c r="G7" s="202"/>
      <c r="H7" s="17"/>
      <c r="I7" s="17"/>
      <c r="J7" s="17"/>
      <c r="K7" s="18"/>
      <c r="L7" s="18" t="s">
        <v>167</v>
      </c>
      <c r="M7" s="19" t="s">
        <v>196</v>
      </c>
      <c r="P7" s="1">
        <v>1</v>
      </c>
      <c r="Q7" s="1" t="s">
        <v>202</v>
      </c>
    </row>
    <row r="8" spans="1:17" ht="14.5" customHeight="1">
      <c r="A8" s="63"/>
      <c r="B8" s="63"/>
      <c r="C8" s="63"/>
      <c r="D8" s="195"/>
      <c r="E8" s="198"/>
      <c r="F8" s="11">
        <v>1.2</v>
      </c>
      <c r="G8" s="200" t="s">
        <v>224</v>
      </c>
      <c r="H8" s="12"/>
      <c r="I8" s="12"/>
      <c r="J8" s="13"/>
      <c r="K8" s="13"/>
      <c r="L8" s="13"/>
      <c r="M8" s="14"/>
      <c r="P8" s="1">
        <v>2</v>
      </c>
      <c r="Q8" s="1" t="s">
        <v>201</v>
      </c>
    </row>
    <row r="9" spans="1:17" ht="14.5" customHeight="1">
      <c r="A9" s="63"/>
      <c r="B9" s="63"/>
      <c r="C9" s="63"/>
      <c r="D9" s="195"/>
      <c r="E9" s="198"/>
      <c r="F9" s="15"/>
      <c r="G9" s="201"/>
      <c r="H9" s="8" t="s">
        <v>4</v>
      </c>
      <c r="I9" s="8" t="s">
        <v>240</v>
      </c>
      <c r="J9" s="8">
        <v>2</v>
      </c>
      <c r="K9" s="9" t="s">
        <v>201</v>
      </c>
      <c r="L9" s="9"/>
      <c r="M9" s="10"/>
      <c r="P9" s="1">
        <v>3</v>
      </c>
      <c r="Q9" s="1" t="s">
        <v>203</v>
      </c>
    </row>
    <row r="10" spans="1:17" ht="14.5" customHeight="1">
      <c r="A10" s="63"/>
      <c r="B10" s="63"/>
      <c r="C10" s="63"/>
      <c r="D10" s="195"/>
      <c r="E10" s="198"/>
      <c r="F10" s="15"/>
      <c r="G10" s="201"/>
      <c r="H10" s="8"/>
      <c r="I10" s="8"/>
      <c r="J10" s="8"/>
      <c r="K10" s="9"/>
      <c r="L10" s="9" t="s">
        <v>89</v>
      </c>
      <c r="M10" s="10" t="s">
        <v>169</v>
      </c>
      <c r="P10" s="1">
        <v>4</v>
      </c>
      <c r="Q10" s="1" t="s">
        <v>204</v>
      </c>
    </row>
    <row r="11" spans="1:17" ht="14.5" customHeight="1">
      <c r="A11" s="63"/>
      <c r="B11" s="63"/>
      <c r="C11" s="63"/>
      <c r="D11" s="195"/>
      <c r="E11" s="198"/>
      <c r="F11" s="15"/>
      <c r="G11" s="201"/>
      <c r="H11" s="8" t="s">
        <v>5</v>
      </c>
      <c r="I11" s="8" t="s">
        <v>241</v>
      </c>
      <c r="J11" s="8">
        <v>4</v>
      </c>
      <c r="K11" s="9" t="s">
        <v>204</v>
      </c>
      <c r="L11" s="9"/>
      <c r="M11" s="10"/>
      <c r="P11" s="1">
        <v>5</v>
      </c>
      <c r="Q11" s="1" t="s">
        <v>205</v>
      </c>
    </row>
    <row r="12" spans="1:17" ht="15" customHeight="1" thickBot="1">
      <c r="A12" s="63"/>
      <c r="B12" s="63"/>
      <c r="C12" s="63"/>
      <c r="D12" s="195"/>
      <c r="E12" s="198"/>
      <c r="F12" s="16"/>
      <c r="G12" s="202"/>
      <c r="H12" s="17"/>
      <c r="I12" s="17"/>
      <c r="J12" s="17"/>
      <c r="K12" s="18"/>
      <c r="L12" s="18" t="s">
        <v>171</v>
      </c>
      <c r="M12" s="19" t="s">
        <v>173</v>
      </c>
      <c r="P12" s="1">
        <v>6</v>
      </c>
      <c r="Q12" s="1" t="s">
        <v>206</v>
      </c>
    </row>
    <row r="13" spans="1:17" ht="26.5" customHeight="1">
      <c r="A13" s="63"/>
      <c r="B13" s="63"/>
      <c r="C13" s="63"/>
      <c r="D13" s="195"/>
      <c r="E13" s="198"/>
      <c r="F13" s="11">
        <v>1.3</v>
      </c>
      <c r="G13" s="200" t="s">
        <v>225</v>
      </c>
      <c r="H13" s="12"/>
      <c r="I13" s="12"/>
      <c r="J13" s="12"/>
      <c r="K13" s="13"/>
      <c r="L13" s="13"/>
      <c r="M13" s="14"/>
      <c r="P13" s="1">
        <v>7</v>
      </c>
      <c r="Q13" s="1" t="s">
        <v>207</v>
      </c>
    </row>
    <row r="14" spans="1:17" ht="14.5" customHeight="1">
      <c r="A14" s="63"/>
      <c r="B14" s="63"/>
      <c r="C14" s="63"/>
      <c r="D14" s="195"/>
      <c r="E14" s="198"/>
      <c r="F14" s="15"/>
      <c r="G14" s="201"/>
      <c r="H14" s="8" t="s">
        <v>6</v>
      </c>
      <c r="I14" s="8" t="s">
        <v>242</v>
      </c>
      <c r="J14" s="8">
        <v>3</v>
      </c>
      <c r="K14" s="9" t="s">
        <v>203</v>
      </c>
      <c r="L14" s="9"/>
      <c r="M14" s="10"/>
      <c r="P14" s="1">
        <v>8</v>
      </c>
      <c r="Q14" s="1" t="s">
        <v>208</v>
      </c>
    </row>
    <row r="15" spans="1:17" ht="14.5" customHeight="1">
      <c r="A15" s="63"/>
      <c r="B15" s="63"/>
      <c r="C15" s="63"/>
      <c r="D15" s="195"/>
      <c r="E15" s="198"/>
      <c r="F15" s="15"/>
      <c r="G15" s="201"/>
      <c r="H15" s="8"/>
      <c r="I15" s="8"/>
      <c r="J15" s="8"/>
      <c r="K15" s="9"/>
      <c r="L15" s="9" t="s">
        <v>175</v>
      </c>
      <c r="M15" s="10" t="s">
        <v>178</v>
      </c>
    </row>
    <row r="16" spans="1:17" ht="14.5" customHeight="1">
      <c r="A16" s="63"/>
      <c r="B16" s="63"/>
      <c r="C16" s="63"/>
      <c r="D16" s="195"/>
      <c r="E16" s="198"/>
      <c r="F16" s="15"/>
      <c r="G16" s="201"/>
      <c r="H16" s="8" t="s">
        <v>7</v>
      </c>
      <c r="I16" s="8" t="s">
        <v>243</v>
      </c>
      <c r="J16" s="8">
        <v>4</v>
      </c>
      <c r="K16" s="9" t="s">
        <v>204</v>
      </c>
      <c r="L16" s="9"/>
      <c r="M16" s="10"/>
    </row>
    <row r="17" spans="1:13" ht="15" customHeight="1" thickBot="1">
      <c r="A17" s="63"/>
      <c r="B17" s="63"/>
      <c r="C17" s="63"/>
      <c r="D17" s="196"/>
      <c r="E17" s="199"/>
      <c r="F17" s="16"/>
      <c r="G17" s="202"/>
      <c r="H17" s="17"/>
      <c r="I17" s="17"/>
      <c r="J17" s="17"/>
      <c r="K17" s="18"/>
      <c r="L17" s="18" t="s">
        <v>177</v>
      </c>
      <c r="M17" s="19" t="s">
        <v>180</v>
      </c>
    </row>
    <row r="18" spans="1:13" ht="10.5" customHeight="1" thickBot="1">
      <c r="A18" s="63"/>
      <c r="B18" s="63"/>
      <c r="C18" s="63"/>
      <c r="D18" s="185">
        <v>2</v>
      </c>
      <c r="E18" s="188" t="s">
        <v>219</v>
      </c>
      <c r="F18" s="20"/>
      <c r="G18" s="58"/>
      <c r="H18" s="20"/>
      <c r="I18" s="20"/>
      <c r="J18" s="20"/>
      <c r="K18" s="21"/>
      <c r="L18" s="21"/>
      <c r="M18" s="22"/>
    </row>
    <row r="19" spans="1:13" ht="26.5" customHeight="1">
      <c r="A19" s="63"/>
      <c r="B19" s="63"/>
      <c r="C19" s="63"/>
      <c r="D19" s="186"/>
      <c r="E19" s="189"/>
      <c r="F19" s="23">
        <v>2.1</v>
      </c>
      <c r="G19" s="191" t="s">
        <v>226</v>
      </c>
      <c r="H19" s="20"/>
      <c r="I19" s="20"/>
      <c r="J19" s="20"/>
      <c r="K19" s="21"/>
      <c r="L19" s="21"/>
      <c r="M19" s="22"/>
    </row>
    <row r="20" spans="1:13" ht="14.5" customHeight="1">
      <c r="A20" s="63"/>
      <c r="B20" s="63"/>
      <c r="C20" s="63"/>
      <c r="D20" s="186"/>
      <c r="E20" s="189"/>
      <c r="F20" s="24"/>
      <c r="G20" s="192"/>
      <c r="H20" s="25" t="s">
        <v>8</v>
      </c>
      <c r="I20" s="25" t="s">
        <v>244</v>
      </c>
      <c r="J20" s="25">
        <v>1</v>
      </c>
      <c r="K20" s="26" t="s">
        <v>202</v>
      </c>
      <c r="L20" s="26"/>
      <c r="M20" s="27"/>
    </row>
    <row r="21" spans="1:13" ht="14.5" customHeight="1">
      <c r="A21" s="63"/>
      <c r="B21" s="63"/>
      <c r="C21" s="63"/>
      <c r="D21" s="186"/>
      <c r="E21" s="189"/>
      <c r="F21" s="24"/>
      <c r="G21" s="192"/>
      <c r="H21" s="25"/>
      <c r="I21" s="25"/>
      <c r="J21" s="25"/>
      <c r="K21" s="26"/>
      <c r="L21" s="26" t="s">
        <v>181</v>
      </c>
      <c r="M21" s="27" t="s">
        <v>196</v>
      </c>
    </row>
    <row r="22" spans="1:13" ht="14.5" customHeight="1">
      <c r="A22" s="63"/>
      <c r="B22" s="63"/>
      <c r="C22" s="63"/>
      <c r="D22" s="186"/>
      <c r="E22" s="189"/>
      <c r="F22" s="24"/>
      <c r="G22" s="192"/>
      <c r="H22" s="25" t="s">
        <v>9</v>
      </c>
      <c r="I22" s="25" t="s">
        <v>245</v>
      </c>
      <c r="J22" s="25">
        <v>4</v>
      </c>
      <c r="K22" s="26" t="s">
        <v>204</v>
      </c>
      <c r="L22" s="26"/>
      <c r="M22" s="27"/>
    </row>
    <row r="23" spans="1:13" ht="15" customHeight="1" thickBot="1">
      <c r="A23" s="63"/>
      <c r="B23" s="63"/>
      <c r="C23" s="63"/>
      <c r="D23" s="186"/>
      <c r="E23" s="189"/>
      <c r="F23" s="28"/>
      <c r="G23" s="193"/>
      <c r="H23" s="29"/>
      <c r="I23" s="29"/>
      <c r="J23" s="29"/>
      <c r="K23" s="30"/>
      <c r="L23" s="30" t="s">
        <v>183</v>
      </c>
      <c r="M23" s="31" t="s">
        <v>184</v>
      </c>
    </row>
    <row r="24" spans="1:13" ht="14.5" customHeight="1">
      <c r="A24" s="63"/>
      <c r="B24" s="63"/>
      <c r="C24" s="63"/>
      <c r="D24" s="186"/>
      <c r="E24" s="189"/>
      <c r="F24" s="23">
        <v>2.2000000000000002</v>
      </c>
      <c r="G24" s="191" t="s">
        <v>227</v>
      </c>
      <c r="H24" s="20"/>
      <c r="I24" s="20"/>
      <c r="J24" s="20"/>
      <c r="K24" s="21"/>
      <c r="L24" s="21"/>
      <c r="M24" s="22"/>
    </row>
    <row r="25" spans="1:13" ht="14.5" customHeight="1">
      <c r="A25" s="63"/>
      <c r="B25" s="63"/>
      <c r="C25" s="63"/>
      <c r="D25" s="186"/>
      <c r="E25" s="189"/>
      <c r="F25" s="24"/>
      <c r="G25" s="192"/>
      <c r="H25" s="25" t="s">
        <v>10</v>
      </c>
      <c r="I25" s="25" t="s">
        <v>246</v>
      </c>
      <c r="J25" s="25">
        <v>2</v>
      </c>
      <c r="K25" s="26" t="s">
        <v>201</v>
      </c>
      <c r="L25" s="26"/>
      <c r="M25" s="27"/>
    </row>
    <row r="26" spans="1:13" ht="14.5" customHeight="1">
      <c r="A26" s="63"/>
      <c r="B26" s="63"/>
      <c r="C26" s="63"/>
      <c r="D26" s="186"/>
      <c r="E26" s="189"/>
      <c r="F26" s="24"/>
      <c r="G26" s="192"/>
      <c r="H26" s="25"/>
      <c r="I26" s="25"/>
      <c r="J26" s="25"/>
      <c r="K26" s="26"/>
      <c r="L26" s="26" t="s">
        <v>155</v>
      </c>
      <c r="M26" s="27" t="s">
        <v>157</v>
      </c>
    </row>
    <row r="27" spans="1:13" ht="14.5" customHeight="1">
      <c r="A27" s="63"/>
      <c r="B27" s="63"/>
      <c r="C27" s="63"/>
      <c r="D27" s="186"/>
      <c r="E27" s="189"/>
      <c r="F27" s="24"/>
      <c r="G27" s="192"/>
      <c r="H27" s="25" t="s">
        <v>11</v>
      </c>
      <c r="I27" s="25" t="s">
        <v>247</v>
      </c>
      <c r="J27" s="25">
        <v>6</v>
      </c>
      <c r="K27" s="26" t="s">
        <v>217</v>
      </c>
      <c r="L27" s="26"/>
      <c r="M27" s="27"/>
    </row>
    <row r="28" spans="1:13" ht="15" customHeight="1" thickBot="1">
      <c r="A28" s="63"/>
      <c r="B28" s="63"/>
      <c r="C28" s="63"/>
      <c r="D28" s="186"/>
      <c r="E28" s="189"/>
      <c r="F28" s="28"/>
      <c r="G28" s="193"/>
      <c r="H28" s="29"/>
      <c r="I28" s="29"/>
      <c r="J28" s="29"/>
      <c r="K28" s="30"/>
      <c r="L28" s="30" t="s">
        <v>152</v>
      </c>
      <c r="M28" s="31" t="s">
        <v>192</v>
      </c>
    </row>
    <row r="29" spans="1:13" ht="14.5" customHeight="1">
      <c r="A29" s="63"/>
      <c r="B29" s="63"/>
      <c r="C29" s="63"/>
      <c r="D29" s="186"/>
      <c r="E29" s="189"/>
      <c r="F29" s="23">
        <v>2.2999999999999998</v>
      </c>
      <c r="G29" s="191" t="s">
        <v>228</v>
      </c>
      <c r="H29" s="20"/>
      <c r="I29" s="20"/>
      <c r="J29" s="20"/>
      <c r="K29" s="21"/>
      <c r="L29" s="21"/>
      <c r="M29" s="22"/>
    </row>
    <row r="30" spans="1:13" ht="14.5" customHeight="1">
      <c r="A30" s="63"/>
      <c r="B30" s="63"/>
      <c r="C30" s="63"/>
      <c r="D30" s="186"/>
      <c r="E30" s="189"/>
      <c r="F30" s="24"/>
      <c r="G30" s="192"/>
      <c r="H30" s="25" t="s">
        <v>12</v>
      </c>
      <c r="I30" s="25" t="s">
        <v>248</v>
      </c>
      <c r="J30" s="25">
        <v>5</v>
      </c>
      <c r="K30" s="26" t="s">
        <v>205</v>
      </c>
      <c r="L30" s="26"/>
      <c r="M30" s="27"/>
    </row>
    <row r="31" spans="1:13" ht="14.5" customHeight="1">
      <c r="A31" s="63"/>
      <c r="B31" s="63"/>
      <c r="C31" s="63"/>
      <c r="D31" s="186"/>
      <c r="E31" s="189"/>
      <c r="F31" s="24"/>
      <c r="G31" s="192"/>
      <c r="H31" s="25"/>
      <c r="I31" s="25"/>
      <c r="J31" s="25"/>
      <c r="K31" s="26"/>
      <c r="L31" s="26" t="s">
        <v>159</v>
      </c>
      <c r="M31" s="27" t="s">
        <v>161</v>
      </c>
    </row>
    <row r="32" spans="1:13" ht="14.5" customHeight="1">
      <c r="A32" s="63"/>
      <c r="B32" s="63"/>
      <c r="C32" s="63"/>
      <c r="D32" s="186"/>
      <c r="E32" s="189"/>
      <c r="F32" s="24"/>
      <c r="G32" s="192"/>
      <c r="H32" s="25" t="s">
        <v>13</v>
      </c>
      <c r="I32" s="25" t="s">
        <v>249</v>
      </c>
      <c r="J32" s="25">
        <v>6</v>
      </c>
      <c r="K32" s="26" t="s">
        <v>217</v>
      </c>
      <c r="L32" s="26"/>
      <c r="M32" s="27"/>
    </row>
    <row r="33" spans="1:13" ht="15" customHeight="1" thickBot="1">
      <c r="A33" s="63"/>
      <c r="B33" s="63"/>
      <c r="C33" s="63"/>
      <c r="D33" s="187"/>
      <c r="E33" s="190"/>
      <c r="F33" s="28"/>
      <c r="G33" s="193"/>
      <c r="H33" s="29"/>
      <c r="I33" s="29"/>
      <c r="J33" s="29"/>
      <c r="K33" s="30"/>
      <c r="L33" s="30" t="s">
        <v>163</v>
      </c>
      <c r="M33" s="31" t="s">
        <v>165</v>
      </c>
    </row>
    <row r="34" spans="1:13" ht="16.5" customHeight="1" thickBot="1">
      <c r="A34" s="63"/>
      <c r="B34" s="63"/>
      <c r="C34" s="63"/>
      <c r="D34" s="212">
        <v>3</v>
      </c>
      <c r="E34" s="215" t="s">
        <v>220</v>
      </c>
      <c r="F34" s="32"/>
      <c r="G34" s="59"/>
      <c r="H34" s="32"/>
      <c r="I34" s="32"/>
      <c r="J34" s="32"/>
      <c r="K34" s="33"/>
      <c r="L34" s="33"/>
      <c r="M34" s="34"/>
    </row>
    <row r="35" spans="1:13" ht="26.5" customHeight="1">
      <c r="A35" s="63"/>
      <c r="B35" s="63"/>
      <c r="C35" s="63"/>
      <c r="D35" s="213"/>
      <c r="E35" s="216"/>
      <c r="F35" s="35">
        <v>3.1</v>
      </c>
      <c r="G35" s="218" t="s">
        <v>229</v>
      </c>
      <c r="H35" s="32"/>
      <c r="I35" s="32"/>
      <c r="J35" s="32"/>
      <c r="K35" s="33"/>
      <c r="L35" s="33"/>
      <c r="M35" s="34"/>
    </row>
    <row r="36" spans="1:13" ht="14.5" customHeight="1">
      <c r="A36" s="63"/>
      <c r="B36" s="63"/>
      <c r="C36" s="63"/>
      <c r="D36" s="213"/>
      <c r="E36" s="216"/>
      <c r="F36" s="36"/>
      <c r="G36" s="219"/>
      <c r="H36" s="37" t="s">
        <v>14</v>
      </c>
      <c r="I36" s="37" t="s">
        <v>250</v>
      </c>
      <c r="J36" s="37">
        <v>3</v>
      </c>
      <c r="K36" s="38" t="s">
        <v>203</v>
      </c>
      <c r="L36" s="38"/>
      <c r="M36" s="39"/>
    </row>
    <row r="37" spans="1:13" ht="14.5" customHeight="1">
      <c r="A37" s="63"/>
      <c r="B37" s="63"/>
      <c r="C37" s="63"/>
      <c r="D37" s="213"/>
      <c r="E37" s="216"/>
      <c r="F37" s="36"/>
      <c r="G37" s="219"/>
      <c r="H37" s="37"/>
      <c r="I37" s="37"/>
      <c r="J37" s="37"/>
      <c r="K37" s="38"/>
      <c r="L37" s="38" t="s">
        <v>85</v>
      </c>
      <c r="M37" s="39" t="s">
        <v>83</v>
      </c>
    </row>
    <row r="38" spans="1:13" ht="14.5" customHeight="1">
      <c r="A38" s="63"/>
      <c r="B38" s="63"/>
      <c r="C38" s="63"/>
      <c r="D38" s="213"/>
      <c r="E38" s="216"/>
      <c r="F38" s="36"/>
      <c r="G38" s="219"/>
      <c r="H38" s="37" t="s">
        <v>15</v>
      </c>
      <c r="I38" s="37" t="s">
        <v>251</v>
      </c>
      <c r="J38" s="37" t="s">
        <v>209</v>
      </c>
      <c r="K38" s="38" t="s">
        <v>214</v>
      </c>
      <c r="L38" s="38"/>
      <c r="M38" s="39"/>
    </row>
    <row r="39" spans="1:13" ht="15" customHeight="1" thickBot="1">
      <c r="A39" s="63"/>
      <c r="B39" s="63"/>
      <c r="C39" s="63"/>
      <c r="D39" s="213"/>
      <c r="E39" s="216"/>
      <c r="F39" s="40"/>
      <c r="G39" s="220"/>
      <c r="H39" s="41"/>
      <c r="I39" s="41"/>
      <c r="J39" s="41"/>
      <c r="K39" s="42"/>
      <c r="L39" s="42" t="s">
        <v>113</v>
      </c>
      <c r="M39" s="43" t="s">
        <v>115</v>
      </c>
    </row>
    <row r="40" spans="1:13" ht="26.5" customHeight="1">
      <c r="A40" s="63"/>
      <c r="B40" s="63"/>
      <c r="C40" s="63"/>
      <c r="D40" s="213"/>
      <c r="E40" s="216"/>
      <c r="F40" s="35">
        <v>3.2</v>
      </c>
      <c r="G40" s="218" t="s">
        <v>230</v>
      </c>
      <c r="H40" s="32"/>
      <c r="I40" s="32"/>
      <c r="J40" s="32"/>
      <c r="K40" s="33"/>
      <c r="L40" s="33"/>
      <c r="M40" s="34"/>
    </row>
    <row r="41" spans="1:13" ht="14.5" customHeight="1">
      <c r="A41" s="63"/>
      <c r="B41" s="63"/>
      <c r="C41" s="63"/>
      <c r="D41" s="213"/>
      <c r="E41" s="216"/>
      <c r="F41" s="36"/>
      <c r="G41" s="219"/>
      <c r="H41" s="37" t="s">
        <v>16</v>
      </c>
      <c r="I41" s="37" t="s">
        <v>252</v>
      </c>
      <c r="J41" s="37">
        <v>7</v>
      </c>
      <c r="K41" s="38" t="s">
        <v>207</v>
      </c>
      <c r="L41" s="38"/>
      <c r="M41" s="39"/>
    </row>
    <row r="42" spans="1:13" ht="14.5" customHeight="1">
      <c r="A42" s="63"/>
      <c r="B42" s="63"/>
      <c r="C42" s="63"/>
      <c r="D42" s="213"/>
      <c r="E42" s="216"/>
      <c r="F42" s="36"/>
      <c r="G42" s="219"/>
      <c r="H42" s="37"/>
      <c r="I42" s="37"/>
      <c r="J42" s="37"/>
      <c r="K42" s="37"/>
      <c r="L42" s="37" t="s">
        <v>91</v>
      </c>
      <c r="M42" s="39" t="s">
        <v>46</v>
      </c>
    </row>
    <row r="43" spans="1:13" ht="14.5" customHeight="1">
      <c r="A43" s="63"/>
      <c r="B43" s="63"/>
      <c r="C43" s="63"/>
      <c r="D43" s="213"/>
      <c r="E43" s="216"/>
      <c r="F43" s="36"/>
      <c r="G43" s="219"/>
      <c r="H43" s="37" t="s">
        <v>17</v>
      </c>
      <c r="I43" s="37" t="s">
        <v>253</v>
      </c>
      <c r="J43" s="37">
        <v>7</v>
      </c>
      <c r="K43" s="38" t="s">
        <v>207</v>
      </c>
      <c r="L43" s="38"/>
      <c r="M43" s="39"/>
    </row>
    <row r="44" spans="1:13" ht="15" customHeight="1" thickBot="1">
      <c r="A44" s="63"/>
      <c r="B44" s="63"/>
      <c r="C44" s="63"/>
      <c r="D44" s="213"/>
      <c r="E44" s="216"/>
      <c r="F44" s="40"/>
      <c r="G44" s="220"/>
      <c r="H44" s="41"/>
      <c r="I44" s="41"/>
      <c r="J44" s="41"/>
      <c r="K44" s="42"/>
      <c r="L44" s="42" t="s">
        <v>117</v>
      </c>
      <c r="M44" s="43" t="s">
        <v>120</v>
      </c>
    </row>
    <row r="45" spans="1:13" ht="26.5" customHeight="1">
      <c r="A45" s="63"/>
      <c r="B45" s="63"/>
      <c r="C45" s="63"/>
      <c r="D45" s="213"/>
      <c r="E45" s="216"/>
      <c r="F45" s="35">
        <v>3.3</v>
      </c>
      <c r="G45" s="218" t="s">
        <v>231</v>
      </c>
      <c r="H45" s="32"/>
      <c r="I45" s="32"/>
      <c r="J45" s="32"/>
      <c r="K45" s="33"/>
      <c r="L45" s="33"/>
      <c r="M45" s="34"/>
    </row>
    <row r="46" spans="1:13" ht="14.5" customHeight="1">
      <c r="A46" s="63"/>
      <c r="B46" s="63"/>
      <c r="C46" s="63"/>
      <c r="D46" s="213"/>
      <c r="E46" s="216"/>
      <c r="F46" s="36"/>
      <c r="G46" s="219"/>
      <c r="H46" s="37" t="s">
        <v>18</v>
      </c>
      <c r="I46" s="37" t="s">
        <v>254</v>
      </c>
      <c r="J46" s="37">
        <v>1</v>
      </c>
      <c r="K46" s="38" t="s">
        <v>202</v>
      </c>
      <c r="L46" s="38"/>
      <c r="M46" s="39"/>
    </row>
    <row r="47" spans="1:13" ht="14.5" customHeight="1">
      <c r="A47" s="63"/>
      <c r="B47" s="63"/>
      <c r="C47" s="63"/>
      <c r="D47" s="213"/>
      <c r="E47" s="216"/>
      <c r="F47" s="36"/>
      <c r="G47" s="219"/>
      <c r="H47" s="37"/>
      <c r="I47" s="37"/>
      <c r="J47" s="37"/>
      <c r="K47" s="38"/>
      <c r="L47" s="38" t="s">
        <v>93</v>
      </c>
      <c r="M47" s="39" t="s">
        <v>190</v>
      </c>
    </row>
    <row r="48" spans="1:13" ht="15" customHeight="1" thickBot="1">
      <c r="A48" s="63"/>
      <c r="B48" s="63"/>
      <c r="C48" s="63"/>
      <c r="D48" s="214"/>
      <c r="E48" s="217"/>
      <c r="F48" s="40"/>
      <c r="G48" s="220"/>
      <c r="H48" s="41" t="s">
        <v>19</v>
      </c>
      <c r="I48" s="41" t="s">
        <v>255</v>
      </c>
      <c r="J48" s="41">
        <v>8</v>
      </c>
      <c r="K48" s="42" t="s">
        <v>208</v>
      </c>
      <c r="L48" s="42"/>
      <c r="M48" s="43"/>
    </row>
    <row r="49" spans="1:13" ht="15" customHeight="1" thickBot="1">
      <c r="A49" s="63"/>
      <c r="B49" s="63"/>
      <c r="C49" s="63"/>
      <c r="D49" s="203">
        <v>4</v>
      </c>
      <c r="E49" s="206" t="s">
        <v>221</v>
      </c>
      <c r="F49" s="44"/>
      <c r="G49" s="60"/>
      <c r="H49" s="44"/>
      <c r="I49" s="44"/>
      <c r="J49" s="44"/>
      <c r="K49" s="45"/>
      <c r="L49" s="45" t="s">
        <v>97</v>
      </c>
      <c r="M49" s="46" t="s">
        <v>98</v>
      </c>
    </row>
    <row r="50" spans="1:13" ht="14.5" customHeight="1">
      <c r="A50" s="63"/>
      <c r="B50" s="63"/>
      <c r="C50" s="63"/>
      <c r="D50" s="204"/>
      <c r="E50" s="207"/>
      <c r="F50" s="47">
        <v>4.0999999999999996</v>
      </c>
      <c r="G50" s="209" t="s">
        <v>232</v>
      </c>
      <c r="H50" s="44"/>
      <c r="I50" s="44"/>
      <c r="J50" s="44"/>
      <c r="K50" s="45"/>
      <c r="L50" s="45"/>
      <c r="M50" s="46"/>
    </row>
    <row r="51" spans="1:13" ht="14.5" customHeight="1">
      <c r="A51" s="63"/>
      <c r="B51" s="63"/>
      <c r="C51" s="63"/>
      <c r="D51" s="204"/>
      <c r="E51" s="207"/>
      <c r="F51" s="48"/>
      <c r="G51" s="210"/>
      <c r="H51" s="49" t="s">
        <v>20</v>
      </c>
      <c r="I51" s="49"/>
      <c r="J51" s="49">
        <v>3</v>
      </c>
      <c r="K51" s="50" t="s">
        <v>203</v>
      </c>
      <c r="L51" s="50"/>
      <c r="M51" s="51"/>
    </row>
    <row r="52" spans="1:13" ht="14.5" customHeight="1">
      <c r="A52" s="63"/>
      <c r="B52" s="63"/>
      <c r="C52" s="63"/>
      <c r="D52" s="204"/>
      <c r="E52" s="207"/>
      <c r="F52" s="48"/>
      <c r="G52" s="210"/>
      <c r="H52" s="49"/>
      <c r="I52" s="49" t="s">
        <v>256</v>
      </c>
      <c r="J52" s="49"/>
      <c r="K52" s="49"/>
      <c r="L52" s="49" t="s">
        <v>122</v>
      </c>
      <c r="M52" s="52" t="s">
        <v>64</v>
      </c>
    </row>
    <row r="53" spans="1:13" ht="14.5" customHeight="1">
      <c r="A53" s="63"/>
      <c r="B53" s="63"/>
      <c r="C53" s="63"/>
      <c r="D53" s="204"/>
      <c r="E53" s="207"/>
      <c r="F53" s="48"/>
      <c r="G53" s="210"/>
      <c r="H53" s="49" t="s">
        <v>21</v>
      </c>
      <c r="I53" s="49"/>
      <c r="J53" s="49">
        <v>5</v>
      </c>
      <c r="K53" s="50" t="s">
        <v>205</v>
      </c>
      <c r="L53" s="50"/>
      <c r="M53" s="51"/>
    </row>
    <row r="54" spans="1:13" ht="15" customHeight="1" thickBot="1">
      <c r="A54" s="63"/>
      <c r="B54" s="63"/>
      <c r="C54" s="63"/>
      <c r="D54" s="204"/>
      <c r="E54" s="207"/>
      <c r="F54" s="53"/>
      <c r="G54" s="211"/>
      <c r="H54" s="54"/>
      <c r="I54" s="54" t="s">
        <v>257</v>
      </c>
      <c r="J54" s="54"/>
      <c r="K54" s="55"/>
      <c r="L54" s="55" t="s">
        <v>125</v>
      </c>
      <c r="M54" s="56" t="s">
        <v>129</v>
      </c>
    </row>
    <row r="55" spans="1:13" ht="14.5" customHeight="1">
      <c r="A55" s="63"/>
      <c r="B55" s="63"/>
      <c r="C55" s="63"/>
      <c r="D55" s="204"/>
      <c r="E55" s="207"/>
      <c r="F55" s="47">
        <v>4.2</v>
      </c>
      <c r="G55" s="209" t="s">
        <v>233</v>
      </c>
      <c r="H55" s="44"/>
      <c r="I55" s="44"/>
      <c r="J55" s="44"/>
      <c r="K55" s="45"/>
      <c r="L55" s="45"/>
      <c r="M55" s="46"/>
    </row>
    <row r="56" spans="1:13" ht="14.5" customHeight="1">
      <c r="A56" s="63"/>
      <c r="B56" s="63"/>
      <c r="C56" s="63"/>
      <c r="D56" s="204"/>
      <c r="E56" s="207"/>
      <c r="F56" s="48"/>
      <c r="G56" s="210"/>
      <c r="H56" s="49" t="s">
        <v>22</v>
      </c>
      <c r="I56" s="49"/>
      <c r="J56" s="49">
        <v>3</v>
      </c>
      <c r="K56" s="50" t="s">
        <v>203</v>
      </c>
      <c r="L56" s="50"/>
      <c r="M56" s="51"/>
    </row>
    <row r="57" spans="1:13" ht="14.5" customHeight="1">
      <c r="A57" s="63"/>
      <c r="B57" s="63"/>
      <c r="C57" s="63"/>
      <c r="D57" s="204"/>
      <c r="E57" s="207"/>
      <c r="F57" s="48"/>
      <c r="G57" s="210"/>
      <c r="H57" s="49"/>
      <c r="I57" s="49" t="s">
        <v>258</v>
      </c>
      <c r="J57" s="49"/>
      <c r="K57" s="50"/>
      <c r="L57" s="50" t="s">
        <v>125</v>
      </c>
      <c r="M57" s="51" t="s">
        <v>130</v>
      </c>
    </row>
    <row r="58" spans="1:13" ht="14.5" customHeight="1">
      <c r="A58" s="63"/>
      <c r="B58" s="63"/>
      <c r="C58" s="63"/>
      <c r="D58" s="204"/>
      <c r="E58" s="207"/>
      <c r="F58" s="48"/>
      <c r="G58" s="210"/>
      <c r="H58" s="49" t="s">
        <v>23</v>
      </c>
      <c r="I58" s="49"/>
      <c r="J58" s="49" t="s">
        <v>212</v>
      </c>
      <c r="K58" s="50" t="s">
        <v>213</v>
      </c>
      <c r="L58" s="50"/>
      <c r="M58" s="51"/>
    </row>
    <row r="59" spans="1:13" ht="15" customHeight="1" thickBot="1">
      <c r="A59" s="63"/>
      <c r="B59" s="63"/>
      <c r="C59" s="63"/>
      <c r="D59" s="204"/>
      <c r="E59" s="207"/>
      <c r="F59" s="53"/>
      <c r="G59" s="211"/>
      <c r="H59" s="54"/>
      <c r="I59" s="54" t="s">
        <v>259</v>
      </c>
      <c r="J59" s="54"/>
      <c r="K59" s="55"/>
      <c r="L59" s="55" t="s">
        <v>132</v>
      </c>
      <c r="M59" s="56" t="s">
        <v>48</v>
      </c>
    </row>
    <row r="60" spans="1:13" ht="26.5" customHeight="1">
      <c r="A60" s="63"/>
      <c r="B60" s="63"/>
      <c r="C60" s="63"/>
      <c r="D60" s="204"/>
      <c r="E60" s="207"/>
      <c r="F60" s="47">
        <v>4.3</v>
      </c>
      <c r="G60" s="209" t="s">
        <v>234</v>
      </c>
      <c r="H60" s="44"/>
      <c r="I60" s="44"/>
      <c r="J60" s="44"/>
      <c r="K60" s="45"/>
      <c r="L60" s="45"/>
      <c r="M60" s="46"/>
    </row>
    <row r="61" spans="1:13" ht="14.5" customHeight="1">
      <c r="A61" s="63"/>
      <c r="B61" s="63"/>
      <c r="C61" s="63"/>
      <c r="D61" s="204"/>
      <c r="E61" s="207"/>
      <c r="F61" s="48"/>
      <c r="G61" s="210"/>
      <c r="H61" s="49" t="s">
        <v>24</v>
      </c>
      <c r="I61" s="49"/>
      <c r="J61" s="49">
        <v>5</v>
      </c>
      <c r="K61" s="50" t="s">
        <v>205</v>
      </c>
      <c r="L61" s="50"/>
      <c r="M61" s="51"/>
    </row>
    <row r="62" spans="1:13" ht="14.5" customHeight="1">
      <c r="A62" s="63"/>
      <c r="B62" s="63"/>
      <c r="C62" s="63"/>
      <c r="D62" s="204"/>
      <c r="E62" s="207"/>
      <c r="F62" s="48"/>
      <c r="G62" s="210"/>
      <c r="H62" s="49"/>
      <c r="I62" s="49" t="s">
        <v>260</v>
      </c>
      <c r="J62" s="49"/>
      <c r="K62" s="50"/>
      <c r="L62" s="50" t="s">
        <v>135</v>
      </c>
      <c r="M62" s="51" t="s">
        <v>136</v>
      </c>
    </row>
    <row r="63" spans="1:13" ht="14.5" customHeight="1">
      <c r="A63" s="63"/>
      <c r="B63" s="63"/>
      <c r="C63" s="63"/>
      <c r="D63" s="204"/>
      <c r="E63" s="207"/>
      <c r="F63" s="48"/>
      <c r="G63" s="210"/>
      <c r="H63" s="49" t="s">
        <v>25</v>
      </c>
      <c r="I63" s="49"/>
      <c r="J63" s="49" t="s">
        <v>212</v>
      </c>
      <c r="K63" s="50" t="s">
        <v>213</v>
      </c>
      <c r="L63" s="50"/>
      <c r="M63" s="51"/>
    </row>
    <row r="64" spans="1:13" ht="15" customHeight="1" thickBot="1">
      <c r="A64" s="63"/>
      <c r="B64" s="63"/>
      <c r="C64" s="63"/>
      <c r="D64" s="205"/>
      <c r="E64" s="208"/>
      <c r="F64" s="53"/>
      <c r="G64" s="211"/>
      <c r="H64" s="54"/>
      <c r="I64" s="54" t="s">
        <v>261</v>
      </c>
      <c r="J64" s="54"/>
      <c r="K64" s="55"/>
      <c r="L64" s="55" t="s">
        <v>138</v>
      </c>
      <c r="M64" s="56" t="s">
        <v>141</v>
      </c>
    </row>
    <row r="65" spans="1:13" ht="11.5" customHeight="1" thickBot="1">
      <c r="A65" s="63"/>
      <c r="B65" s="63"/>
      <c r="C65" s="63"/>
      <c r="D65" s="185">
        <v>5</v>
      </c>
      <c r="E65" s="188" t="s">
        <v>222</v>
      </c>
      <c r="F65" s="20"/>
      <c r="G65" s="58"/>
      <c r="H65" s="20"/>
      <c r="I65" s="20"/>
      <c r="J65" s="20"/>
      <c r="K65" s="21"/>
      <c r="L65" s="21"/>
      <c r="M65" s="22"/>
    </row>
    <row r="66" spans="1:13" ht="26.5" customHeight="1">
      <c r="A66" s="63"/>
      <c r="B66" s="63"/>
      <c r="C66" s="63"/>
      <c r="D66" s="186"/>
      <c r="E66" s="189"/>
      <c r="F66" s="23">
        <v>5.0999999999999996</v>
      </c>
      <c r="G66" s="191" t="s">
        <v>235</v>
      </c>
      <c r="H66" s="20"/>
      <c r="I66" s="20"/>
      <c r="J66" s="20"/>
      <c r="K66" s="21"/>
      <c r="L66" s="21"/>
      <c r="M66" s="22"/>
    </row>
    <row r="67" spans="1:13" ht="14.5" customHeight="1">
      <c r="A67" s="63"/>
      <c r="B67" s="63"/>
      <c r="C67" s="63"/>
      <c r="D67" s="186"/>
      <c r="E67" s="189"/>
      <c r="F67" s="24"/>
      <c r="G67" s="192"/>
      <c r="H67" s="25" t="s">
        <v>26</v>
      </c>
      <c r="I67" s="25"/>
      <c r="J67" s="25">
        <v>7</v>
      </c>
      <c r="K67" s="26" t="s">
        <v>215</v>
      </c>
      <c r="L67" s="26"/>
      <c r="M67" s="27"/>
    </row>
    <row r="68" spans="1:13" ht="14.5" customHeight="1">
      <c r="A68" s="63"/>
      <c r="B68" s="63"/>
      <c r="C68" s="63"/>
      <c r="D68" s="186"/>
      <c r="E68" s="189"/>
      <c r="F68" s="24"/>
      <c r="G68" s="192"/>
      <c r="H68" s="25"/>
      <c r="I68" s="25" t="s">
        <v>262</v>
      </c>
      <c r="J68" s="25"/>
      <c r="K68" s="26"/>
      <c r="L68" s="26" t="s">
        <v>142</v>
      </c>
      <c r="M68" s="27" t="s">
        <v>143</v>
      </c>
    </row>
    <row r="69" spans="1:13" ht="14.5" customHeight="1">
      <c r="A69" s="63"/>
      <c r="B69" s="63"/>
      <c r="C69" s="63"/>
      <c r="D69" s="186"/>
      <c r="E69" s="189"/>
      <c r="F69" s="24"/>
      <c r="G69" s="192"/>
      <c r="H69" s="25" t="s">
        <v>27</v>
      </c>
      <c r="I69" s="25"/>
      <c r="J69" s="25">
        <v>8</v>
      </c>
      <c r="K69" s="26" t="s">
        <v>208</v>
      </c>
      <c r="L69" s="26"/>
      <c r="M69" s="27"/>
    </row>
    <row r="70" spans="1:13" ht="15" customHeight="1" thickBot="1">
      <c r="A70" s="63"/>
      <c r="B70" s="63"/>
      <c r="C70" s="63"/>
      <c r="D70" s="186"/>
      <c r="E70" s="189"/>
      <c r="F70" s="28"/>
      <c r="G70" s="193"/>
      <c r="H70" s="29"/>
      <c r="I70" s="29" t="s">
        <v>263</v>
      </c>
      <c r="J70" s="29"/>
      <c r="K70" s="30"/>
      <c r="L70" s="30" t="s">
        <v>148</v>
      </c>
      <c r="M70" s="31" t="s">
        <v>149</v>
      </c>
    </row>
    <row r="71" spans="1:13" ht="26.5" customHeight="1">
      <c r="A71" s="63"/>
      <c r="B71" s="63"/>
      <c r="C71" s="63"/>
      <c r="D71" s="186"/>
      <c r="E71" s="189"/>
      <c r="F71" s="23">
        <v>5.2</v>
      </c>
      <c r="G71" s="191" t="s">
        <v>236</v>
      </c>
      <c r="H71" s="20"/>
      <c r="I71" s="20"/>
      <c r="J71" s="20"/>
      <c r="K71" s="21"/>
      <c r="L71" s="21"/>
      <c r="M71" s="22"/>
    </row>
    <row r="72" spans="1:13" ht="14.5" customHeight="1">
      <c r="A72" s="63"/>
      <c r="B72" s="63"/>
      <c r="C72" s="63"/>
      <c r="D72" s="186"/>
      <c r="E72" s="189"/>
      <c r="F72" s="24"/>
      <c r="G72" s="192"/>
      <c r="H72" s="25" t="s">
        <v>30</v>
      </c>
      <c r="I72" s="25"/>
      <c r="J72" s="25">
        <v>7</v>
      </c>
      <c r="K72" s="26" t="s">
        <v>215</v>
      </c>
      <c r="L72" s="26"/>
      <c r="M72" s="27"/>
    </row>
    <row r="73" spans="1:13" ht="14.5" customHeight="1">
      <c r="A73" s="63"/>
      <c r="B73" s="63"/>
      <c r="C73" s="63"/>
      <c r="D73" s="186"/>
      <c r="E73" s="189"/>
      <c r="F73" s="24"/>
      <c r="G73" s="192"/>
      <c r="H73" s="25"/>
      <c r="I73" s="25" t="s">
        <v>264</v>
      </c>
      <c r="J73" s="25"/>
      <c r="K73" s="26"/>
      <c r="L73" s="26" t="s">
        <v>106</v>
      </c>
      <c r="M73" s="27" t="s">
        <v>144</v>
      </c>
    </row>
    <row r="74" spans="1:13" ht="14.5" customHeight="1">
      <c r="A74" s="63"/>
      <c r="B74" s="63"/>
      <c r="C74" s="63"/>
      <c r="D74" s="186"/>
      <c r="E74" s="189"/>
      <c r="F74" s="24"/>
      <c r="G74" s="192"/>
      <c r="H74" s="25" t="s">
        <v>31</v>
      </c>
      <c r="I74" s="25"/>
      <c r="J74" s="25" t="s">
        <v>211</v>
      </c>
      <c r="K74" s="26" t="s">
        <v>216</v>
      </c>
      <c r="L74" s="26"/>
      <c r="M74" s="27"/>
    </row>
    <row r="75" spans="1:13" ht="15" customHeight="1" thickBot="1">
      <c r="A75" s="63"/>
      <c r="B75" s="63"/>
      <c r="C75" s="63"/>
      <c r="D75" s="186"/>
      <c r="E75" s="189"/>
      <c r="F75" s="28"/>
      <c r="G75" s="193"/>
      <c r="H75" s="29"/>
      <c r="I75" s="29" t="s">
        <v>265</v>
      </c>
      <c r="J75" s="29"/>
      <c r="K75" s="30"/>
      <c r="L75" s="30" t="s">
        <v>103</v>
      </c>
      <c r="M75" s="31" t="s">
        <v>145</v>
      </c>
    </row>
    <row r="76" spans="1:13" ht="14.5" customHeight="1">
      <c r="A76" s="63"/>
      <c r="B76" s="63"/>
      <c r="C76" s="63"/>
      <c r="D76" s="186"/>
      <c r="E76" s="189"/>
      <c r="F76" s="23">
        <v>5.3</v>
      </c>
      <c r="G76" s="191" t="s">
        <v>237</v>
      </c>
      <c r="H76" s="20"/>
      <c r="I76" s="20"/>
      <c r="J76" s="20"/>
      <c r="K76" s="21"/>
      <c r="L76" s="21"/>
      <c r="M76" s="22"/>
    </row>
    <row r="77" spans="1:13" ht="14.5" customHeight="1">
      <c r="A77" s="63"/>
      <c r="B77" s="63"/>
      <c r="C77" s="63"/>
      <c r="D77" s="186"/>
      <c r="E77" s="189"/>
      <c r="F77" s="24"/>
      <c r="G77" s="192"/>
      <c r="H77" s="25" t="s">
        <v>28</v>
      </c>
      <c r="I77" s="25"/>
      <c r="J77" s="25">
        <v>8</v>
      </c>
      <c r="K77" s="26" t="s">
        <v>208</v>
      </c>
      <c r="L77" s="26"/>
      <c r="M77" s="27"/>
    </row>
    <row r="78" spans="1:13" ht="14.5" customHeight="1">
      <c r="A78" s="63"/>
      <c r="B78" s="63"/>
      <c r="C78" s="63"/>
      <c r="D78" s="186"/>
      <c r="E78" s="189"/>
      <c r="F78" s="24"/>
      <c r="G78" s="192"/>
      <c r="H78" s="25"/>
      <c r="I78" s="25" t="s">
        <v>266</v>
      </c>
      <c r="J78" s="25"/>
      <c r="K78" s="25"/>
      <c r="L78" s="25" t="s">
        <v>75</v>
      </c>
      <c r="M78" s="27" t="s">
        <v>76</v>
      </c>
    </row>
    <row r="79" spans="1:13" ht="14.5" customHeight="1">
      <c r="A79" s="63"/>
      <c r="B79" s="63"/>
      <c r="C79" s="63"/>
      <c r="D79" s="186"/>
      <c r="E79" s="189"/>
      <c r="F79" s="24"/>
      <c r="G79" s="192"/>
      <c r="H79" s="25" t="s">
        <v>29</v>
      </c>
      <c r="I79" s="25"/>
      <c r="J79" s="25" t="s">
        <v>210</v>
      </c>
      <c r="K79" s="26" t="s">
        <v>216</v>
      </c>
      <c r="L79" s="26"/>
      <c r="M79" s="27"/>
    </row>
    <row r="80" spans="1:13" ht="15" customHeight="1" thickBot="1">
      <c r="A80" s="63"/>
      <c r="B80" s="63"/>
      <c r="C80" s="63"/>
      <c r="D80" s="187"/>
      <c r="E80" s="190"/>
      <c r="F80" s="28"/>
      <c r="G80" s="193"/>
      <c r="H80" s="29"/>
      <c r="I80" s="29" t="s">
        <v>267</v>
      </c>
      <c r="J80" s="29"/>
      <c r="K80" s="30"/>
      <c r="L80" s="30" t="s">
        <v>80</v>
      </c>
      <c r="M80" s="31" t="s">
        <v>100</v>
      </c>
    </row>
    <row r="85" spans="7:7">
      <c r="G85" s="3">
        <f>15*2</f>
        <v>30</v>
      </c>
    </row>
  </sheetData>
  <mergeCells count="25">
    <mergeCell ref="D65:D80"/>
    <mergeCell ref="E65:E80"/>
    <mergeCell ref="G66:G70"/>
    <mergeCell ref="G71:G75"/>
    <mergeCell ref="G76:G80"/>
    <mergeCell ref="D34:D48"/>
    <mergeCell ref="E34:E48"/>
    <mergeCell ref="G35:G39"/>
    <mergeCell ref="G40:G44"/>
    <mergeCell ref="G45:G48"/>
    <mergeCell ref="D49:D64"/>
    <mergeCell ref="E49:E64"/>
    <mergeCell ref="G50:G54"/>
    <mergeCell ref="G55:G59"/>
    <mergeCell ref="G60:G64"/>
    <mergeCell ref="D2:D17"/>
    <mergeCell ref="E2:E17"/>
    <mergeCell ref="G3:G7"/>
    <mergeCell ref="G8:G12"/>
    <mergeCell ref="G13:G17"/>
    <mergeCell ref="D18:D33"/>
    <mergeCell ref="E18:E33"/>
    <mergeCell ref="G19:G23"/>
    <mergeCell ref="G24:G28"/>
    <mergeCell ref="G29:G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PMESII_ASCOPE</vt:lpstr>
      <vt:lpstr>Factor Analysis</vt:lpstr>
      <vt:lpstr>NORTH pre MTT</vt:lpstr>
      <vt:lpstr>NORTH Post MTT</vt:lpstr>
      <vt:lpstr>PAVN Risk</vt:lpstr>
      <vt:lpstr>Pre Mortem</vt:lpstr>
      <vt:lpstr>MACVARVN DC_OE_OA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BEATTY</dc:creator>
  <cp:lastModifiedBy>ADAM BEATTY</cp:lastModifiedBy>
  <dcterms:created xsi:type="dcterms:W3CDTF">2026-03-27T15:21:51Z</dcterms:created>
  <dcterms:modified xsi:type="dcterms:W3CDTF">2026-05-16T17:40:55Z</dcterms:modified>
</cp:coreProperties>
</file>